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toyoho/Documents/study/704-Python/Webアプリ_main134_20230513/Streamlit/streamlit_main_ongoing2026/dataset/"/>
    </mc:Choice>
  </mc:AlternateContent>
  <xr:revisionPtr revIDLastSave="0" documentId="13_ncr:1_{4CDCE64E-4EEB-414A-A222-4849136844BF}" xr6:coauthVersionLast="47" xr6:coauthVersionMax="47" xr10:uidLastSave="{00000000-0000-0000-0000-000000000000}"/>
  <bookViews>
    <workbookView xWindow="27980" yWindow="4840" windowWidth="37020" windowHeight="23900" xr2:uid="{2A75EAD1-C59A-0741-9EE8-6E419DEC8466}"/>
  </bookViews>
  <sheets>
    <sheet name="data" sheetId="1" r:id="rId1"/>
  </sheets>
  <definedNames>
    <definedName name="_xlnm._FilterDatabase" localSheetId="0" hidden="1">data!$A$1:$X$28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 r="F28" i="1"/>
  <c r="E28" i="1"/>
  <c r="G27" i="1"/>
  <c r="F27" i="1"/>
  <c r="E27" i="1"/>
  <c r="G26" i="1"/>
  <c r="F26" i="1"/>
  <c r="E26" i="1"/>
  <c r="G25" i="1"/>
  <c r="F25" i="1"/>
  <c r="E25" i="1"/>
  <c r="G24" i="1"/>
  <c r="F24" i="1"/>
  <c r="E24" i="1"/>
  <c r="G23" i="1"/>
  <c r="F23" i="1"/>
  <c r="E23" i="1"/>
  <c r="G22" i="1"/>
  <c r="F22" i="1"/>
  <c r="E22" i="1"/>
  <c r="G21" i="1"/>
  <c r="F21" i="1"/>
  <c r="E21" i="1"/>
  <c r="G20" i="1"/>
  <c r="F20" i="1"/>
  <c r="E20" i="1"/>
  <c r="G19" i="1"/>
  <c r="F19" i="1"/>
  <c r="E19" i="1"/>
  <c r="G18" i="1"/>
  <c r="F18" i="1"/>
  <c r="E18" i="1"/>
  <c r="G17" i="1"/>
  <c r="F17" i="1"/>
  <c r="E17" i="1"/>
  <c r="G16" i="1"/>
  <c r="F16" i="1"/>
  <c r="E16" i="1"/>
  <c r="G15" i="1"/>
  <c r="F15" i="1"/>
  <c r="E15" i="1"/>
  <c r="G14" i="1"/>
  <c r="F14" i="1"/>
  <c r="E14" i="1"/>
  <c r="G13" i="1"/>
  <c r="F13" i="1"/>
  <c r="E13" i="1"/>
  <c r="G12" i="1"/>
  <c r="F12" i="1"/>
  <c r="E12" i="1"/>
  <c r="G11" i="1"/>
  <c r="F11" i="1"/>
  <c r="E11" i="1"/>
  <c r="G10" i="1"/>
  <c r="F10" i="1"/>
  <c r="E10" i="1"/>
  <c r="G9" i="1"/>
  <c r="F9" i="1"/>
  <c r="E9" i="1"/>
  <c r="G8" i="1"/>
  <c r="F8" i="1"/>
  <c r="E8" i="1"/>
  <c r="G7" i="1"/>
  <c r="F7" i="1"/>
  <c r="E7" i="1"/>
  <c r="G6" i="1"/>
  <c r="F6" i="1"/>
  <c r="E6" i="1"/>
  <c r="G5" i="1"/>
  <c r="F5" i="1"/>
  <c r="E5" i="1"/>
  <c r="G4" i="1"/>
  <c r="F4" i="1"/>
  <c r="E4" i="1"/>
  <c r="G3" i="1"/>
  <c r="F3" i="1"/>
  <c r="E3" i="1"/>
  <c r="G2" i="1"/>
  <c r="F2" i="1"/>
  <c r="E2" i="1"/>
</calcChain>
</file>

<file path=xl/sharedStrings.xml><?xml version="1.0" encoding="utf-8"?>
<sst xmlns="http://schemas.openxmlformats.org/spreadsheetml/2006/main" count="142" uniqueCount="33">
  <si>
    <t>Cruise</t>
    <phoneticPr fontId="2"/>
  </si>
  <si>
    <t>Station</t>
    <phoneticPr fontId="2"/>
  </si>
  <si>
    <t>Transect</t>
    <phoneticPr fontId="2"/>
  </si>
  <si>
    <t>Date</t>
    <phoneticPr fontId="2"/>
  </si>
  <si>
    <t>Year</t>
    <phoneticPr fontId="2"/>
  </si>
  <si>
    <t>Month</t>
    <phoneticPr fontId="2"/>
  </si>
  <si>
    <t>Day</t>
    <phoneticPr fontId="2"/>
  </si>
  <si>
    <t>Time</t>
    <phoneticPr fontId="2"/>
  </si>
  <si>
    <t>Longitude_degE</t>
    <phoneticPr fontId="2"/>
  </si>
  <si>
    <t>Latitude_degN</t>
    <phoneticPr fontId="2"/>
  </si>
  <si>
    <t>Depth_m</t>
    <phoneticPr fontId="2"/>
  </si>
  <si>
    <t>TargetDepth_m</t>
    <phoneticPr fontId="2"/>
  </si>
  <si>
    <t>Bottle</t>
    <phoneticPr fontId="2"/>
  </si>
  <si>
    <t>Temperature_degC</t>
    <phoneticPr fontId="2"/>
  </si>
  <si>
    <t>Salinity</t>
  </si>
  <si>
    <t>d18O</t>
    <phoneticPr fontId="2"/>
  </si>
  <si>
    <t>dD</t>
    <phoneticPr fontId="2"/>
  </si>
  <si>
    <t>PI</t>
    <phoneticPr fontId="2"/>
  </si>
  <si>
    <t>Vertical</t>
    <phoneticPr fontId="2"/>
  </si>
  <si>
    <t>Remarks</t>
    <phoneticPr fontId="2"/>
  </si>
  <si>
    <r>
      <rPr>
        <sz val="10"/>
        <rFont val="ＭＳ Ｐゴシック"/>
        <family val="3"/>
        <charset val="128"/>
      </rPr>
      <t>石村メモ</t>
    </r>
    <rPh sb="0" eb="2">
      <t>イシムラ</t>
    </rPh>
    <phoneticPr fontId="2"/>
  </si>
  <si>
    <r>
      <rPr>
        <sz val="10"/>
        <rFont val="ＭＳ Ｐゴシック"/>
        <family val="3"/>
        <charset val="128"/>
      </rPr>
      <t>石村ラベル</t>
    </r>
    <rPh sb="0" eb="2">
      <t>イシムラ</t>
    </rPh>
    <phoneticPr fontId="2"/>
  </si>
  <si>
    <t>YK1510</t>
  </si>
  <si>
    <t>O1</t>
  </si>
  <si>
    <t>CK</t>
    <phoneticPr fontId="2"/>
  </si>
  <si>
    <t>NA</t>
  </si>
  <si>
    <t>Kitajima</t>
    <phoneticPr fontId="2"/>
  </si>
  <si>
    <t>O2</t>
  </si>
  <si>
    <t>CK</t>
  </si>
  <si>
    <t>NA</t>
    <phoneticPr fontId="2"/>
  </si>
  <si>
    <t>d13C</t>
    <phoneticPr fontId="2"/>
  </si>
  <si>
    <t>reference</t>
    <phoneticPr fontId="2"/>
  </si>
  <si>
    <t>Kodama_etal_2024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</si>
</sst>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F400]h:mm:ss\ AM/PM"/>
    <numFmt numFmtId="178" formatCode="0.000_);[Red]\(0.000\)"/>
    <numFmt numFmtId="179" formatCode="0.00_);[Red]\(0.00\)"/>
  </numFmts>
  <fonts count="8">
    <font>
      <sz val="12"/>
      <color theme="1"/>
      <name val="游ゴシック"/>
      <family val="2"/>
      <charset val="128"/>
      <scheme val="minor"/>
    </font>
    <font>
      <sz val="10"/>
      <name val="Calibri"/>
      <family val="2"/>
    </font>
    <font>
      <sz val="6"/>
      <name val="游ゴシック"/>
      <family val="2"/>
      <charset val="128"/>
      <scheme val="minor"/>
    </font>
    <font>
      <sz val="10"/>
      <name val="ＭＳ Ｐゴシック"/>
      <family val="3"/>
      <charset val="128"/>
    </font>
    <font>
      <sz val="11"/>
      <color theme="1"/>
      <name val="Arial"/>
      <family val="2"/>
    </font>
    <font>
      <sz val="10"/>
      <color theme="1"/>
      <name val="Calibri"/>
      <family val="2"/>
      <charset val="128"/>
    </font>
    <font>
      <sz val="11"/>
      <color theme="1"/>
      <name val="游ゴシック"/>
      <family val="2"/>
      <charset val="128"/>
      <scheme val="minor"/>
    </font>
    <font>
      <sz val="10"/>
      <color rgb="FFFF0000"/>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5">
    <xf numFmtId="0" fontId="0" fillId="0" borderId="0"/>
    <xf numFmtId="0" fontId="4" fillId="0" borderId="0">
      <alignment vertical="center"/>
    </xf>
    <xf numFmtId="0" fontId="5" fillId="0" borderId="0">
      <alignment vertical="center"/>
    </xf>
    <xf numFmtId="0" fontId="4" fillId="0" borderId="0">
      <alignment vertical="center"/>
    </xf>
    <xf numFmtId="0" fontId="6" fillId="0" borderId="0"/>
  </cellStyleXfs>
  <cellXfs count="24">
    <xf numFmtId="0" fontId="0" fillId="0" borderId="0" xfId="0"/>
    <xf numFmtId="0" fontId="1" fillId="0" borderId="0" xfId="0" applyFont="1" applyAlignment="1">
      <alignment horizontal="center" vertical="center"/>
    </xf>
    <xf numFmtId="14" fontId="1" fillId="0" borderId="0" xfId="0" applyNumberFormat="1" applyFont="1" applyAlignment="1">
      <alignment horizontal="center" vertical="center"/>
    </xf>
    <xf numFmtId="176" fontId="1" fillId="0" borderId="0" xfId="0" applyNumberFormat="1" applyFont="1" applyAlignment="1">
      <alignment horizontal="center" vertical="center"/>
    </xf>
    <xf numFmtId="177" fontId="1" fillId="0" borderId="0" xfId="0" applyNumberFormat="1" applyFont="1" applyAlignment="1">
      <alignment horizontal="center" vertical="center"/>
    </xf>
    <xf numFmtId="0" fontId="1" fillId="0" borderId="0" xfId="1" applyFont="1" applyAlignment="1">
      <alignment horizontal="center" vertical="center"/>
    </xf>
    <xf numFmtId="14" fontId="1" fillId="0" borderId="0" xfId="1" applyNumberFormat="1" applyFont="1" applyAlignment="1">
      <alignment horizontal="center" vertical="center"/>
    </xf>
    <xf numFmtId="178" fontId="1" fillId="0" borderId="0" xfId="1" applyNumberFormat="1" applyFont="1" applyAlignment="1">
      <alignment horizontal="right" vertical="center"/>
    </xf>
    <xf numFmtId="176" fontId="1" fillId="0" borderId="0" xfId="1" applyNumberFormat="1" applyFont="1" applyAlignment="1">
      <alignment horizontal="right" vertical="center"/>
    </xf>
    <xf numFmtId="176" fontId="1" fillId="0" borderId="0" xfId="0" applyNumberFormat="1" applyFont="1" applyAlignment="1">
      <alignment horizontal="right" vertical="center"/>
    </xf>
    <xf numFmtId="179" fontId="1" fillId="0" borderId="0" xfId="1" applyNumberFormat="1" applyFont="1" applyAlignment="1">
      <alignment horizontal="right" vertical="center"/>
    </xf>
    <xf numFmtId="178" fontId="1" fillId="0" borderId="0" xfId="1" applyNumberFormat="1" applyFont="1">
      <alignment vertical="center"/>
    </xf>
    <xf numFmtId="2" fontId="1" fillId="0" borderId="0" xfId="0" applyNumberFormat="1" applyFont="1" applyAlignment="1">
      <alignment vertical="center"/>
    </xf>
    <xf numFmtId="0" fontId="1" fillId="0" borderId="0" xfId="0" applyFont="1" applyAlignment="1">
      <alignment vertical="center"/>
    </xf>
    <xf numFmtId="0" fontId="1" fillId="0" borderId="0" xfId="0" applyFont="1"/>
    <xf numFmtId="0" fontId="1" fillId="2" borderId="0" xfId="0" applyFont="1" applyFill="1"/>
    <xf numFmtId="178" fontId="1" fillId="0" borderId="0" xfId="0" applyNumberFormat="1" applyFont="1" applyAlignment="1">
      <alignment horizontal="right" vertical="center"/>
    </xf>
    <xf numFmtId="179" fontId="1" fillId="0" borderId="0" xfId="0" applyNumberFormat="1" applyFont="1" applyAlignment="1">
      <alignment horizontal="right" vertical="center"/>
    </xf>
    <xf numFmtId="0" fontId="1" fillId="3" borderId="0" xfId="0" applyFont="1" applyFill="1" applyAlignment="1">
      <alignment horizontal="center" vertical="center"/>
    </xf>
    <xf numFmtId="14" fontId="7" fillId="3" borderId="0" xfId="0" applyNumberFormat="1" applyFont="1" applyFill="1" applyAlignment="1">
      <alignment horizontal="center" vertical="center"/>
    </xf>
    <xf numFmtId="0" fontId="7" fillId="3" borderId="0" xfId="0" applyFont="1" applyFill="1" applyAlignment="1">
      <alignment horizontal="center" vertical="center"/>
    </xf>
    <xf numFmtId="176" fontId="7" fillId="3" borderId="0" xfId="0" applyNumberFormat="1" applyFont="1" applyFill="1" applyAlignment="1">
      <alignment horizontal="center" vertical="center"/>
    </xf>
    <xf numFmtId="178" fontId="7" fillId="3" borderId="0" xfId="0" applyNumberFormat="1" applyFont="1" applyFill="1" applyAlignment="1">
      <alignment horizontal="center" vertical="center"/>
    </xf>
    <xf numFmtId="179" fontId="7" fillId="3" borderId="0" xfId="0" applyNumberFormat="1" applyFont="1" applyFill="1" applyAlignment="1">
      <alignment horizontal="center" vertical="center"/>
    </xf>
  </cellXfs>
  <cellStyles count="5">
    <cellStyle name="標準" xfId="0" builtinId="0"/>
    <cellStyle name="標準 2" xfId="1" xr:uid="{0AE62B37-BDC4-6544-B91B-260A5007465C}"/>
    <cellStyle name="標準 2 6" xfId="3" xr:uid="{E46887B7-6299-CE4A-9E85-1C411029E0FB}"/>
    <cellStyle name="標準 4" xfId="4" xr:uid="{E7DAB073-F2DA-EF4C-9F48-707CAA943E25}"/>
    <cellStyle name="標準 5" xfId="2" xr:uid="{F9B30653-33CD-5A49-99C4-8B808EBC90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660400</xdr:colOff>
      <xdr:row>6</xdr:row>
      <xdr:rowOff>127000</xdr:rowOff>
    </xdr:from>
    <xdr:to>
      <xdr:col>21</xdr:col>
      <xdr:colOff>1270000</xdr:colOff>
      <xdr:row>17</xdr:row>
      <xdr:rowOff>12700</xdr:rowOff>
    </xdr:to>
    <xdr:sp macro="" textlink="">
      <xdr:nvSpPr>
        <xdr:cNvPr id="3" name="テキスト ボックス 2">
          <a:extLst>
            <a:ext uri="{FF2B5EF4-FFF2-40B4-BE49-F238E27FC236}">
              <a16:creationId xmlns:a16="http://schemas.microsoft.com/office/drawing/2014/main" id="{F82778C6-5D34-2D01-9B5E-8B7D2A38CED8}"/>
            </a:ext>
          </a:extLst>
        </xdr:cNvPr>
        <xdr:cNvSpPr txBox="1"/>
      </xdr:nvSpPr>
      <xdr:spPr>
        <a:xfrm>
          <a:off x="9690100" y="1193800"/>
          <a:ext cx="8064500" cy="184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u="none" strike="noStrike">
              <a:solidFill>
                <a:schemeClr val="dk1"/>
              </a:solidFill>
              <a:effectLst/>
              <a:latin typeface="+mn-lt"/>
              <a:ea typeface="+mn-ea"/>
              <a:cs typeface="+mn-cs"/>
            </a:rPr>
            <a:t>添付ファイルには参考データを入力してあります（←消して頂いて大丈夫です）</a:t>
          </a:r>
        </a:p>
        <a:p>
          <a:r>
            <a:rPr lang="ja-JP" altLang="en-US" sz="1100" b="0" i="0" u="none" strike="noStrike">
              <a:solidFill>
                <a:schemeClr val="dk1"/>
              </a:solidFill>
              <a:effectLst/>
              <a:latin typeface="+mn-lt"/>
              <a:ea typeface="+mn-ea"/>
              <a:cs typeface="+mn-cs"/>
            </a:rPr>
            <a:t>○１行目の赤文字黄色は入力必須項目です</a:t>
          </a:r>
        </a:p>
        <a:p>
          <a:r>
            <a:rPr lang="ja-JP" altLang="en-US" sz="1100" b="0" i="0" u="none" strike="noStrike">
              <a:solidFill>
                <a:schemeClr val="dk1"/>
              </a:solidFill>
              <a:effectLst/>
              <a:latin typeface="+mn-lt"/>
              <a:ea typeface="+mn-ea"/>
              <a:cs typeface="+mn-cs"/>
            </a:rPr>
            <a:t>○１行目の黒文字黄色は極力入力推奨です（データが無ければ空欄で</a:t>
          </a:r>
          <a:r>
            <a:rPr lang="en" altLang="ja-JP" sz="1100" b="0" i="0" u="none" strike="noStrike">
              <a:solidFill>
                <a:schemeClr val="dk1"/>
              </a:solidFill>
              <a:effectLst/>
              <a:latin typeface="+mn-lt"/>
              <a:ea typeface="+mn-ea"/>
              <a:cs typeface="+mn-cs"/>
            </a:rPr>
            <a:t>OK</a:t>
          </a:r>
          <a:r>
            <a:rPr lang="ja-JP" altLang="en-US" sz="1100" b="0" i="0" u="none" strike="noStrike">
              <a:solidFill>
                <a:schemeClr val="dk1"/>
              </a:solidFill>
              <a:effectLst/>
              <a:latin typeface="+mn-lt"/>
              <a:ea typeface="+mn-ea"/>
              <a:cs typeface="+mn-cs"/>
            </a:rPr>
            <a:t>です。データ処理で工夫します）</a:t>
          </a:r>
        </a:p>
        <a:p>
          <a:r>
            <a:rPr lang="ja-JP" altLang="en-US" sz="1100" b="0" i="0" u="none" strike="noStrike">
              <a:solidFill>
                <a:schemeClr val="dk1"/>
              </a:solidFill>
              <a:effectLst/>
              <a:latin typeface="+mn-lt"/>
              <a:ea typeface="+mn-ea"/>
              <a:cs typeface="+mn-cs"/>
            </a:rPr>
            <a:t>○その他の列は情報があればで</a:t>
          </a:r>
        </a:p>
        <a:p>
          <a:r>
            <a:rPr lang="ja-JP" altLang="en-US" sz="1100" b="0" i="0" u="none" strike="noStrike">
              <a:solidFill>
                <a:schemeClr val="dk1"/>
              </a:solidFill>
              <a:effectLst/>
              <a:latin typeface="+mn-lt"/>
              <a:ea typeface="+mn-ea"/>
              <a:cs typeface="+mn-cs"/>
            </a:rPr>
            <a:t>○緯度経度の「分」は</a:t>
          </a:r>
          <a:r>
            <a:rPr lang="en-US" altLang="ja-JP" sz="1100" b="0" i="0" u="none" strike="noStrike">
              <a:solidFill>
                <a:schemeClr val="dk1"/>
              </a:solidFill>
              <a:effectLst/>
              <a:latin typeface="+mn-lt"/>
              <a:ea typeface="+mn-ea"/>
              <a:cs typeface="+mn-cs"/>
            </a:rPr>
            <a:t>60</a:t>
          </a:r>
          <a:r>
            <a:rPr lang="ja-JP" altLang="en-US" sz="1100" b="0" i="0" u="none" strike="noStrike">
              <a:solidFill>
                <a:schemeClr val="dk1"/>
              </a:solidFill>
              <a:effectLst/>
              <a:latin typeface="+mn-lt"/>
              <a:ea typeface="+mn-ea"/>
              <a:cs typeface="+mn-cs"/>
            </a:rPr>
            <a:t>進法ではなく</a:t>
          </a:r>
          <a:r>
            <a:rPr lang="en-US" altLang="ja-JP" sz="1100" b="0" i="0" u="none" strike="noStrike">
              <a:solidFill>
                <a:schemeClr val="dk1"/>
              </a:solidFill>
              <a:effectLst/>
              <a:latin typeface="+mn-lt"/>
              <a:ea typeface="+mn-ea"/>
              <a:cs typeface="+mn-cs"/>
            </a:rPr>
            <a:t>10</a:t>
          </a:r>
          <a:r>
            <a:rPr lang="ja-JP" altLang="en-US" sz="1100" b="0" i="0" u="none" strike="noStrike">
              <a:solidFill>
                <a:schemeClr val="dk1"/>
              </a:solidFill>
              <a:effectLst/>
              <a:latin typeface="+mn-lt"/>
              <a:ea typeface="+mn-ea"/>
              <a:cs typeface="+mn-cs"/>
            </a:rPr>
            <a:t>進法です。</a:t>
          </a:r>
          <a:r>
            <a:rPr lang="en-US" altLang="ja-JP" sz="1100" b="0" i="0" u="none" strike="noStrike">
              <a:solidFill>
                <a:schemeClr val="dk1"/>
              </a:solidFill>
              <a:effectLst/>
              <a:latin typeface="+mn-lt"/>
              <a:ea typeface="+mn-ea"/>
              <a:cs typeface="+mn-cs"/>
            </a:rPr>
            <a:t>60</a:t>
          </a:r>
          <a:r>
            <a:rPr lang="ja-JP" altLang="en-US" sz="1100" b="0" i="0" u="none" strike="noStrike">
              <a:solidFill>
                <a:schemeClr val="dk1"/>
              </a:solidFill>
              <a:effectLst/>
              <a:latin typeface="+mn-lt"/>
              <a:ea typeface="+mn-ea"/>
              <a:cs typeface="+mn-cs"/>
            </a:rPr>
            <a:t>進法で入力した場合には換算処理をしますのでお知らせください。</a:t>
          </a:r>
        </a:p>
        <a:p>
          <a:r>
            <a:rPr lang="ja-JP" altLang="en-US" sz="1100" b="0" i="0" u="none" strike="noStrike">
              <a:solidFill>
                <a:schemeClr val="dk1"/>
              </a:solidFill>
              <a:effectLst/>
              <a:latin typeface="+mn-lt"/>
              <a:ea typeface="+mn-ea"/>
              <a:cs typeface="+mn-cs"/>
            </a:rPr>
            <a:t>○他，関連項目があれば列を追記して入力しておいて頂ければ今後活用できる場面があるかもしれません</a:t>
          </a:r>
        </a:p>
        <a:p>
          <a:br>
            <a:rPr lang="ja-JP" altLang="en-US"/>
          </a:b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D60E-C2C6-2141-8ABD-4E85C08F287F}">
  <dimension ref="A1:Z28"/>
  <sheetViews>
    <sheetView tabSelected="1" workbookViewId="0">
      <pane ySplit="1" topLeftCell="A2" activePane="bottomLeft" state="frozen"/>
      <selection pane="bottomLeft" activeCell="C1" sqref="C1"/>
    </sheetView>
  </sheetViews>
  <sheetFormatPr baseColWidth="10" defaultColWidth="11" defaultRowHeight="14"/>
  <cols>
    <col min="1" max="1" width="10.85546875" style="1" bestFit="1" customWidth="1"/>
    <col min="2" max="2" width="8" style="1" bestFit="1" customWidth="1"/>
    <col min="3" max="3" width="11.5703125" style="1" bestFit="1" customWidth="1"/>
    <col min="4" max="4" width="8.7109375" style="2" bestFit="1" customWidth="1"/>
    <col min="5" max="5" width="5" style="1" bestFit="1" customWidth="1"/>
    <col min="6" max="6" width="5.7109375" style="1" bestFit="1" customWidth="1"/>
    <col min="7" max="7" width="4" style="3" bestFit="1" customWidth="1"/>
    <col min="8" max="8" width="6.85546875" style="4" bestFit="1" customWidth="1"/>
    <col min="9" max="9" width="11" style="16" bestFit="1" customWidth="1"/>
    <col min="10" max="10" width="10.140625" style="16" bestFit="1" customWidth="1"/>
    <col min="11" max="11" width="6.7109375" style="9" bestFit="1" customWidth="1"/>
    <col min="12" max="12" width="6.5703125" style="9" customWidth="1"/>
    <col min="13" max="13" width="6.42578125" style="9" customWidth="1"/>
    <col min="14" max="14" width="13" style="17" bestFit="1" customWidth="1"/>
    <col min="15" max="15" width="7" style="16" bestFit="1" customWidth="1"/>
    <col min="16" max="17" width="9.140625" style="13" bestFit="1" customWidth="1"/>
    <col min="18" max="18" width="9.140625" style="13" customWidth="1"/>
    <col min="19" max="19" width="13.85546875" style="1" bestFit="1" customWidth="1"/>
    <col min="20" max="20" width="9.28515625" style="1" bestFit="1" customWidth="1"/>
    <col min="21" max="21" width="13.28515625" style="1" customWidth="1"/>
    <col min="22" max="22" width="51.7109375" style="13" bestFit="1" customWidth="1"/>
    <col min="23" max="23" width="30.28515625" style="13" customWidth="1"/>
    <col min="24" max="24" width="20.85546875" style="13" customWidth="1"/>
    <col min="25" max="25" width="11" style="13"/>
    <col min="26" max="26" width="11.140625" style="13" customWidth="1"/>
    <col min="27" max="16384" width="11" style="13"/>
  </cols>
  <sheetData>
    <row r="1" spans="1:24" s="1" customFormat="1">
      <c r="A1" s="18" t="s">
        <v>0</v>
      </c>
      <c r="B1" s="1" t="s">
        <v>1</v>
      </c>
      <c r="C1" s="1" t="s">
        <v>2</v>
      </c>
      <c r="D1" s="19" t="s">
        <v>3</v>
      </c>
      <c r="E1" s="20" t="s">
        <v>4</v>
      </c>
      <c r="F1" s="20" t="s">
        <v>5</v>
      </c>
      <c r="G1" s="21" t="s">
        <v>6</v>
      </c>
      <c r="H1" s="4" t="s">
        <v>7</v>
      </c>
      <c r="I1" s="22" t="s">
        <v>8</v>
      </c>
      <c r="J1" s="22" t="s">
        <v>9</v>
      </c>
      <c r="K1" s="21" t="s">
        <v>10</v>
      </c>
      <c r="L1" s="3" t="s">
        <v>11</v>
      </c>
      <c r="M1" s="3" t="s">
        <v>12</v>
      </c>
      <c r="N1" s="23" t="s">
        <v>13</v>
      </c>
      <c r="O1" s="22" t="s">
        <v>14</v>
      </c>
      <c r="P1" s="20" t="s">
        <v>15</v>
      </c>
      <c r="Q1" s="18" t="s">
        <v>16</v>
      </c>
      <c r="R1" s="18" t="s">
        <v>30</v>
      </c>
      <c r="S1" s="1" t="s">
        <v>17</v>
      </c>
      <c r="T1" s="18" t="s">
        <v>18</v>
      </c>
      <c r="U1" s="20" t="s">
        <v>31</v>
      </c>
      <c r="V1" s="1" t="s">
        <v>19</v>
      </c>
      <c r="W1" s="1" t="s">
        <v>20</v>
      </c>
      <c r="X1" s="1" t="s">
        <v>21</v>
      </c>
    </row>
    <row r="2" spans="1:24" s="14" customFormat="1">
      <c r="A2" s="5" t="s">
        <v>22</v>
      </c>
      <c r="B2" s="5" t="s">
        <v>23</v>
      </c>
      <c r="C2" s="5" t="s">
        <v>24</v>
      </c>
      <c r="D2" s="6">
        <v>42286</v>
      </c>
      <c r="E2" s="1">
        <f t="shared" ref="E2:E28" si="0">YEAR(D2)</f>
        <v>2015</v>
      </c>
      <c r="F2" s="1">
        <f t="shared" ref="F2:F28" si="1">MONTH(D2)</f>
        <v>10</v>
      </c>
      <c r="G2" s="3">
        <f t="shared" ref="G2:G28" si="2">DAY(D2)</f>
        <v>9</v>
      </c>
      <c r="H2" s="4">
        <v>0.70138888888888884</v>
      </c>
      <c r="I2" s="7">
        <v>129.27619999999999</v>
      </c>
      <c r="J2" s="7">
        <v>32.2896</v>
      </c>
      <c r="K2" s="8">
        <v>4.5</v>
      </c>
      <c r="L2" s="8">
        <v>5</v>
      </c>
      <c r="M2" s="9" t="s">
        <v>25</v>
      </c>
      <c r="N2" s="10">
        <v>25.020499999999998</v>
      </c>
      <c r="O2" s="11">
        <v>33.641254901960778</v>
      </c>
      <c r="P2" s="12">
        <v>-0.14000000000000001</v>
      </c>
      <c r="Q2" s="12">
        <v>-1.05</v>
      </c>
      <c r="R2" s="12"/>
      <c r="S2" s="5" t="s">
        <v>26</v>
      </c>
      <c r="T2" s="5"/>
      <c r="U2" s="5" t="s">
        <v>32</v>
      </c>
      <c r="V2" s="13"/>
      <c r="W2" s="13"/>
      <c r="X2" s="13"/>
    </row>
    <row r="3" spans="1:24" s="14" customFormat="1">
      <c r="A3" s="5" t="s">
        <v>22</v>
      </c>
      <c r="B3" s="5" t="s">
        <v>27</v>
      </c>
      <c r="C3" s="5" t="s">
        <v>28</v>
      </c>
      <c r="D3" s="6">
        <v>42287</v>
      </c>
      <c r="E3" s="1">
        <f t="shared" si="0"/>
        <v>2015</v>
      </c>
      <c r="F3" s="1">
        <f t="shared" si="1"/>
        <v>10</v>
      </c>
      <c r="G3" s="3">
        <f t="shared" si="2"/>
        <v>10</v>
      </c>
      <c r="H3" s="4">
        <v>0.26597222222222222</v>
      </c>
      <c r="I3" s="7">
        <v>126.4393</v>
      </c>
      <c r="J3" s="7">
        <v>30.57197</v>
      </c>
      <c r="K3" s="8">
        <v>4.5</v>
      </c>
      <c r="L3" s="8">
        <v>5</v>
      </c>
      <c r="M3" s="9" t="s">
        <v>25</v>
      </c>
      <c r="N3" s="10">
        <v>25.067699999999999</v>
      </c>
      <c r="O3" s="11">
        <v>33.169654901960783</v>
      </c>
      <c r="P3" s="12">
        <v>0.04</v>
      </c>
      <c r="Q3" s="12">
        <v>-0.45</v>
      </c>
      <c r="R3" s="12"/>
      <c r="S3" s="5" t="s">
        <v>26</v>
      </c>
      <c r="T3" s="5"/>
      <c r="U3" s="5" t="s">
        <v>32</v>
      </c>
      <c r="V3" s="13"/>
      <c r="W3" s="13"/>
      <c r="X3" s="13"/>
    </row>
    <row r="4" spans="1:24" s="14" customFormat="1">
      <c r="A4" s="5" t="s">
        <v>22</v>
      </c>
      <c r="B4" s="5">
        <v>1</v>
      </c>
      <c r="C4" s="5" t="s">
        <v>28</v>
      </c>
      <c r="D4" s="6">
        <v>42287</v>
      </c>
      <c r="E4" s="1">
        <f t="shared" si="0"/>
        <v>2015</v>
      </c>
      <c r="F4" s="1">
        <f t="shared" si="1"/>
        <v>10</v>
      </c>
      <c r="G4" s="3">
        <f t="shared" si="2"/>
        <v>10</v>
      </c>
      <c r="H4" s="4">
        <v>0.74652777777777779</v>
      </c>
      <c r="I4" s="7">
        <v>124.24948333333333</v>
      </c>
      <c r="J4" s="7">
        <v>30.500233333333334</v>
      </c>
      <c r="K4" s="8">
        <v>0</v>
      </c>
      <c r="L4" s="8">
        <v>0</v>
      </c>
      <c r="M4" s="8">
        <v>0</v>
      </c>
      <c r="N4" s="10">
        <v>24.1</v>
      </c>
      <c r="O4" s="11">
        <v>32.583624304829542</v>
      </c>
      <c r="P4" s="12">
        <v>-0.22</v>
      </c>
      <c r="Q4" s="12">
        <v>-2.09</v>
      </c>
      <c r="R4" s="12"/>
      <c r="S4" s="5" t="s">
        <v>26</v>
      </c>
      <c r="T4" s="5"/>
      <c r="U4" s="5" t="s">
        <v>32</v>
      </c>
      <c r="V4" s="13"/>
      <c r="W4" s="13"/>
      <c r="X4" s="13"/>
    </row>
    <row r="5" spans="1:24" s="14" customFormat="1">
      <c r="A5" s="5" t="s">
        <v>22</v>
      </c>
      <c r="B5" s="5">
        <v>2</v>
      </c>
      <c r="C5" s="5" t="s">
        <v>28</v>
      </c>
      <c r="D5" s="6">
        <v>42287</v>
      </c>
      <c r="E5" s="1">
        <f t="shared" si="0"/>
        <v>2015</v>
      </c>
      <c r="F5" s="1">
        <f t="shared" si="1"/>
        <v>10</v>
      </c>
      <c r="G5" s="3">
        <f t="shared" si="2"/>
        <v>10</v>
      </c>
      <c r="H5" s="4">
        <v>0.82500000000000007</v>
      </c>
      <c r="I5" s="7">
        <v>124.49886666666667</v>
      </c>
      <c r="J5" s="7">
        <v>30.501799999999999</v>
      </c>
      <c r="K5" s="8">
        <v>0</v>
      </c>
      <c r="L5" s="8">
        <v>0</v>
      </c>
      <c r="M5" s="8">
        <v>0</v>
      </c>
      <c r="N5" s="10">
        <v>24.2</v>
      </c>
      <c r="O5" s="11">
        <v>33.353834089084579</v>
      </c>
      <c r="P5" s="12">
        <v>-0.01</v>
      </c>
      <c r="Q5" s="12">
        <v>-0.89</v>
      </c>
      <c r="R5" s="12"/>
      <c r="S5" s="5" t="s">
        <v>26</v>
      </c>
      <c r="T5" s="5"/>
      <c r="U5" s="5" t="s">
        <v>32</v>
      </c>
      <c r="V5" s="13"/>
      <c r="W5" s="13"/>
      <c r="X5" s="13"/>
    </row>
    <row r="6" spans="1:24" s="14" customFormat="1">
      <c r="A6" s="5" t="s">
        <v>22</v>
      </c>
      <c r="B6" s="5">
        <v>3</v>
      </c>
      <c r="C6" s="5" t="s">
        <v>28</v>
      </c>
      <c r="D6" s="6">
        <v>42287</v>
      </c>
      <c r="E6" s="1">
        <f t="shared" si="0"/>
        <v>2015</v>
      </c>
      <c r="F6" s="1">
        <f t="shared" si="1"/>
        <v>10</v>
      </c>
      <c r="G6" s="3">
        <f t="shared" si="2"/>
        <v>10</v>
      </c>
      <c r="H6" s="4">
        <v>0.94374999999999998</v>
      </c>
      <c r="I6" s="7">
        <v>125.00245</v>
      </c>
      <c r="J6" s="7">
        <v>30.499766666666666</v>
      </c>
      <c r="K6" s="8">
        <v>0</v>
      </c>
      <c r="L6" s="8">
        <v>0</v>
      </c>
      <c r="M6" s="8">
        <v>0</v>
      </c>
      <c r="N6" s="10">
        <v>23.9</v>
      </c>
      <c r="O6" s="11">
        <v>33.63209765799634</v>
      </c>
      <c r="P6" s="12">
        <v>0.05</v>
      </c>
      <c r="Q6" s="12">
        <v>-0.28000000000000003</v>
      </c>
      <c r="R6" s="12"/>
      <c r="S6" s="5" t="s">
        <v>26</v>
      </c>
      <c r="T6" s="5"/>
      <c r="U6" s="5" t="s">
        <v>32</v>
      </c>
      <c r="V6" s="13"/>
      <c r="W6" s="13"/>
      <c r="X6" s="13"/>
    </row>
    <row r="7" spans="1:24" s="14" customFormat="1">
      <c r="A7" s="5" t="s">
        <v>22</v>
      </c>
      <c r="B7" s="5">
        <v>4</v>
      </c>
      <c r="C7" s="5" t="s">
        <v>28</v>
      </c>
      <c r="D7" s="6">
        <v>42288</v>
      </c>
      <c r="E7" s="1">
        <f t="shared" si="0"/>
        <v>2015</v>
      </c>
      <c r="F7" s="1">
        <f t="shared" si="1"/>
        <v>10</v>
      </c>
      <c r="G7" s="3">
        <f t="shared" si="2"/>
        <v>11</v>
      </c>
      <c r="H7" s="4">
        <v>6.7361111111111108E-2</v>
      </c>
      <c r="I7" s="7">
        <v>125.51073333333333</v>
      </c>
      <c r="J7" s="7">
        <v>30.567499999999999</v>
      </c>
      <c r="K7" s="8">
        <v>0</v>
      </c>
      <c r="L7" s="8">
        <v>0</v>
      </c>
      <c r="M7" s="8">
        <v>0</v>
      </c>
      <c r="N7" s="10">
        <v>22.5</v>
      </c>
      <c r="O7" s="11">
        <v>32.383520661732987</v>
      </c>
      <c r="P7" s="12">
        <v>-0.28000000000000003</v>
      </c>
      <c r="Q7" s="12">
        <v>-2.4300000000000002</v>
      </c>
      <c r="R7" s="12"/>
      <c r="S7" s="5" t="s">
        <v>26</v>
      </c>
      <c r="T7" s="5"/>
      <c r="U7" s="5" t="s">
        <v>32</v>
      </c>
      <c r="V7" s="13"/>
      <c r="W7" s="13"/>
      <c r="X7" s="13"/>
    </row>
    <row r="8" spans="1:24" s="14" customFormat="1">
      <c r="A8" s="5" t="s">
        <v>22</v>
      </c>
      <c r="B8" s="5">
        <v>5</v>
      </c>
      <c r="C8" s="5" t="s">
        <v>28</v>
      </c>
      <c r="D8" s="6">
        <v>42288</v>
      </c>
      <c r="E8" s="1">
        <f t="shared" si="0"/>
        <v>2015</v>
      </c>
      <c r="F8" s="1">
        <f t="shared" si="1"/>
        <v>10</v>
      </c>
      <c r="G8" s="3">
        <f t="shared" si="2"/>
        <v>11</v>
      </c>
      <c r="H8" s="4">
        <v>0.25</v>
      </c>
      <c r="I8" s="7">
        <v>125.92536666666666</v>
      </c>
      <c r="J8" s="7">
        <v>30.513549999999999</v>
      </c>
      <c r="K8" s="8">
        <v>0</v>
      </c>
      <c r="L8" s="8">
        <v>0</v>
      </c>
      <c r="M8" s="8">
        <v>0</v>
      </c>
      <c r="N8" s="10">
        <v>23.4</v>
      </c>
      <c r="O8" s="11">
        <v>32.561116468058209</v>
      </c>
      <c r="P8" s="12">
        <v>-0.05</v>
      </c>
      <c r="Q8" s="12">
        <v>-1.56</v>
      </c>
      <c r="R8" s="12"/>
      <c r="S8" s="5" t="s">
        <v>26</v>
      </c>
      <c r="T8" s="5"/>
      <c r="U8" s="5" t="s">
        <v>32</v>
      </c>
      <c r="V8" s="13"/>
      <c r="W8" s="13"/>
      <c r="X8" s="13"/>
    </row>
    <row r="9" spans="1:24" s="14" customFormat="1">
      <c r="A9" s="5" t="s">
        <v>22</v>
      </c>
      <c r="B9" s="5">
        <v>6</v>
      </c>
      <c r="C9" s="5" t="s">
        <v>28</v>
      </c>
      <c r="D9" s="6">
        <v>42288</v>
      </c>
      <c r="E9" s="1">
        <f t="shared" si="0"/>
        <v>2015</v>
      </c>
      <c r="F9" s="1">
        <f t="shared" si="1"/>
        <v>10</v>
      </c>
      <c r="G9" s="3">
        <f t="shared" si="2"/>
        <v>11</v>
      </c>
      <c r="H9" s="4">
        <v>0.49305555555555558</v>
      </c>
      <c r="I9" s="7">
        <v>126.00135</v>
      </c>
      <c r="J9" s="7">
        <v>30.999666666666666</v>
      </c>
      <c r="K9" s="8">
        <v>0</v>
      </c>
      <c r="L9" s="8">
        <v>0</v>
      </c>
      <c r="M9" s="8">
        <v>0</v>
      </c>
      <c r="N9" s="10">
        <v>23.1</v>
      </c>
      <c r="O9" s="11">
        <v>31.841801205928121</v>
      </c>
      <c r="P9" s="12">
        <v>-0.34</v>
      </c>
      <c r="Q9" s="12">
        <v>-3.09</v>
      </c>
      <c r="R9" s="12"/>
      <c r="S9" s="5" t="s">
        <v>26</v>
      </c>
      <c r="T9" s="5"/>
      <c r="U9" s="5" t="s">
        <v>32</v>
      </c>
      <c r="V9" s="13"/>
      <c r="W9" s="13"/>
      <c r="X9" s="13"/>
    </row>
    <row r="10" spans="1:24" s="14" customFormat="1">
      <c r="A10" s="5" t="s">
        <v>22</v>
      </c>
      <c r="B10" s="5">
        <v>7</v>
      </c>
      <c r="C10" s="5" t="s">
        <v>28</v>
      </c>
      <c r="D10" s="6">
        <v>42288</v>
      </c>
      <c r="E10" s="1">
        <f t="shared" si="0"/>
        <v>2015</v>
      </c>
      <c r="F10" s="1">
        <f t="shared" si="1"/>
        <v>10</v>
      </c>
      <c r="G10" s="3">
        <f t="shared" si="2"/>
        <v>11</v>
      </c>
      <c r="H10" s="4">
        <v>0.77638888888888891</v>
      </c>
      <c r="I10" s="7">
        <v>124.8317</v>
      </c>
      <c r="J10" s="7">
        <v>30.832133333333335</v>
      </c>
      <c r="K10" s="8">
        <v>0</v>
      </c>
      <c r="L10" s="8">
        <v>0</v>
      </c>
      <c r="M10" s="8">
        <v>0</v>
      </c>
      <c r="N10" s="10">
        <v>22.7</v>
      </c>
      <c r="O10" s="11">
        <v>33.32466853964209</v>
      </c>
      <c r="P10" s="12">
        <v>0.04</v>
      </c>
      <c r="Q10" s="12">
        <v>-0.77</v>
      </c>
      <c r="R10" s="12"/>
      <c r="S10" s="5" t="s">
        <v>26</v>
      </c>
      <c r="T10" s="5"/>
      <c r="U10" s="5" t="s">
        <v>32</v>
      </c>
      <c r="V10" s="13"/>
      <c r="W10" s="13"/>
      <c r="X10" s="13"/>
    </row>
    <row r="11" spans="1:24" s="14" customFormat="1">
      <c r="A11" s="5" t="s">
        <v>22</v>
      </c>
      <c r="B11" s="5">
        <v>8</v>
      </c>
      <c r="C11" s="5" t="s">
        <v>28</v>
      </c>
      <c r="D11" s="6">
        <v>42288</v>
      </c>
      <c r="E11" s="1">
        <f t="shared" si="0"/>
        <v>2015</v>
      </c>
      <c r="F11" s="1">
        <f t="shared" si="1"/>
        <v>10</v>
      </c>
      <c r="G11" s="3">
        <f t="shared" si="2"/>
        <v>11</v>
      </c>
      <c r="H11" s="4">
        <v>0.89861111111111114</v>
      </c>
      <c r="I11" s="7">
        <v>124.83248333333333</v>
      </c>
      <c r="J11" s="7">
        <v>31.250866666666667</v>
      </c>
      <c r="K11" s="8">
        <v>0</v>
      </c>
      <c r="L11" s="8">
        <v>0</v>
      </c>
      <c r="M11" s="8">
        <v>0</v>
      </c>
      <c r="N11" s="10">
        <v>23.4</v>
      </c>
      <c r="O11" s="11">
        <v>32.687239593104643</v>
      </c>
      <c r="P11" s="12">
        <v>-0.12</v>
      </c>
      <c r="Q11" s="12">
        <v>-1.74</v>
      </c>
      <c r="R11" s="12"/>
      <c r="S11" s="5" t="s">
        <v>26</v>
      </c>
      <c r="T11" s="5"/>
      <c r="U11" s="5" t="s">
        <v>32</v>
      </c>
      <c r="V11" s="13"/>
      <c r="W11" s="13"/>
      <c r="X11" s="13"/>
    </row>
    <row r="12" spans="1:24" s="14" customFormat="1">
      <c r="A12" s="5" t="s">
        <v>22</v>
      </c>
      <c r="B12" s="5">
        <v>9</v>
      </c>
      <c r="C12" s="5" t="s">
        <v>28</v>
      </c>
      <c r="D12" s="6">
        <v>42289</v>
      </c>
      <c r="E12" s="1">
        <f t="shared" si="0"/>
        <v>2015</v>
      </c>
      <c r="F12" s="1">
        <f t="shared" si="1"/>
        <v>10</v>
      </c>
      <c r="G12" s="3">
        <f t="shared" si="2"/>
        <v>12</v>
      </c>
      <c r="H12" s="4">
        <v>2.7777777777777776E-2</v>
      </c>
      <c r="I12" s="7">
        <v>124.83738333333334</v>
      </c>
      <c r="J12" s="7">
        <v>31.751966666666668</v>
      </c>
      <c r="K12" s="8">
        <v>0</v>
      </c>
      <c r="L12" s="8">
        <v>0</v>
      </c>
      <c r="M12" s="8">
        <v>0</v>
      </c>
      <c r="N12" s="10">
        <v>22.2</v>
      </c>
      <c r="O12" s="11">
        <v>31.784647101425687</v>
      </c>
      <c r="P12" s="12">
        <v>-0.3</v>
      </c>
      <c r="Q12" s="12">
        <v>-2.94</v>
      </c>
      <c r="R12" s="12"/>
      <c r="S12" s="5" t="s">
        <v>26</v>
      </c>
      <c r="T12" s="5"/>
      <c r="U12" s="5" t="s">
        <v>32</v>
      </c>
      <c r="V12" s="13"/>
      <c r="W12" s="13"/>
      <c r="X12" s="13"/>
    </row>
    <row r="13" spans="1:24" s="14" customFormat="1">
      <c r="A13" s="5" t="s">
        <v>22</v>
      </c>
      <c r="B13" s="5">
        <v>10</v>
      </c>
      <c r="C13" s="5" t="s">
        <v>28</v>
      </c>
      <c r="D13" s="6">
        <v>42289</v>
      </c>
      <c r="E13" s="1">
        <f t="shared" si="0"/>
        <v>2015</v>
      </c>
      <c r="F13" s="1">
        <f t="shared" si="1"/>
        <v>10</v>
      </c>
      <c r="G13" s="3">
        <f t="shared" si="2"/>
        <v>12</v>
      </c>
      <c r="H13" s="4">
        <v>0.18680555555555556</v>
      </c>
      <c r="I13" s="7">
        <v>124.83799999999999</v>
      </c>
      <c r="J13" s="7">
        <v>32.247</v>
      </c>
      <c r="K13" s="8">
        <v>0</v>
      </c>
      <c r="L13" s="8">
        <v>0</v>
      </c>
      <c r="M13" s="8">
        <v>0</v>
      </c>
      <c r="N13" s="10">
        <v>22.3</v>
      </c>
      <c r="O13" s="11">
        <v>31.042999999999999</v>
      </c>
      <c r="P13" s="12">
        <v>-0.51</v>
      </c>
      <c r="Q13" s="12">
        <v>-4.0599999999999996</v>
      </c>
      <c r="R13" s="12"/>
      <c r="S13" s="5" t="s">
        <v>26</v>
      </c>
      <c r="T13" s="5"/>
      <c r="U13" s="5" t="s">
        <v>32</v>
      </c>
      <c r="V13" s="13"/>
      <c r="W13" s="13"/>
      <c r="X13" s="13"/>
    </row>
    <row r="14" spans="1:24" s="14" customFormat="1">
      <c r="A14" s="5" t="s">
        <v>22</v>
      </c>
      <c r="B14" s="5">
        <v>11</v>
      </c>
      <c r="C14" s="5" t="s">
        <v>28</v>
      </c>
      <c r="D14" s="6">
        <v>42289</v>
      </c>
      <c r="E14" s="1">
        <f t="shared" si="0"/>
        <v>2015</v>
      </c>
      <c r="F14" s="1">
        <f t="shared" si="1"/>
        <v>10</v>
      </c>
      <c r="G14" s="3">
        <f t="shared" si="2"/>
        <v>12</v>
      </c>
      <c r="H14" s="4">
        <v>0.34375</v>
      </c>
      <c r="I14" s="7">
        <v>124.92449999999999</v>
      </c>
      <c r="J14" s="7">
        <v>32.663499999999999</v>
      </c>
      <c r="K14" s="8">
        <v>0</v>
      </c>
      <c r="L14" s="8">
        <v>0</v>
      </c>
      <c r="M14" s="8">
        <v>0</v>
      </c>
      <c r="N14" s="10">
        <v>21.4</v>
      </c>
      <c r="O14" s="11">
        <v>31.147307905744675</v>
      </c>
      <c r="P14" s="12">
        <v>-0.46</v>
      </c>
      <c r="Q14" s="12">
        <v>-4.1500000000000004</v>
      </c>
      <c r="R14" s="12"/>
      <c r="S14" s="5" t="s">
        <v>26</v>
      </c>
      <c r="T14" s="5"/>
      <c r="U14" s="5" t="s">
        <v>32</v>
      </c>
      <c r="V14" s="13"/>
      <c r="W14" s="13"/>
      <c r="X14" s="13"/>
    </row>
    <row r="15" spans="1:24" s="14" customFormat="1">
      <c r="A15" s="5" t="s">
        <v>22</v>
      </c>
      <c r="B15" s="5">
        <v>12</v>
      </c>
      <c r="C15" s="5" t="s">
        <v>28</v>
      </c>
      <c r="D15" s="6">
        <v>42289</v>
      </c>
      <c r="E15" s="1">
        <f t="shared" si="0"/>
        <v>2015</v>
      </c>
      <c r="F15" s="1">
        <f t="shared" si="1"/>
        <v>10</v>
      </c>
      <c r="G15" s="3">
        <f t="shared" si="2"/>
        <v>12</v>
      </c>
      <c r="H15" s="4">
        <v>0.44166666666666665</v>
      </c>
      <c r="I15" s="7">
        <v>125.249</v>
      </c>
      <c r="J15" s="7">
        <v>32.667999999999999</v>
      </c>
      <c r="K15" s="8">
        <v>0</v>
      </c>
      <c r="L15" s="8">
        <v>0</v>
      </c>
      <c r="M15" s="8">
        <v>0</v>
      </c>
      <c r="N15" s="10">
        <v>21.4</v>
      </c>
      <c r="O15" s="11">
        <v>31.029</v>
      </c>
      <c r="P15" s="12">
        <v>-0.56000000000000005</v>
      </c>
      <c r="Q15" s="12">
        <v>-4.91</v>
      </c>
      <c r="R15" s="12"/>
      <c r="S15" s="5" t="s">
        <v>26</v>
      </c>
      <c r="T15" s="5"/>
      <c r="U15" s="5" t="s">
        <v>32</v>
      </c>
      <c r="V15" s="13"/>
      <c r="W15" s="13"/>
      <c r="X15" s="13"/>
    </row>
    <row r="16" spans="1:24" s="14" customFormat="1">
      <c r="A16" s="5" t="s">
        <v>22</v>
      </c>
      <c r="B16" s="5">
        <v>13</v>
      </c>
      <c r="C16" s="5" t="s">
        <v>28</v>
      </c>
      <c r="D16" s="6">
        <v>42289</v>
      </c>
      <c r="E16" s="1">
        <f t="shared" si="0"/>
        <v>2015</v>
      </c>
      <c r="F16" s="1">
        <f t="shared" si="1"/>
        <v>10</v>
      </c>
      <c r="G16" s="3">
        <f t="shared" si="2"/>
        <v>12</v>
      </c>
      <c r="H16" s="4">
        <v>0.57291666666666663</v>
      </c>
      <c r="I16" s="7">
        <v>125.7531</v>
      </c>
      <c r="J16" s="7">
        <v>32.666116666666667</v>
      </c>
      <c r="K16" s="8">
        <v>0</v>
      </c>
      <c r="L16" s="8">
        <v>0</v>
      </c>
      <c r="M16" s="8">
        <v>0</v>
      </c>
      <c r="N16" s="10">
        <v>22</v>
      </c>
      <c r="O16" s="11">
        <v>31.543880096721427</v>
      </c>
      <c r="P16" s="12">
        <v>-0.5</v>
      </c>
      <c r="Q16" s="12">
        <v>-3.78</v>
      </c>
      <c r="R16" s="12"/>
      <c r="S16" s="5" t="s">
        <v>26</v>
      </c>
      <c r="T16" s="5"/>
      <c r="U16" s="5" t="s">
        <v>32</v>
      </c>
      <c r="V16" s="13"/>
      <c r="W16" s="13"/>
      <c r="X16" s="13"/>
    </row>
    <row r="17" spans="1:26" s="14" customFormat="1">
      <c r="A17" s="5" t="s">
        <v>22</v>
      </c>
      <c r="B17" s="5">
        <v>14</v>
      </c>
      <c r="C17" s="5" t="s">
        <v>28</v>
      </c>
      <c r="D17" s="6">
        <v>42289</v>
      </c>
      <c r="E17" s="1">
        <f t="shared" si="0"/>
        <v>2015</v>
      </c>
      <c r="F17" s="1">
        <f t="shared" si="1"/>
        <v>10</v>
      </c>
      <c r="G17" s="3">
        <f t="shared" si="2"/>
        <v>12</v>
      </c>
      <c r="H17" s="4">
        <v>0.86875000000000002</v>
      </c>
      <c r="I17" s="7">
        <v>124.8296</v>
      </c>
      <c r="J17" s="7">
        <v>31.750583333333335</v>
      </c>
      <c r="K17" s="8">
        <v>0</v>
      </c>
      <c r="L17" s="8">
        <v>0</v>
      </c>
      <c r="M17" s="8">
        <v>0</v>
      </c>
      <c r="N17" s="10">
        <v>22</v>
      </c>
      <c r="O17" s="11">
        <v>31.931717620208069</v>
      </c>
      <c r="P17" s="12">
        <v>-0.27</v>
      </c>
      <c r="Q17" s="12">
        <v>-2.71</v>
      </c>
      <c r="R17" s="12"/>
      <c r="S17" s="5" t="s">
        <v>26</v>
      </c>
      <c r="T17" s="5"/>
      <c r="U17" s="5" t="s">
        <v>32</v>
      </c>
      <c r="V17" s="13"/>
      <c r="W17" s="13"/>
      <c r="X17" s="13"/>
    </row>
    <row r="18" spans="1:26" s="14" customFormat="1">
      <c r="A18" s="5" t="s">
        <v>22</v>
      </c>
      <c r="B18" s="5">
        <v>16</v>
      </c>
      <c r="C18" s="5" t="s">
        <v>28</v>
      </c>
      <c r="D18" s="6">
        <v>42289</v>
      </c>
      <c r="E18" s="1">
        <f t="shared" si="0"/>
        <v>2015</v>
      </c>
      <c r="F18" s="1">
        <f t="shared" si="1"/>
        <v>10</v>
      </c>
      <c r="G18" s="3">
        <f t="shared" si="2"/>
        <v>12</v>
      </c>
      <c r="H18" s="4">
        <v>0.99722222222222223</v>
      </c>
      <c r="I18" s="7">
        <v>125.25521666666667</v>
      </c>
      <c r="J18" s="7">
        <v>31.754016666666665</v>
      </c>
      <c r="K18" s="8">
        <v>0</v>
      </c>
      <c r="L18" s="8">
        <v>0</v>
      </c>
      <c r="M18" s="8">
        <v>0</v>
      </c>
      <c r="N18" s="10">
        <v>22.3</v>
      </c>
      <c r="O18" s="11">
        <v>31.178149427791102</v>
      </c>
      <c r="P18" s="12">
        <v>-0.5</v>
      </c>
      <c r="Q18" s="12">
        <v>-4.04</v>
      </c>
      <c r="R18" s="12"/>
      <c r="S18" s="5" t="s">
        <v>26</v>
      </c>
      <c r="T18" s="5">
        <v>1</v>
      </c>
      <c r="U18" s="5" t="s">
        <v>32</v>
      </c>
      <c r="V18" s="13"/>
      <c r="W18" s="13"/>
      <c r="X18" s="13"/>
    </row>
    <row r="19" spans="1:26" s="14" customFormat="1">
      <c r="A19" s="5" t="s">
        <v>22</v>
      </c>
      <c r="B19" s="5">
        <v>16</v>
      </c>
      <c r="C19" s="5" t="s">
        <v>28</v>
      </c>
      <c r="D19" s="6">
        <v>42289</v>
      </c>
      <c r="E19" s="1">
        <f t="shared" si="0"/>
        <v>2015</v>
      </c>
      <c r="F19" s="1">
        <f t="shared" si="1"/>
        <v>10</v>
      </c>
      <c r="G19" s="3">
        <f t="shared" si="2"/>
        <v>12</v>
      </c>
      <c r="H19" s="4">
        <v>0.99722222222222223</v>
      </c>
      <c r="I19" s="7">
        <v>125.25521666666667</v>
      </c>
      <c r="J19" s="7">
        <v>31.754016666666665</v>
      </c>
      <c r="K19" s="8">
        <v>10</v>
      </c>
      <c r="L19" s="8">
        <v>10</v>
      </c>
      <c r="M19" s="8" t="s">
        <v>29</v>
      </c>
      <c r="N19" s="10">
        <v>22.464600000000001</v>
      </c>
      <c r="O19" s="11">
        <v>31.1572</v>
      </c>
      <c r="P19" s="12">
        <v>-0.51</v>
      </c>
      <c r="Q19" s="12">
        <v>-3.99</v>
      </c>
      <c r="R19" s="12"/>
      <c r="S19" s="5" t="s">
        <v>26</v>
      </c>
      <c r="T19" s="5">
        <v>1</v>
      </c>
      <c r="U19" s="5" t="s">
        <v>32</v>
      </c>
      <c r="V19" s="13"/>
      <c r="W19" s="13"/>
      <c r="X19" s="13"/>
    </row>
    <row r="20" spans="1:26" s="14" customFormat="1">
      <c r="A20" s="5" t="s">
        <v>22</v>
      </c>
      <c r="B20" s="5">
        <v>16</v>
      </c>
      <c r="C20" s="5" t="s">
        <v>28</v>
      </c>
      <c r="D20" s="6">
        <v>42289</v>
      </c>
      <c r="E20" s="1">
        <f t="shared" si="0"/>
        <v>2015</v>
      </c>
      <c r="F20" s="1">
        <f t="shared" si="1"/>
        <v>10</v>
      </c>
      <c r="G20" s="3">
        <f t="shared" si="2"/>
        <v>12</v>
      </c>
      <c r="H20" s="4">
        <v>0.99722222222222223</v>
      </c>
      <c r="I20" s="7">
        <v>125.25521666666667</v>
      </c>
      <c r="J20" s="7">
        <v>31.754016666666665</v>
      </c>
      <c r="K20" s="8">
        <v>20</v>
      </c>
      <c r="L20" s="8">
        <v>20</v>
      </c>
      <c r="M20" s="8" t="s">
        <v>29</v>
      </c>
      <c r="N20" s="10">
        <v>22.513000000000002</v>
      </c>
      <c r="O20" s="11">
        <v>31.287099999999999</v>
      </c>
      <c r="P20" s="12">
        <v>-0.5</v>
      </c>
      <c r="Q20" s="12">
        <v>-3.97</v>
      </c>
      <c r="R20" s="12"/>
      <c r="S20" s="5" t="s">
        <v>26</v>
      </c>
      <c r="T20" s="5">
        <v>1</v>
      </c>
      <c r="U20" s="5" t="s">
        <v>32</v>
      </c>
      <c r="V20" s="13"/>
      <c r="W20" s="13"/>
      <c r="X20" s="13"/>
    </row>
    <row r="21" spans="1:26" s="14" customFormat="1">
      <c r="A21" s="5" t="s">
        <v>22</v>
      </c>
      <c r="B21" s="5">
        <v>16</v>
      </c>
      <c r="C21" s="5" t="s">
        <v>28</v>
      </c>
      <c r="D21" s="6">
        <v>42289</v>
      </c>
      <c r="E21" s="1">
        <f t="shared" si="0"/>
        <v>2015</v>
      </c>
      <c r="F21" s="1">
        <f t="shared" si="1"/>
        <v>10</v>
      </c>
      <c r="G21" s="3">
        <f t="shared" si="2"/>
        <v>12</v>
      </c>
      <c r="H21" s="4">
        <v>0.99722222222222223</v>
      </c>
      <c r="I21" s="7">
        <v>125.25521666666667</v>
      </c>
      <c r="J21" s="7">
        <v>31.754016666666665</v>
      </c>
      <c r="K21" s="8">
        <v>30</v>
      </c>
      <c r="L21" s="8">
        <v>30</v>
      </c>
      <c r="M21" s="8" t="s">
        <v>29</v>
      </c>
      <c r="N21" s="10">
        <v>22.820399999999999</v>
      </c>
      <c r="O21" s="11">
        <v>31.843499999999999</v>
      </c>
      <c r="P21" s="12">
        <v>-0.34</v>
      </c>
      <c r="Q21" s="12">
        <v>-3.05</v>
      </c>
      <c r="R21" s="12"/>
      <c r="S21" s="5" t="s">
        <v>26</v>
      </c>
      <c r="T21" s="5">
        <v>1</v>
      </c>
      <c r="U21" s="5" t="s">
        <v>32</v>
      </c>
      <c r="V21" s="13"/>
      <c r="W21" s="13"/>
      <c r="X21" s="13"/>
    </row>
    <row r="22" spans="1:26" s="15" customFormat="1">
      <c r="A22" s="5" t="s">
        <v>22</v>
      </c>
      <c r="B22" s="5">
        <v>16</v>
      </c>
      <c r="C22" s="5" t="s">
        <v>28</v>
      </c>
      <c r="D22" s="6">
        <v>42289</v>
      </c>
      <c r="E22" s="1">
        <f t="shared" si="0"/>
        <v>2015</v>
      </c>
      <c r="F22" s="1">
        <f t="shared" si="1"/>
        <v>10</v>
      </c>
      <c r="G22" s="3">
        <f t="shared" si="2"/>
        <v>12</v>
      </c>
      <c r="H22" s="4">
        <v>0.99722222222222223</v>
      </c>
      <c r="I22" s="7">
        <v>125.25521666666667</v>
      </c>
      <c r="J22" s="7">
        <v>31.754016666666665</v>
      </c>
      <c r="K22" s="8">
        <v>43</v>
      </c>
      <c r="L22" s="8">
        <v>43</v>
      </c>
      <c r="M22" s="8" t="s">
        <v>29</v>
      </c>
      <c r="N22" s="10">
        <v>22.667100000000001</v>
      </c>
      <c r="O22" s="11">
        <v>31.988900000000001</v>
      </c>
      <c r="P22" s="12">
        <v>-0.28999999999999998</v>
      </c>
      <c r="Q22" s="12">
        <v>-2.74</v>
      </c>
      <c r="R22" s="12"/>
      <c r="S22" s="5" t="s">
        <v>26</v>
      </c>
      <c r="T22" s="5">
        <v>1</v>
      </c>
      <c r="U22" s="5" t="s">
        <v>32</v>
      </c>
      <c r="V22" s="13"/>
      <c r="W22" s="13"/>
      <c r="X22" s="13"/>
      <c r="Y22" s="14"/>
      <c r="Z22" s="14"/>
    </row>
    <row r="23" spans="1:26" s="15" customFormat="1">
      <c r="A23" s="5" t="s">
        <v>22</v>
      </c>
      <c r="B23" s="5">
        <v>18</v>
      </c>
      <c r="C23" s="5" t="s">
        <v>28</v>
      </c>
      <c r="D23" s="6">
        <v>42290</v>
      </c>
      <c r="E23" s="1">
        <f t="shared" si="0"/>
        <v>2015</v>
      </c>
      <c r="F23" s="1">
        <f t="shared" si="1"/>
        <v>10</v>
      </c>
      <c r="G23" s="3">
        <f t="shared" si="2"/>
        <v>13</v>
      </c>
      <c r="H23" s="4">
        <v>0.1388888888888889</v>
      </c>
      <c r="I23" s="7">
        <v>125.69625000000001</v>
      </c>
      <c r="J23" s="7">
        <v>31.756683333333335</v>
      </c>
      <c r="K23" s="8">
        <v>0</v>
      </c>
      <c r="L23" s="8">
        <v>0</v>
      </c>
      <c r="M23" s="8">
        <v>0</v>
      </c>
      <c r="N23" s="10">
        <v>22.5</v>
      </c>
      <c r="O23" s="11">
        <v>31.657118414442998</v>
      </c>
      <c r="P23" s="12">
        <v>-0.39</v>
      </c>
      <c r="Q23" s="12">
        <v>-3.25</v>
      </c>
      <c r="R23" s="12"/>
      <c r="S23" s="5" t="s">
        <v>26</v>
      </c>
      <c r="T23" s="5"/>
      <c r="U23" s="5" t="s">
        <v>32</v>
      </c>
      <c r="V23" s="13"/>
      <c r="W23" s="13"/>
      <c r="X23" s="13"/>
      <c r="Y23" s="14"/>
      <c r="Z23" s="14"/>
    </row>
    <row r="24" spans="1:26" s="15" customFormat="1">
      <c r="A24" s="5" t="s">
        <v>22</v>
      </c>
      <c r="B24" s="5">
        <v>20</v>
      </c>
      <c r="C24" s="5" t="s">
        <v>28</v>
      </c>
      <c r="D24" s="6">
        <v>42290</v>
      </c>
      <c r="E24" s="1">
        <f t="shared" si="0"/>
        <v>2015</v>
      </c>
      <c r="F24" s="1">
        <f t="shared" si="1"/>
        <v>10</v>
      </c>
      <c r="G24" s="3">
        <f t="shared" si="2"/>
        <v>13</v>
      </c>
      <c r="H24" s="4">
        <v>0.32569444444444445</v>
      </c>
      <c r="I24" s="7">
        <v>126.30276666666667</v>
      </c>
      <c r="J24" s="7">
        <v>31.737533333333332</v>
      </c>
      <c r="K24" s="8">
        <v>0</v>
      </c>
      <c r="L24" s="8">
        <v>0</v>
      </c>
      <c r="M24" s="8">
        <v>0</v>
      </c>
      <c r="N24" s="10">
        <v>21.9</v>
      </c>
      <c r="O24" s="11">
        <v>32.382926702654949</v>
      </c>
      <c r="P24" s="12">
        <v>-0.17</v>
      </c>
      <c r="Q24" s="12">
        <v>-2.08</v>
      </c>
      <c r="R24" s="12"/>
      <c r="S24" s="5" t="s">
        <v>26</v>
      </c>
      <c r="T24" s="5"/>
      <c r="U24" s="5" t="s">
        <v>32</v>
      </c>
      <c r="V24" s="13"/>
      <c r="W24" s="13"/>
      <c r="X24" s="13"/>
      <c r="Y24" s="14"/>
      <c r="Z24" s="14"/>
    </row>
    <row r="25" spans="1:26" s="15" customFormat="1">
      <c r="A25" s="5" t="s">
        <v>22</v>
      </c>
      <c r="B25" s="5">
        <v>22</v>
      </c>
      <c r="C25" s="5" t="s">
        <v>28</v>
      </c>
      <c r="D25" s="6">
        <v>42290</v>
      </c>
      <c r="E25" s="1">
        <f t="shared" si="0"/>
        <v>2015</v>
      </c>
      <c r="F25" s="1">
        <f t="shared" si="1"/>
        <v>10</v>
      </c>
      <c r="G25" s="3">
        <f t="shared" si="2"/>
        <v>13</v>
      </c>
      <c r="H25" s="4">
        <v>0.5</v>
      </c>
      <c r="I25" s="7">
        <v>126.7989</v>
      </c>
      <c r="J25" s="7">
        <v>31.750316666666667</v>
      </c>
      <c r="K25" s="8">
        <v>0</v>
      </c>
      <c r="L25" s="8">
        <v>0</v>
      </c>
      <c r="M25" s="8">
        <v>0</v>
      </c>
      <c r="N25" s="10">
        <v>23.5</v>
      </c>
      <c r="O25" s="11">
        <v>33.062830176202425</v>
      </c>
      <c r="P25" s="12">
        <v>-0.04</v>
      </c>
      <c r="Q25" s="12">
        <v>-1.06</v>
      </c>
      <c r="R25" s="12"/>
      <c r="S25" s="5" t="s">
        <v>26</v>
      </c>
      <c r="T25" s="5"/>
      <c r="U25" s="5" t="s">
        <v>32</v>
      </c>
      <c r="V25" s="13"/>
      <c r="W25" s="13"/>
      <c r="X25" s="13"/>
      <c r="Y25" s="14"/>
      <c r="Z25" s="14"/>
    </row>
    <row r="26" spans="1:26" s="15" customFormat="1">
      <c r="A26" s="5" t="s">
        <v>22</v>
      </c>
      <c r="B26" s="5">
        <v>24</v>
      </c>
      <c r="C26" s="5" t="s">
        <v>28</v>
      </c>
      <c r="D26" s="6">
        <v>42290</v>
      </c>
      <c r="E26" s="1">
        <f t="shared" si="0"/>
        <v>2015</v>
      </c>
      <c r="F26" s="1">
        <f t="shared" si="1"/>
        <v>10</v>
      </c>
      <c r="G26" s="3">
        <f t="shared" si="2"/>
        <v>13</v>
      </c>
      <c r="H26" s="4">
        <v>0.65</v>
      </c>
      <c r="I26" s="7">
        <v>127.25136666666667</v>
      </c>
      <c r="J26" s="7">
        <v>31.750166666666665</v>
      </c>
      <c r="K26" s="8">
        <v>0</v>
      </c>
      <c r="L26" s="8">
        <v>0</v>
      </c>
      <c r="M26" s="8">
        <v>0</v>
      </c>
      <c r="N26" s="10">
        <v>24.1</v>
      </c>
      <c r="O26" s="11">
        <v>34.13547244601142</v>
      </c>
      <c r="P26" s="12">
        <v>0.25</v>
      </c>
      <c r="Q26" s="12">
        <v>0.85</v>
      </c>
      <c r="R26" s="12"/>
      <c r="S26" s="5" t="s">
        <v>26</v>
      </c>
      <c r="T26" s="5">
        <v>1</v>
      </c>
      <c r="U26" s="5" t="s">
        <v>32</v>
      </c>
      <c r="V26" s="13"/>
      <c r="W26" s="13"/>
      <c r="X26" s="13"/>
      <c r="Y26" s="14"/>
      <c r="Z26" s="14"/>
    </row>
    <row r="27" spans="1:26" s="15" customFormat="1">
      <c r="A27" s="5" t="s">
        <v>22</v>
      </c>
      <c r="B27" s="5">
        <v>24</v>
      </c>
      <c r="C27" s="5" t="s">
        <v>28</v>
      </c>
      <c r="D27" s="6">
        <v>42290</v>
      </c>
      <c r="E27" s="1">
        <f t="shared" si="0"/>
        <v>2015</v>
      </c>
      <c r="F27" s="1">
        <f t="shared" si="1"/>
        <v>10</v>
      </c>
      <c r="G27" s="3">
        <f t="shared" si="2"/>
        <v>13</v>
      </c>
      <c r="H27" s="4">
        <v>0.65</v>
      </c>
      <c r="I27" s="7">
        <v>127.25136666666667</v>
      </c>
      <c r="J27" s="7">
        <v>31.750166666666665</v>
      </c>
      <c r="K27" s="8">
        <v>10</v>
      </c>
      <c r="L27" s="8">
        <v>10</v>
      </c>
      <c r="M27" s="8" t="s">
        <v>29</v>
      </c>
      <c r="N27" s="10">
        <v>24.9053</v>
      </c>
      <c r="O27" s="11">
        <v>34.120400000000004</v>
      </c>
      <c r="P27" s="12">
        <v>0.26</v>
      </c>
      <c r="Q27" s="12">
        <v>0.86</v>
      </c>
      <c r="R27" s="12"/>
      <c r="S27" s="5" t="s">
        <v>26</v>
      </c>
      <c r="T27" s="5">
        <v>1</v>
      </c>
      <c r="U27" s="5" t="s">
        <v>32</v>
      </c>
      <c r="V27" s="13"/>
      <c r="W27" s="13"/>
      <c r="X27" s="13"/>
      <c r="Y27" s="14"/>
      <c r="Z27" s="14"/>
    </row>
    <row r="28" spans="1:26" s="15" customFormat="1">
      <c r="A28" s="5" t="s">
        <v>22</v>
      </c>
      <c r="B28" s="5">
        <v>24</v>
      </c>
      <c r="C28" s="5" t="s">
        <v>28</v>
      </c>
      <c r="D28" s="6">
        <v>42290</v>
      </c>
      <c r="E28" s="1">
        <f t="shared" si="0"/>
        <v>2015</v>
      </c>
      <c r="F28" s="1">
        <f t="shared" si="1"/>
        <v>10</v>
      </c>
      <c r="G28" s="3">
        <f t="shared" si="2"/>
        <v>13</v>
      </c>
      <c r="H28" s="4">
        <v>0.65</v>
      </c>
      <c r="I28" s="7">
        <v>127.25136666666667</v>
      </c>
      <c r="J28" s="7">
        <v>31.750166666666665</v>
      </c>
      <c r="K28" s="8">
        <v>20</v>
      </c>
      <c r="L28" s="8">
        <v>20</v>
      </c>
      <c r="M28" s="8" t="s">
        <v>29</v>
      </c>
      <c r="N28" s="10">
        <v>24.906700000000001</v>
      </c>
      <c r="O28" s="11">
        <v>34.1205</v>
      </c>
      <c r="P28" s="12">
        <v>0.24</v>
      </c>
      <c r="Q28" s="12">
        <v>0.75</v>
      </c>
      <c r="R28" s="12"/>
      <c r="S28" s="5" t="s">
        <v>26</v>
      </c>
      <c r="T28" s="5">
        <v>1</v>
      </c>
      <c r="U28" s="5" t="s">
        <v>32</v>
      </c>
      <c r="V28" s="13"/>
      <c r="W28" s="13"/>
      <c r="X28" s="13"/>
      <c r="Y28" s="14"/>
      <c r="Z28" s="14"/>
    </row>
  </sheetData>
  <autoFilter ref="A1:X28" xr:uid="{0253FD36-6E03-42A4-9659-F22DA23DE40C}">
    <sortState xmlns:xlrd2="http://schemas.microsoft.com/office/spreadsheetml/2017/richdata2" ref="A2:X28">
      <sortCondition ref="C1:C28"/>
    </sortState>
  </autoFilter>
  <phoneticPr fontId="2"/>
  <pageMargins left="0.7" right="0.7" top="0.75" bottom="0.75" header="0.3" footer="0.3"/>
  <pageSetup paperSize="9"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T.Ishimura</dc:creator>
  <cp:lastModifiedBy>T.Ishimura</cp:lastModifiedBy>
  <dcterms:created xsi:type="dcterms:W3CDTF">2024-07-23T11:46:54Z</dcterms:created>
  <dcterms:modified xsi:type="dcterms:W3CDTF">2026-02-24T10:33:29Z</dcterms:modified>
</cp:coreProperties>
</file>