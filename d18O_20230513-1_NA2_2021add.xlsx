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10811"/>
  <workbookPr showInkAnnotation="0" checkCompatibility="1" autoCompressPictures="0"/>
  <mc:AlternateContent xmlns:mc="http://schemas.openxmlformats.org/markup-compatibility/2006">
    <mc:Choice Requires="x15">
      <x15ac:absPath xmlns:x15ac="http://schemas.microsoft.com/office/spreadsheetml/2010/11/ac" url="/Users/toyoho/Documents/study/704-Python/Webアプリ_main134_20230513/Streamlit/streamlit_main/--アップロード用/"/>
    </mc:Choice>
  </mc:AlternateContent>
  <xr:revisionPtr revIDLastSave="0" documentId="13_ncr:1_{FEDB0223-34E7-3443-9A17-EB8A4A3F5F48}" xr6:coauthVersionLast="47" xr6:coauthVersionMax="47" xr10:uidLastSave="{00000000-0000-0000-0000-000000000000}"/>
  <bookViews>
    <workbookView xWindow="0" yWindow="500" windowWidth="31240" windowHeight="24780" tabRatio="500" xr2:uid="{00000000-000D-0000-FFFF-FFFF00000000}"/>
  </bookViews>
  <sheets>
    <sheet name="d18O_20230513(original)" sheetId="7" r:id="rId1"/>
    <sheet name="d18O (no-data avoid_NA2)" sheetId="8" r:id="rId2"/>
    <sheet name="d18O_20230513 (depth)" sheetId="11" r:id="rId3"/>
  </sheets>
  <definedNames>
    <definedName name="_xlnm._FilterDatabase" localSheetId="1" hidden="1">'d18O (no-data avoid_NA2)'!$A$1:$T$2023</definedName>
    <definedName name="_xlnm._FilterDatabase" localSheetId="2" hidden="1">'d18O_20230513 (depth)'!$A$1:$T$1</definedName>
  </definedNames>
  <calcPr calcId="191029"/>
  <extLst>
    <ext xmlns:x14="http://schemas.microsoft.com/office/spreadsheetml/2009/9/main" uri="{79F54976-1DA5-4618-B147-4CDE4B953A38}">
      <x14:workbookPr defaultImageDpi="32767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G924" i="11" l="1"/>
  <c r="F924" i="11"/>
  <c r="E924" i="11"/>
  <c r="G923" i="11"/>
  <c r="F923" i="11"/>
  <c r="E923" i="11"/>
  <c r="G922" i="11"/>
  <c r="F922" i="11"/>
  <c r="E922" i="11"/>
  <c r="G921" i="11"/>
  <c r="F921" i="11"/>
  <c r="E921" i="11"/>
  <c r="G920" i="11"/>
  <c r="F920" i="11"/>
  <c r="E920" i="11"/>
  <c r="G919" i="11"/>
  <c r="F919" i="11"/>
  <c r="E919" i="11"/>
  <c r="G918" i="11"/>
  <c r="F918" i="11"/>
  <c r="E918" i="11"/>
  <c r="G917" i="11"/>
  <c r="F917" i="11"/>
  <c r="E917" i="11"/>
  <c r="G915" i="11"/>
  <c r="F915" i="11"/>
  <c r="E915" i="11"/>
  <c r="G914" i="11"/>
  <c r="F914" i="11"/>
  <c r="E914" i="11"/>
  <c r="G913" i="11"/>
  <c r="F913" i="11"/>
  <c r="E913" i="11"/>
  <c r="G912" i="11"/>
  <c r="F912" i="11"/>
  <c r="E912" i="11"/>
  <c r="G911" i="11"/>
  <c r="F911" i="11"/>
  <c r="E911" i="11"/>
  <c r="G910" i="11"/>
  <c r="F910" i="11"/>
  <c r="E910" i="11"/>
  <c r="G909" i="11"/>
  <c r="F909" i="11"/>
  <c r="E909" i="11"/>
  <c r="G908" i="11"/>
  <c r="F908" i="11"/>
  <c r="E908" i="11"/>
  <c r="G907" i="11"/>
  <c r="F907" i="11"/>
  <c r="E907" i="11"/>
  <c r="G906" i="11"/>
  <c r="F906" i="11"/>
  <c r="E906" i="11"/>
  <c r="G905" i="11"/>
  <c r="F905" i="11"/>
  <c r="E905" i="11"/>
  <c r="G904" i="11"/>
  <c r="F904" i="11"/>
  <c r="E904" i="11"/>
  <c r="G902" i="11"/>
  <c r="F902" i="11"/>
  <c r="E902" i="11"/>
  <c r="G901" i="11"/>
  <c r="F901" i="11"/>
  <c r="E901" i="11"/>
  <c r="G900" i="11"/>
  <c r="F900" i="11"/>
  <c r="E900" i="11"/>
  <c r="G899" i="11"/>
  <c r="F899" i="11"/>
  <c r="E899" i="11"/>
  <c r="G898" i="11"/>
  <c r="F898" i="11"/>
  <c r="E898" i="11"/>
  <c r="G897" i="11"/>
  <c r="F897" i="11"/>
  <c r="E897" i="11"/>
  <c r="G896" i="11"/>
  <c r="F896" i="11"/>
  <c r="E896" i="11"/>
  <c r="G895" i="11"/>
  <c r="F895" i="11"/>
  <c r="E895" i="11"/>
  <c r="G893" i="11"/>
  <c r="F893" i="11"/>
  <c r="E893" i="11"/>
  <c r="G892" i="11"/>
  <c r="F892" i="11"/>
  <c r="E892" i="11"/>
  <c r="G891" i="11"/>
  <c r="F891" i="11"/>
  <c r="E891" i="11"/>
  <c r="G890" i="11"/>
  <c r="F890" i="11"/>
  <c r="E890" i="11"/>
  <c r="G889" i="11"/>
  <c r="F889" i="11"/>
  <c r="E889" i="11"/>
  <c r="G888" i="11"/>
  <c r="F888" i="11"/>
  <c r="E888" i="11"/>
  <c r="G887" i="11"/>
  <c r="F887" i="11"/>
  <c r="E887" i="11"/>
  <c r="G885" i="11"/>
  <c r="F885" i="11"/>
  <c r="E885" i="11"/>
  <c r="G884" i="11"/>
  <c r="F884" i="11"/>
  <c r="E884" i="11"/>
  <c r="G883" i="11"/>
  <c r="F883" i="11"/>
  <c r="E883" i="11"/>
  <c r="G882" i="11"/>
  <c r="F882" i="11"/>
  <c r="E882" i="11"/>
  <c r="G881" i="11"/>
  <c r="F881" i="11"/>
  <c r="E881" i="11"/>
  <c r="G880" i="11"/>
  <c r="F880" i="11"/>
  <c r="E880" i="11"/>
  <c r="G879" i="11"/>
  <c r="F879" i="11"/>
  <c r="E879" i="11"/>
  <c r="G878" i="11"/>
  <c r="F878" i="11"/>
  <c r="E878" i="11"/>
  <c r="G877" i="11"/>
  <c r="F877" i="11"/>
  <c r="E877" i="11"/>
  <c r="G876" i="11"/>
  <c r="F876" i="11"/>
  <c r="E876" i="11"/>
  <c r="G875" i="11"/>
  <c r="F875" i="11"/>
  <c r="E875" i="11"/>
  <c r="G874" i="11"/>
  <c r="F874" i="11"/>
  <c r="E874" i="11"/>
  <c r="J872" i="11"/>
  <c r="I872" i="11"/>
  <c r="G872" i="11"/>
  <c r="F872" i="11"/>
  <c r="E872" i="11"/>
  <c r="J871" i="11"/>
  <c r="I871" i="11"/>
  <c r="G871" i="11"/>
  <c r="F871" i="11"/>
  <c r="E871" i="11"/>
  <c r="J870" i="11"/>
  <c r="I870" i="11"/>
  <c r="G870" i="11"/>
  <c r="F870" i="11"/>
  <c r="E870" i="11"/>
  <c r="J869" i="11"/>
  <c r="I869" i="11"/>
  <c r="G869" i="11"/>
  <c r="F869" i="11"/>
  <c r="E869" i="11"/>
  <c r="J868" i="11"/>
  <c r="I868" i="11"/>
  <c r="G868" i="11"/>
  <c r="F868" i="11"/>
  <c r="E868" i="11"/>
  <c r="J867" i="11"/>
  <c r="I867" i="11"/>
  <c r="G867" i="11"/>
  <c r="F867" i="11"/>
  <c r="E867" i="11"/>
  <c r="J866" i="11"/>
  <c r="I866" i="11"/>
  <c r="G866" i="11"/>
  <c r="F866" i="11"/>
  <c r="E866" i="11"/>
  <c r="J865" i="11"/>
  <c r="I865" i="11"/>
  <c r="G865" i="11"/>
  <c r="F865" i="11"/>
  <c r="E865" i="11"/>
  <c r="J864" i="11"/>
  <c r="I864" i="11"/>
  <c r="G864" i="11"/>
  <c r="F864" i="11"/>
  <c r="E864" i="11"/>
  <c r="J863" i="11"/>
  <c r="I863" i="11"/>
  <c r="G863" i="11"/>
  <c r="F863" i="11"/>
  <c r="E863" i="11"/>
  <c r="J862" i="11"/>
  <c r="I862" i="11"/>
  <c r="G862" i="11"/>
  <c r="F862" i="11"/>
  <c r="E862" i="11"/>
  <c r="J861" i="11"/>
  <c r="I861" i="11"/>
  <c r="G861" i="11"/>
  <c r="F861" i="11"/>
  <c r="E861" i="11"/>
  <c r="J859" i="11"/>
  <c r="I859" i="11"/>
  <c r="G859" i="11"/>
  <c r="F859" i="11"/>
  <c r="E859" i="11"/>
  <c r="J858" i="11"/>
  <c r="I858" i="11"/>
  <c r="G858" i="11"/>
  <c r="F858" i="11"/>
  <c r="E858" i="11"/>
  <c r="J857" i="11"/>
  <c r="I857" i="11"/>
  <c r="G857" i="11"/>
  <c r="F857" i="11"/>
  <c r="E857" i="11"/>
  <c r="J856" i="11"/>
  <c r="I856" i="11"/>
  <c r="G856" i="11"/>
  <c r="F856" i="11"/>
  <c r="E856" i="11"/>
  <c r="J855" i="11"/>
  <c r="I855" i="11"/>
  <c r="G855" i="11"/>
  <c r="F855" i="11"/>
  <c r="E855" i="11"/>
  <c r="J854" i="11"/>
  <c r="I854" i="11"/>
  <c r="G854" i="11"/>
  <c r="F854" i="11"/>
  <c r="E854" i="11"/>
  <c r="J853" i="11"/>
  <c r="I853" i="11"/>
  <c r="G853" i="11"/>
  <c r="F853" i="11"/>
  <c r="E853" i="11"/>
  <c r="J852" i="11"/>
  <c r="I852" i="11"/>
  <c r="G852" i="11"/>
  <c r="F852" i="11"/>
  <c r="E852" i="11"/>
  <c r="J850" i="11"/>
  <c r="I850" i="11"/>
  <c r="F850" i="11"/>
  <c r="E850" i="11"/>
  <c r="J849" i="11"/>
  <c r="I849" i="11"/>
  <c r="F849" i="11"/>
  <c r="E849" i="11"/>
  <c r="J848" i="11"/>
  <c r="I848" i="11"/>
  <c r="F848" i="11"/>
  <c r="E848" i="11"/>
  <c r="J847" i="11"/>
  <c r="I847" i="11"/>
  <c r="F847" i="11"/>
  <c r="E847" i="11"/>
  <c r="J846" i="11"/>
  <c r="I846" i="11"/>
  <c r="F846" i="11"/>
  <c r="E846" i="11"/>
  <c r="J845" i="11"/>
  <c r="I845" i="11"/>
  <c r="F845" i="11"/>
  <c r="E845" i="11"/>
  <c r="J844" i="11"/>
  <c r="I844" i="11"/>
  <c r="F844" i="11"/>
  <c r="E844" i="11"/>
  <c r="J842" i="11"/>
  <c r="I842" i="11"/>
  <c r="J841" i="11"/>
  <c r="I841" i="11"/>
  <c r="J840" i="11"/>
  <c r="I840" i="11"/>
  <c r="J839" i="11"/>
  <c r="I839" i="11"/>
  <c r="J838" i="11"/>
  <c r="I838" i="11"/>
  <c r="J837" i="11"/>
  <c r="I837" i="11"/>
  <c r="J836" i="11"/>
  <c r="I836" i="11"/>
  <c r="J835" i="11"/>
  <c r="I835" i="11"/>
  <c r="J834" i="11"/>
  <c r="I834" i="11"/>
  <c r="J833" i="11"/>
  <c r="I833" i="11"/>
  <c r="J832" i="11"/>
  <c r="I832" i="11"/>
  <c r="J831" i="11"/>
  <c r="I831" i="11"/>
  <c r="J489" i="11"/>
  <c r="I489" i="11"/>
  <c r="G489" i="11"/>
  <c r="F489" i="11"/>
  <c r="E489" i="11"/>
  <c r="J490" i="11"/>
  <c r="I490" i="11"/>
  <c r="G490" i="11"/>
  <c r="F490" i="11"/>
  <c r="E490" i="11"/>
  <c r="J491" i="11"/>
  <c r="I491" i="11"/>
  <c r="G491" i="11"/>
  <c r="F491" i="11"/>
  <c r="E491" i="11"/>
  <c r="J492" i="11"/>
  <c r="I492" i="11"/>
  <c r="G492" i="11"/>
  <c r="F492" i="11"/>
  <c r="E492" i="11"/>
  <c r="J493" i="11"/>
  <c r="I493" i="11"/>
  <c r="G493" i="11"/>
  <c r="F493" i="11"/>
  <c r="E493" i="11"/>
  <c r="J494" i="11"/>
  <c r="I494" i="11"/>
  <c r="G494" i="11"/>
  <c r="F494" i="11"/>
  <c r="E494" i="11"/>
  <c r="J495" i="11"/>
  <c r="I495" i="11"/>
  <c r="G495" i="11"/>
  <c r="F495" i="11"/>
  <c r="E495" i="11"/>
  <c r="J496" i="11"/>
  <c r="I496" i="11"/>
  <c r="G496" i="11"/>
  <c r="F496" i="11"/>
  <c r="E496" i="11"/>
  <c r="J497" i="11"/>
  <c r="I497" i="11"/>
  <c r="G497" i="11"/>
  <c r="F497" i="11"/>
  <c r="E497" i="11"/>
  <c r="J498" i="11"/>
  <c r="I498" i="11"/>
  <c r="G498" i="11"/>
  <c r="F498" i="11"/>
  <c r="E498" i="11"/>
  <c r="J499" i="11"/>
  <c r="I499" i="11"/>
  <c r="G499" i="11"/>
  <c r="F499" i="11"/>
  <c r="E499" i="11"/>
  <c r="J488" i="11"/>
  <c r="I488" i="11"/>
  <c r="G488" i="11"/>
  <c r="F488" i="11"/>
  <c r="E488" i="11"/>
  <c r="J480" i="11"/>
  <c r="I480" i="11"/>
  <c r="G480" i="11"/>
  <c r="F480" i="11"/>
  <c r="E480" i="11"/>
  <c r="J481" i="11"/>
  <c r="I481" i="11"/>
  <c r="G481" i="11"/>
  <c r="F481" i="11"/>
  <c r="E481" i="11"/>
  <c r="J482" i="11"/>
  <c r="I482" i="11"/>
  <c r="G482" i="11"/>
  <c r="F482" i="11"/>
  <c r="E482" i="11"/>
  <c r="J483" i="11"/>
  <c r="I483" i="11"/>
  <c r="G483" i="11"/>
  <c r="F483" i="11"/>
  <c r="E483" i="11"/>
  <c r="J484" i="11"/>
  <c r="I484" i="11"/>
  <c r="G484" i="11"/>
  <c r="F484" i="11"/>
  <c r="E484" i="11"/>
  <c r="J485" i="11"/>
  <c r="I485" i="11"/>
  <c r="G485" i="11"/>
  <c r="F485" i="11"/>
  <c r="E485" i="11"/>
  <c r="J486" i="11"/>
  <c r="I486" i="11"/>
  <c r="G486" i="11"/>
  <c r="F486" i="11"/>
  <c r="E486" i="11"/>
  <c r="J479" i="11"/>
  <c r="I479" i="11"/>
  <c r="G479" i="11"/>
  <c r="F479" i="11"/>
  <c r="E479" i="11"/>
  <c r="J471" i="11"/>
  <c r="I471" i="11"/>
  <c r="G471" i="11"/>
  <c r="F471" i="11"/>
  <c r="E471" i="11"/>
  <c r="J472" i="11"/>
  <c r="I472" i="11"/>
  <c r="G472" i="11"/>
  <c r="F472" i="11"/>
  <c r="E472" i="11"/>
  <c r="J473" i="11"/>
  <c r="I473" i="11"/>
  <c r="G473" i="11"/>
  <c r="F473" i="11"/>
  <c r="E473" i="11"/>
  <c r="J474" i="11"/>
  <c r="I474" i="11"/>
  <c r="G474" i="11"/>
  <c r="F474" i="11"/>
  <c r="E474" i="11"/>
  <c r="J475" i="11"/>
  <c r="I475" i="11"/>
  <c r="G475" i="11"/>
  <c r="F475" i="11"/>
  <c r="E475" i="11"/>
  <c r="J476" i="11"/>
  <c r="I476" i="11"/>
  <c r="G476" i="11"/>
  <c r="F476" i="11"/>
  <c r="E476" i="11"/>
  <c r="J477" i="11"/>
  <c r="I477" i="11"/>
  <c r="G477" i="11"/>
  <c r="F477" i="11"/>
  <c r="E477" i="11"/>
  <c r="J470" i="11"/>
  <c r="I470" i="11"/>
  <c r="G470" i="11"/>
  <c r="F470" i="11"/>
  <c r="E470" i="11"/>
  <c r="J461" i="11"/>
  <c r="I461" i="11"/>
  <c r="G461" i="11"/>
  <c r="F461" i="11"/>
  <c r="E461" i="11"/>
  <c r="J457" i="11"/>
  <c r="I457" i="11"/>
  <c r="G457" i="11"/>
  <c r="F457" i="11"/>
  <c r="E457" i="11"/>
  <c r="J458" i="11"/>
  <c r="I458" i="11"/>
  <c r="G458" i="11"/>
  <c r="F458" i="11"/>
  <c r="E458" i="11"/>
  <c r="J459" i="11"/>
  <c r="I459" i="11"/>
  <c r="G459" i="11"/>
  <c r="F459" i="11"/>
  <c r="E459" i="11"/>
  <c r="J460" i="11"/>
  <c r="I460" i="11"/>
  <c r="G460" i="11"/>
  <c r="F460" i="11"/>
  <c r="E460" i="11"/>
  <c r="J462" i="11"/>
  <c r="I462" i="11"/>
  <c r="G462" i="11"/>
  <c r="F462" i="11"/>
  <c r="E462" i="11"/>
  <c r="J463" i="11"/>
  <c r="I463" i="11"/>
  <c r="G463" i="11"/>
  <c r="F463" i="11"/>
  <c r="E463" i="11"/>
  <c r="J464" i="11"/>
  <c r="I464" i="11"/>
  <c r="G464" i="11"/>
  <c r="F464" i="11"/>
  <c r="E464" i="11"/>
  <c r="J465" i="11"/>
  <c r="I465" i="11"/>
  <c r="G465" i="11"/>
  <c r="F465" i="11"/>
  <c r="E465" i="11"/>
  <c r="J466" i="11"/>
  <c r="I466" i="11"/>
  <c r="G466" i="11"/>
  <c r="F466" i="11"/>
  <c r="E466" i="11"/>
  <c r="J467" i="11"/>
  <c r="I467" i="11"/>
  <c r="G467" i="11"/>
  <c r="F467" i="11"/>
  <c r="E467" i="11"/>
  <c r="J468" i="11"/>
  <c r="I468" i="11"/>
  <c r="G468" i="11"/>
  <c r="F468" i="11"/>
  <c r="E468" i="11"/>
  <c r="J456" i="11"/>
  <c r="I456" i="11"/>
  <c r="G456" i="11"/>
  <c r="F456" i="11"/>
  <c r="E456" i="11"/>
  <c r="J444" i="11"/>
  <c r="I444" i="11"/>
  <c r="G444" i="11"/>
  <c r="F444" i="11"/>
  <c r="E444" i="11"/>
  <c r="J445" i="11"/>
  <c r="I445" i="11"/>
  <c r="G445" i="11"/>
  <c r="F445" i="11"/>
  <c r="E445" i="11"/>
  <c r="J446" i="11"/>
  <c r="I446" i="11"/>
  <c r="G446" i="11"/>
  <c r="F446" i="11"/>
  <c r="E446" i="11"/>
  <c r="J447" i="11"/>
  <c r="I447" i="11"/>
  <c r="G447" i="11"/>
  <c r="F447" i="11"/>
  <c r="E447" i="11"/>
  <c r="J448" i="11"/>
  <c r="I448" i="11"/>
  <c r="G448" i="11"/>
  <c r="F448" i="11"/>
  <c r="E448" i="11"/>
  <c r="J449" i="11"/>
  <c r="I449" i="11"/>
  <c r="G449" i="11"/>
  <c r="F449" i="11"/>
  <c r="E449" i="11"/>
  <c r="J450" i="11"/>
  <c r="I450" i="11"/>
  <c r="G450" i="11"/>
  <c r="F450" i="11"/>
  <c r="E450" i="11"/>
  <c r="J451" i="11"/>
  <c r="I451" i="11"/>
  <c r="G451" i="11"/>
  <c r="F451" i="11"/>
  <c r="E451" i="11"/>
  <c r="J452" i="11"/>
  <c r="I452" i="11"/>
  <c r="G452" i="11"/>
  <c r="F452" i="11"/>
  <c r="E452" i="11"/>
  <c r="J453" i="11"/>
  <c r="I453" i="11"/>
  <c r="G453" i="11"/>
  <c r="F453" i="11"/>
  <c r="E453" i="11"/>
  <c r="J454" i="11"/>
  <c r="I454" i="11"/>
  <c r="G454" i="11"/>
  <c r="F454" i="11"/>
  <c r="E454" i="11"/>
  <c r="J443" i="11"/>
  <c r="I443" i="11"/>
  <c r="G443" i="11"/>
  <c r="F443" i="11"/>
  <c r="E443" i="11"/>
  <c r="J436" i="11"/>
  <c r="I436" i="11"/>
  <c r="G436" i="11"/>
  <c r="F436" i="11"/>
  <c r="E436" i="11"/>
  <c r="J437" i="11"/>
  <c r="I437" i="11"/>
  <c r="G437" i="11"/>
  <c r="F437" i="11"/>
  <c r="E437" i="11"/>
  <c r="J438" i="11"/>
  <c r="I438" i="11"/>
  <c r="G438" i="11"/>
  <c r="F438" i="11"/>
  <c r="E438" i="11"/>
  <c r="J439" i="11"/>
  <c r="I439" i="11"/>
  <c r="G439" i="11"/>
  <c r="F439" i="11"/>
  <c r="E439" i="11"/>
  <c r="J440" i="11"/>
  <c r="I440" i="11"/>
  <c r="G440" i="11"/>
  <c r="F440" i="11"/>
  <c r="E440" i="11"/>
  <c r="J441" i="11"/>
  <c r="I441" i="11"/>
  <c r="G441" i="11"/>
  <c r="F441" i="11"/>
  <c r="E441" i="11"/>
  <c r="J435" i="11"/>
  <c r="I435" i="11"/>
  <c r="G435" i="11"/>
  <c r="F435" i="11"/>
  <c r="E435" i="11"/>
  <c r="J427" i="11"/>
  <c r="I427" i="11"/>
  <c r="G427" i="11"/>
  <c r="F427" i="11"/>
  <c r="E427" i="11"/>
  <c r="J428" i="11"/>
  <c r="I428" i="11"/>
  <c r="G428" i="11"/>
  <c r="F428" i="11"/>
  <c r="E428" i="11"/>
  <c r="J429" i="11"/>
  <c r="I429" i="11"/>
  <c r="G429" i="11"/>
  <c r="F429" i="11"/>
  <c r="E429" i="11"/>
  <c r="J430" i="11"/>
  <c r="I430" i="11"/>
  <c r="G430" i="11"/>
  <c r="F430" i="11"/>
  <c r="E430" i="11"/>
  <c r="J431" i="11"/>
  <c r="I431" i="11"/>
  <c r="G431" i="11"/>
  <c r="F431" i="11"/>
  <c r="E431" i="11"/>
  <c r="J432" i="11"/>
  <c r="I432" i="11"/>
  <c r="G432" i="11"/>
  <c r="F432" i="11"/>
  <c r="E432" i="11"/>
  <c r="J433" i="11"/>
  <c r="I433" i="11"/>
  <c r="G433" i="11"/>
  <c r="F433" i="11"/>
  <c r="E433" i="11"/>
  <c r="J426" i="11"/>
  <c r="I426" i="11"/>
  <c r="G426" i="11"/>
  <c r="F426" i="11"/>
  <c r="E426" i="11"/>
  <c r="J414" i="11"/>
  <c r="I414" i="11"/>
  <c r="G414" i="11"/>
  <c r="F414" i="11"/>
  <c r="E414" i="11"/>
  <c r="J415" i="11"/>
  <c r="I415" i="11"/>
  <c r="G415" i="11"/>
  <c r="F415" i="11"/>
  <c r="E415" i="11"/>
  <c r="J416" i="11"/>
  <c r="I416" i="11"/>
  <c r="G416" i="11"/>
  <c r="F416" i="11"/>
  <c r="E416" i="11"/>
  <c r="J417" i="11"/>
  <c r="I417" i="11"/>
  <c r="G417" i="11"/>
  <c r="F417" i="11"/>
  <c r="E417" i="11"/>
  <c r="J418" i="11"/>
  <c r="I418" i="11"/>
  <c r="G418" i="11"/>
  <c r="F418" i="11"/>
  <c r="E418" i="11"/>
  <c r="J419" i="11"/>
  <c r="I419" i="11"/>
  <c r="G419" i="11"/>
  <c r="F419" i="11"/>
  <c r="E419" i="11"/>
  <c r="J420" i="11"/>
  <c r="I420" i="11"/>
  <c r="G420" i="11"/>
  <c r="F420" i="11"/>
  <c r="E420" i="11"/>
  <c r="J421" i="11"/>
  <c r="I421" i="11"/>
  <c r="G421" i="11"/>
  <c r="F421" i="11"/>
  <c r="E421" i="11"/>
  <c r="J422" i="11"/>
  <c r="I422" i="11"/>
  <c r="G422" i="11"/>
  <c r="F422" i="11"/>
  <c r="E422" i="11"/>
  <c r="J423" i="11"/>
  <c r="I423" i="11"/>
  <c r="G423" i="11"/>
  <c r="F423" i="11"/>
  <c r="E423" i="11"/>
  <c r="J424" i="11"/>
  <c r="I424" i="11"/>
  <c r="G424" i="11"/>
  <c r="F424" i="11"/>
  <c r="E424" i="11"/>
  <c r="J413" i="11"/>
  <c r="I413" i="11"/>
  <c r="G413" i="11"/>
  <c r="F413" i="11"/>
  <c r="E413" i="11"/>
  <c r="J403" i="11"/>
  <c r="I403" i="11"/>
  <c r="G403" i="11"/>
  <c r="F403" i="11"/>
  <c r="E403" i="11"/>
  <c r="J404" i="11"/>
  <c r="I404" i="11"/>
  <c r="G404" i="11"/>
  <c r="F404" i="11"/>
  <c r="E404" i="11"/>
  <c r="J405" i="11"/>
  <c r="I405" i="11"/>
  <c r="G405" i="11"/>
  <c r="F405" i="11"/>
  <c r="E405" i="11"/>
  <c r="J406" i="11"/>
  <c r="I406" i="11"/>
  <c r="G406" i="11"/>
  <c r="F406" i="11"/>
  <c r="E406" i="11"/>
  <c r="J407" i="11"/>
  <c r="I407" i="11"/>
  <c r="G407" i="11"/>
  <c r="F407" i="11"/>
  <c r="E407" i="11"/>
  <c r="J408" i="11"/>
  <c r="I408" i="11"/>
  <c r="G408" i="11"/>
  <c r="F408" i="11"/>
  <c r="E408" i="11"/>
  <c r="J409" i="11"/>
  <c r="I409" i="11"/>
  <c r="G409" i="11"/>
  <c r="F409" i="11"/>
  <c r="E409" i="11"/>
  <c r="J410" i="11"/>
  <c r="I410" i="11"/>
  <c r="G410" i="11"/>
  <c r="F410" i="11"/>
  <c r="E410" i="11"/>
  <c r="J411" i="11"/>
  <c r="I411" i="11"/>
  <c r="G411" i="11"/>
  <c r="F411" i="11"/>
  <c r="E411" i="11"/>
  <c r="J402" i="11"/>
  <c r="I402" i="11"/>
  <c r="G402" i="11"/>
  <c r="F402" i="11"/>
  <c r="E402" i="11"/>
  <c r="J394" i="11"/>
  <c r="I394" i="11"/>
  <c r="G394" i="11"/>
  <c r="F394" i="11"/>
  <c r="E394" i="11"/>
  <c r="J395" i="11"/>
  <c r="I395" i="11"/>
  <c r="G395" i="11"/>
  <c r="F395" i="11"/>
  <c r="E395" i="11"/>
  <c r="J396" i="11"/>
  <c r="I396" i="11"/>
  <c r="G396" i="11"/>
  <c r="F396" i="11"/>
  <c r="E396" i="11"/>
  <c r="J397" i="11"/>
  <c r="I397" i="11"/>
  <c r="G397" i="11"/>
  <c r="F397" i="11"/>
  <c r="E397" i="11"/>
  <c r="J398" i="11"/>
  <c r="I398" i="11"/>
  <c r="G398" i="11"/>
  <c r="F398" i="11"/>
  <c r="E398" i="11"/>
  <c r="J399" i="11"/>
  <c r="I399" i="11"/>
  <c r="G399" i="11"/>
  <c r="F399" i="11"/>
  <c r="E399" i="11"/>
  <c r="J400" i="11"/>
  <c r="I400" i="11"/>
  <c r="G400" i="11"/>
  <c r="F400" i="11"/>
  <c r="E400" i="11"/>
  <c r="J393" i="11"/>
  <c r="I393" i="11"/>
  <c r="G393" i="11"/>
  <c r="F393" i="11"/>
  <c r="E393" i="11"/>
  <c r="G391" i="11"/>
  <c r="F391" i="11"/>
  <c r="E391" i="11"/>
  <c r="G390" i="11"/>
  <c r="F390" i="11"/>
  <c r="E390" i="11"/>
  <c r="G389" i="11"/>
  <c r="F389" i="11"/>
  <c r="E389" i="11"/>
  <c r="G387" i="11"/>
  <c r="F387" i="11"/>
  <c r="E387" i="11"/>
  <c r="G386" i="11"/>
  <c r="F386" i="11"/>
  <c r="E386" i="11"/>
  <c r="G385" i="11"/>
  <c r="F385" i="11"/>
  <c r="E385" i="11"/>
  <c r="G383" i="11"/>
  <c r="F383" i="11"/>
  <c r="E383" i="11"/>
  <c r="G382" i="11"/>
  <c r="F382" i="11"/>
  <c r="E382" i="11"/>
  <c r="G381" i="11"/>
  <c r="F381" i="11"/>
  <c r="E381" i="11"/>
  <c r="G379" i="11"/>
  <c r="F379" i="11"/>
  <c r="E379" i="11"/>
  <c r="G378" i="11"/>
  <c r="F378" i="11"/>
  <c r="E378" i="11"/>
  <c r="G377" i="11"/>
  <c r="F377" i="11"/>
  <c r="E377" i="11"/>
  <c r="G375" i="11"/>
  <c r="F375" i="11"/>
  <c r="E375" i="11"/>
  <c r="G374" i="11"/>
  <c r="F374" i="11"/>
  <c r="E374" i="11"/>
  <c r="G373" i="11"/>
  <c r="F373" i="11"/>
  <c r="E373" i="11"/>
  <c r="G371" i="11"/>
  <c r="F371" i="11"/>
  <c r="E371" i="11"/>
  <c r="G370" i="11"/>
  <c r="F370" i="11"/>
  <c r="E370" i="11"/>
  <c r="G369" i="11"/>
  <c r="F369" i="11"/>
  <c r="E369" i="11"/>
  <c r="G367" i="11"/>
  <c r="F367" i="11"/>
  <c r="E367" i="11"/>
  <c r="G366" i="11"/>
  <c r="F366" i="11"/>
  <c r="E366" i="11"/>
  <c r="G365" i="11"/>
  <c r="F365" i="11"/>
  <c r="E365" i="11"/>
  <c r="G363" i="11"/>
  <c r="F363" i="11"/>
  <c r="E363" i="11"/>
  <c r="G362" i="11"/>
  <c r="F362" i="11"/>
  <c r="E362" i="11"/>
  <c r="G361" i="11"/>
  <c r="F361" i="11"/>
  <c r="E361" i="11"/>
  <c r="G359" i="11"/>
  <c r="F359" i="11"/>
  <c r="E359" i="11"/>
  <c r="G358" i="11"/>
  <c r="F358" i="11"/>
  <c r="E358" i="11"/>
  <c r="G357" i="11"/>
  <c r="F357" i="11"/>
  <c r="E357" i="11"/>
  <c r="G355" i="11"/>
  <c r="F355" i="11"/>
  <c r="E355" i="11"/>
  <c r="G354" i="11"/>
  <c r="F354" i="11"/>
  <c r="E354" i="11"/>
  <c r="G353" i="11"/>
  <c r="F353" i="11"/>
  <c r="E353" i="11"/>
  <c r="G351" i="11"/>
  <c r="F351" i="11"/>
  <c r="E351" i="11"/>
  <c r="G350" i="11"/>
  <c r="F350" i="11"/>
  <c r="E350" i="11"/>
  <c r="G349" i="11"/>
  <c r="F349" i="11"/>
  <c r="E349" i="11"/>
  <c r="G347" i="11"/>
  <c r="F347" i="11"/>
  <c r="E347" i="11"/>
  <c r="G346" i="11"/>
  <c r="F346" i="11"/>
  <c r="E346" i="11"/>
  <c r="G345" i="11"/>
  <c r="F345" i="11"/>
  <c r="E345" i="11"/>
  <c r="G343" i="11"/>
  <c r="F343" i="11"/>
  <c r="E343" i="11"/>
  <c r="G342" i="11"/>
  <c r="F342" i="11"/>
  <c r="E342" i="11"/>
  <c r="G341" i="11"/>
  <c r="F341" i="11"/>
  <c r="E341" i="11"/>
  <c r="G339" i="11"/>
  <c r="F339" i="11"/>
  <c r="E339" i="11"/>
  <c r="G338" i="11"/>
  <c r="F338" i="11"/>
  <c r="E338" i="11"/>
  <c r="G337" i="11"/>
  <c r="F337" i="11"/>
  <c r="E337" i="11"/>
  <c r="G335" i="11"/>
  <c r="F335" i="11"/>
  <c r="E335" i="11"/>
  <c r="G334" i="11"/>
  <c r="F334" i="11"/>
  <c r="E334" i="11"/>
  <c r="G333" i="11"/>
  <c r="F333" i="11"/>
  <c r="E333" i="11"/>
  <c r="G331" i="11"/>
  <c r="F331" i="11"/>
  <c r="E331" i="11"/>
  <c r="G330" i="11"/>
  <c r="F330" i="11"/>
  <c r="E330" i="11"/>
  <c r="G329" i="11"/>
  <c r="F329" i="11"/>
  <c r="E329" i="11"/>
  <c r="G327" i="11"/>
  <c r="F327" i="11"/>
  <c r="E327" i="11"/>
  <c r="G326" i="11"/>
  <c r="F326" i="11"/>
  <c r="E326" i="11"/>
  <c r="G325" i="11"/>
  <c r="F325" i="11"/>
  <c r="E325" i="11"/>
  <c r="G324" i="11"/>
  <c r="F324" i="11"/>
  <c r="E324" i="11"/>
  <c r="G323" i="11"/>
  <c r="F323" i="11"/>
  <c r="E323" i="11"/>
  <c r="G322" i="11"/>
  <c r="F322" i="11"/>
  <c r="E322" i="11"/>
  <c r="G321" i="11"/>
  <c r="F321" i="11"/>
  <c r="E321" i="11"/>
  <c r="G320" i="11"/>
  <c r="F320" i="11"/>
  <c r="E320" i="11"/>
  <c r="G319" i="11"/>
  <c r="F319" i="11"/>
  <c r="E319" i="11"/>
  <c r="G318" i="11"/>
  <c r="F318" i="11"/>
  <c r="E318" i="11"/>
  <c r="G317" i="11"/>
  <c r="F317" i="11"/>
  <c r="E317" i="11"/>
  <c r="G316" i="11"/>
  <c r="F316" i="11"/>
  <c r="E316" i="11"/>
  <c r="G314" i="11"/>
  <c r="F314" i="11"/>
  <c r="E314" i="11"/>
  <c r="G313" i="11"/>
  <c r="F313" i="11"/>
  <c r="E313" i="11"/>
  <c r="G312" i="11"/>
  <c r="F312" i="11"/>
  <c r="E312" i="11"/>
  <c r="G311" i="11"/>
  <c r="F311" i="11"/>
  <c r="E311" i="11"/>
  <c r="G310" i="11"/>
  <c r="F310" i="11"/>
  <c r="E310" i="11"/>
  <c r="G309" i="11"/>
  <c r="F309" i="11"/>
  <c r="E309" i="11"/>
  <c r="G308" i="11"/>
  <c r="F308" i="11"/>
  <c r="E308" i="11"/>
  <c r="G307" i="11"/>
  <c r="F307" i="11"/>
  <c r="E307" i="11"/>
  <c r="G305" i="11"/>
  <c r="F305" i="11"/>
  <c r="E305" i="11"/>
  <c r="G304" i="11"/>
  <c r="F304" i="11"/>
  <c r="E304" i="11"/>
  <c r="G303" i="11"/>
  <c r="F303" i="11"/>
  <c r="E303" i="11"/>
  <c r="G302" i="11"/>
  <c r="F302" i="11"/>
  <c r="E302" i="11"/>
  <c r="G301" i="11"/>
  <c r="F301" i="11"/>
  <c r="E301" i="11"/>
  <c r="G300" i="11"/>
  <c r="F300" i="11"/>
  <c r="E300" i="11"/>
  <c r="G298" i="11"/>
  <c r="F298" i="11"/>
  <c r="E298" i="11"/>
  <c r="G297" i="11"/>
  <c r="F297" i="11"/>
  <c r="E297" i="11"/>
  <c r="G296" i="11"/>
  <c r="F296" i="11"/>
  <c r="E296" i="11"/>
  <c r="G295" i="11"/>
  <c r="F295" i="11"/>
  <c r="E295" i="11"/>
  <c r="G294" i="11"/>
  <c r="F294" i="11"/>
  <c r="E294" i="11"/>
  <c r="G293" i="11"/>
  <c r="F293" i="11"/>
  <c r="E293" i="11"/>
  <c r="G291" i="11"/>
  <c r="F291" i="11"/>
  <c r="E291" i="11"/>
  <c r="G290" i="11"/>
  <c r="F290" i="11"/>
  <c r="E290" i="11"/>
  <c r="G289" i="11"/>
  <c r="F289" i="11"/>
  <c r="E289" i="11"/>
  <c r="G288" i="11"/>
  <c r="F288" i="11"/>
  <c r="E288" i="11"/>
  <c r="G287" i="11"/>
  <c r="F287" i="11"/>
  <c r="E287" i="11"/>
  <c r="G286" i="11"/>
  <c r="F286" i="11"/>
  <c r="E286" i="11"/>
  <c r="G284" i="11"/>
  <c r="F284" i="11"/>
  <c r="E284" i="11"/>
  <c r="G283" i="11"/>
  <c r="F283" i="11"/>
  <c r="E283" i="11"/>
  <c r="G282" i="11"/>
  <c r="F282" i="11"/>
  <c r="E282" i="11"/>
  <c r="G281" i="11"/>
  <c r="F281" i="11"/>
  <c r="E281" i="11"/>
  <c r="G280" i="11"/>
  <c r="F280" i="11"/>
  <c r="E280" i="11"/>
  <c r="G279" i="11"/>
  <c r="F279" i="11"/>
  <c r="E279" i="11"/>
  <c r="G278" i="11"/>
  <c r="F278" i="11"/>
  <c r="E278" i="11"/>
  <c r="G276" i="11"/>
  <c r="F276" i="11"/>
  <c r="E276" i="11"/>
  <c r="G275" i="11"/>
  <c r="F275" i="11"/>
  <c r="E275" i="11"/>
  <c r="G274" i="11"/>
  <c r="F274" i="11"/>
  <c r="E274" i="11"/>
  <c r="G273" i="11"/>
  <c r="F273" i="11"/>
  <c r="E273" i="11"/>
  <c r="G272" i="11"/>
  <c r="F272" i="11"/>
  <c r="E272" i="11"/>
  <c r="G271" i="11"/>
  <c r="F271" i="11"/>
  <c r="E271" i="11"/>
  <c r="G270" i="11"/>
  <c r="F270" i="11"/>
  <c r="E270" i="11"/>
  <c r="G269" i="11"/>
  <c r="F269" i="11"/>
  <c r="E269" i="11"/>
  <c r="G267" i="11"/>
  <c r="F267" i="11"/>
  <c r="E267" i="11"/>
  <c r="G266" i="11"/>
  <c r="F266" i="11"/>
  <c r="E266" i="11"/>
  <c r="G265" i="11"/>
  <c r="F265" i="11"/>
  <c r="E265" i="11"/>
  <c r="G264" i="11"/>
  <c r="F264" i="11"/>
  <c r="E264" i="11"/>
  <c r="G263" i="11"/>
  <c r="F263" i="11"/>
  <c r="E263" i="11"/>
  <c r="G262" i="11"/>
  <c r="F262" i="11"/>
  <c r="E262" i="11"/>
  <c r="G260" i="11"/>
  <c r="F260" i="11"/>
  <c r="E260" i="11"/>
  <c r="G259" i="11"/>
  <c r="F259" i="11"/>
  <c r="E259" i="11"/>
  <c r="G258" i="11"/>
  <c r="F258" i="11"/>
  <c r="E258" i="11"/>
  <c r="G257" i="11"/>
  <c r="F257" i="11"/>
  <c r="E257" i="11"/>
  <c r="G256" i="11"/>
  <c r="F256" i="11"/>
  <c r="E256" i="11"/>
  <c r="G255" i="11"/>
  <c r="F255" i="11"/>
  <c r="E255" i="11"/>
  <c r="G254" i="11"/>
  <c r="F254" i="11"/>
  <c r="E254" i="11"/>
  <c r="G252" i="11"/>
  <c r="F252" i="11"/>
  <c r="E252" i="11"/>
  <c r="G251" i="11"/>
  <c r="F251" i="11"/>
  <c r="E251" i="11"/>
  <c r="G250" i="11"/>
  <c r="F250" i="11"/>
  <c r="E250" i="11"/>
  <c r="G249" i="11"/>
  <c r="F249" i="11"/>
  <c r="E249" i="11"/>
  <c r="G248" i="11"/>
  <c r="F248" i="11"/>
  <c r="E248" i="11"/>
  <c r="G247" i="11"/>
  <c r="F247" i="11"/>
  <c r="E247" i="11"/>
  <c r="G246" i="11"/>
  <c r="F246" i="11"/>
  <c r="E246" i="11"/>
  <c r="G245" i="11"/>
  <c r="F245" i="11"/>
  <c r="E245" i="11"/>
  <c r="G243" i="11"/>
  <c r="F243" i="11"/>
  <c r="E243" i="11"/>
  <c r="G242" i="11"/>
  <c r="F242" i="11"/>
  <c r="E242" i="11"/>
  <c r="G241" i="11"/>
  <c r="F241" i="11"/>
  <c r="E241" i="11"/>
  <c r="G240" i="11"/>
  <c r="F240" i="11"/>
  <c r="E240" i="11"/>
  <c r="G239" i="11"/>
  <c r="F239" i="11"/>
  <c r="E239" i="11"/>
  <c r="G238" i="11"/>
  <c r="F238" i="11"/>
  <c r="E238" i="11"/>
  <c r="G237" i="11"/>
  <c r="F237" i="11"/>
  <c r="E237" i="11"/>
  <c r="G236" i="11"/>
  <c r="F236" i="11"/>
  <c r="E236" i="11"/>
  <c r="G234" i="11"/>
  <c r="F234" i="11"/>
  <c r="E234" i="11"/>
  <c r="G233" i="11"/>
  <c r="F233" i="11"/>
  <c r="E233" i="11"/>
  <c r="G232" i="11"/>
  <c r="F232" i="11"/>
  <c r="E232" i="11"/>
  <c r="G231" i="11"/>
  <c r="F231" i="11"/>
  <c r="E231" i="11"/>
  <c r="G230" i="11"/>
  <c r="F230" i="11"/>
  <c r="E230" i="11"/>
  <c r="G229" i="11"/>
  <c r="F229" i="11"/>
  <c r="E229" i="11"/>
  <c r="G228" i="11"/>
  <c r="F228" i="11"/>
  <c r="E228" i="11"/>
  <c r="G227" i="11"/>
  <c r="F227" i="11"/>
  <c r="E227" i="11"/>
  <c r="G226" i="11"/>
  <c r="F226" i="11"/>
  <c r="E226" i="11"/>
  <c r="G224" i="11"/>
  <c r="F224" i="11"/>
  <c r="E224" i="11"/>
  <c r="G223" i="11"/>
  <c r="F223" i="11"/>
  <c r="E223" i="11"/>
  <c r="G222" i="11"/>
  <c r="F222" i="11"/>
  <c r="E222" i="11"/>
  <c r="G221" i="11"/>
  <c r="F221" i="11"/>
  <c r="E221" i="11"/>
  <c r="G220" i="11"/>
  <c r="F220" i="11"/>
  <c r="E220" i="11"/>
  <c r="G219" i="11"/>
  <c r="F219" i="11"/>
  <c r="E219" i="11"/>
  <c r="G218" i="11"/>
  <c r="F218" i="11"/>
  <c r="E218" i="11"/>
  <c r="G217" i="11"/>
  <c r="F217" i="11"/>
  <c r="E217" i="11"/>
  <c r="G216" i="11"/>
  <c r="F216" i="11"/>
  <c r="E216" i="11"/>
  <c r="G215" i="11"/>
  <c r="F215" i="11"/>
  <c r="E215" i="11"/>
  <c r="G213" i="11"/>
  <c r="F213" i="11"/>
  <c r="E213" i="11"/>
  <c r="G212" i="11"/>
  <c r="F212" i="11"/>
  <c r="E212" i="11"/>
  <c r="G211" i="11"/>
  <c r="F211" i="11"/>
  <c r="E211" i="11"/>
  <c r="G210" i="11"/>
  <c r="F210" i="11"/>
  <c r="E210" i="11"/>
  <c r="G209" i="11"/>
  <c r="F209" i="11"/>
  <c r="E209" i="11"/>
  <c r="G208" i="11"/>
  <c r="F208" i="11"/>
  <c r="E208" i="11"/>
  <c r="G207" i="11"/>
  <c r="F207" i="11"/>
  <c r="E207" i="11"/>
  <c r="G206" i="11"/>
  <c r="F206" i="11"/>
  <c r="E206" i="11"/>
  <c r="G205" i="11"/>
  <c r="F205" i="11"/>
  <c r="E205" i="11"/>
  <c r="G203" i="11"/>
  <c r="F203" i="11"/>
  <c r="E203" i="11"/>
  <c r="G202" i="11"/>
  <c r="F202" i="11"/>
  <c r="E202" i="11"/>
  <c r="G201" i="11"/>
  <c r="F201" i="11"/>
  <c r="E201" i="11"/>
  <c r="G200" i="11"/>
  <c r="F200" i="11"/>
  <c r="E200" i="11"/>
  <c r="G199" i="11"/>
  <c r="F199" i="11"/>
  <c r="E199" i="11"/>
  <c r="G198" i="11"/>
  <c r="F198" i="11"/>
  <c r="E198" i="11"/>
  <c r="G197" i="11"/>
  <c r="F197" i="11"/>
  <c r="E197" i="11"/>
  <c r="G196" i="11"/>
  <c r="F196" i="11"/>
  <c r="E196" i="11"/>
  <c r="G195" i="11"/>
  <c r="F195" i="11"/>
  <c r="E195" i="11"/>
  <c r="G193" i="11"/>
  <c r="F193" i="11"/>
  <c r="E193" i="11"/>
  <c r="G192" i="11"/>
  <c r="F192" i="11"/>
  <c r="E192" i="11"/>
  <c r="G191" i="11"/>
  <c r="F191" i="11"/>
  <c r="E191" i="11"/>
  <c r="G190" i="11"/>
  <c r="F190" i="11"/>
  <c r="E190" i="11"/>
  <c r="G189" i="11"/>
  <c r="F189" i="11"/>
  <c r="E189" i="11"/>
  <c r="G188" i="11"/>
  <c r="F188" i="11"/>
  <c r="E188" i="11"/>
  <c r="G187" i="11"/>
  <c r="F187" i="11"/>
  <c r="E187" i="11"/>
  <c r="G186" i="11"/>
  <c r="F186" i="11"/>
  <c r="E186" i="11"/>
  <c r="G185" i="11"/>
  <c r="F185" i="11"/>
  <c r="E185" i="11"/>
  <c r="G184" i="11"/>
  <c r="F184" i="11"/>
  <c r="E184" i="11"/>
  <c r="G182" i="11"/>
  <c r="F182" i="11"/>
  <c r="E182" i="11"/>
  <c r="G181" i="11"/>
  <c r="F181" i="11"/>
  <c r="E181" i="11"/>
  <c r="G180" i="11"/>
  <c r="F180" i="11"/>
  <c r="E180" i="11"/>
  <c r="G178" i="11"/>
  <c r="F178" i="11"/>
  <c r="E178" i="11"/>
  <c r="G177" i="11"/>
  <c r="F177" i="11"/>
  <c r="E177" i="11"/>
  <c r="G176" i="11"/>
  <c r="F176" i="11"/>
  <c r="E176" i="11"/>
  <c r="G175" i="11"/>
  <c r="F175" i="11"/>
  <c r="E175" i="11"/>
  <c r="G174" i="11"/>
  <c r="F174" i="11"/>
  <c r="E174" i="11"/>
  <c r="G173" i="11"/>
  <c r="F173" i="11"/>
  <c r="E173" i="11"/>
  <c r="G172" i="11"/>
  <c r="F172" i="11"/>
  <c r="E172" i="11"/>
  <c r="G171" i="11"/>
  <c r="F171" i="11"/>
  <c r="E171" i="11"/>
  <c r="G170" i="11"/>
  <c r="F170" i="11"/>
  <c r="E170" i="11"/>
  <c r="G169" i="11"/>
  <c r="F169" i="11"/>
  <c r="E169" i="11"/>
  <c r="G167" i="11"/>
  <c r="F167" i="11"/>
  <c r="E167" i="11"/>
  <c r="G166" i="11"/>
  <c r="F166" i="11"/>
  <c r="E166" i="11"/>
  <c r="G165" i="11"/>
  <c r="F165" i="11"/>
  <c r="E165" i="11"/>
  <c r="G164" i="11"/>
  <c r="F164" i="11"/>
  <c r="E164" i="11"/>
  <c r="G163" i="11"/>
  <c r="F163" i="11"/>
  <c r="E163" i="11"/>
  <c r="G162" i="11"/>
  <c r="F162" i="11"/>
  <c r="E162" i="11"/>
  <c r="G161" i="11"/>
  <c r="F161" i="11"/>
  <c r="E161" i="11"/>
  <c r="G160" i="11"/>
  <c r="F160" i="11"/>
  <c r="E160" i="11"/>
  <c r="G159" i="11"/>
  <c r="F159" i="11"/>
  <c r="E159" i="11"/>
  <c r="G157" i="11"/>
  <c r="F157" i="11"/>
  <c r="E157" i="11"/>
  <c r="G156" i="11"/>
  <c r="F156" i="11"/>
  <c r="E156" i="11"/>
  <c r="G155" i="11"/>
  <c r="F155" i="11"/>
  <c r="E155" i="11"/>
  <c r="G154" i="11"/>
  <c r="F154" i="11"/>
  <c r="E154" i="11"/>
  <c r="G153" i="11"/>
  <c r="F153" i="11"/>
  <c r="E153" i="11"/>
  <c r="G152" i="11"/>
  <c r="F152" i="11"/>
  <c r="E152" i="11"/>
  <c r="G151" i="11"/>
  <c r="F151" i="11"/>
  <c r="E151" i="11"/>
  <c r="G150" i="11"/>
  <c r="F150" i="11"/>
  <c r="E150" i="11"/>
  <c r="G149" i="11"/>
  <c r="F149" i="11"/>
  <c r="E149" i="11"/>
  <c r="G148" i="11"/>
  <c r="F148" i="11"/>
  <c r="E148" i="11"/>
  <c r="G146" i="11"/>
  <c r="F146" i="11"/>
  <c r="E146" i="11"/>
  <c r="G145" i="11"/>
  <c r="F145" i="11"/>
  <c r="E145" i="11"/>
  <c r="G144" i="11"/>
  <c r="F144" i="11"/>
  <c r="E144" i="11"/>
  <c r="G143" i="11"/>
  <c r="F143" i="11"/>
  <c r="E143" i="11"/>
  <c r="G142" i="11"/>
  <c r="F142" i="11"/>
  <c r="E142" i="11"/>
  <c r="G141" i="11"/>
  <c r="F141" i="11"/>
  <c r="E141" i="11"/>
  <c r="G140" i="11"/>
  <c r="F140" i="11"/>
  <c r="E140" i="11"/>
  <c r="G139" i="11"/>
  <c r="F139" i="11"/>
  <c r="E139" i="11"/>
  <c r="G138" i="11"/>
  <c r="F138" i="11"/>
  <c r="E138" i="11"/>
  <c r="G136" i="11"/>
  <c r="F136" i="11"/>
  <c r="E136" i="11"/>
  <c r="G135" i="11"/>
  <c r="F135" i="11"/>
  <c r="E135" i="11"/>
  <c r="G134" i="11"/>
  <c r="F134" i="11"/>
  <c r="E134" i="11"/>
  <c r="G133" i="11"/>
  <c r="F133" i="11"/>
  <c r="E133" i="11"/>
  <c r="G132" i="11"/>
  <c r="F132" i="11"/>
  <c r="E132" i="11"/>
  <c r="G131" i="11"/>
  <c r="F131" i="11"/>
  <c r="E131" i="11"/>
  <c r="G130" i="11"/>
  <c r="F130" i="11"/>
  <c r="E130" i="11"/>
  <c r="G129" i="11"/>
  <c r="F129" i="11"/>
  <c r="E129" i="11"/>
  <c r="G128" i="11"/>
  <c r="F128" i="11"/>
  <c r="E128" i="11"/>
  <c r="G127" i="11"/>
  <c r="F127" i="11"/>
  <c r="E127" i="11"/>
  <c r="G125" i="11"/>
  <c r="F125" i="11"/>
  <c r="E125" i="11"/>
  <c r="G124" i="11"/>
  <c r="F124" i="11"/>
  <c r="E124" i="11"/>
  <c r="G123" i="11"/>
  <c r="F123" i="11"/>
  <c r="E123" i="11"/>
  <c r="G122" i="11"/>
  <c r="F122" i="11"/>
  <c r="E122" i="11"/>
  <c r="G121" i="11"/>
  <c r="F121" i="11"/>
  <c r="E121" i="11"/>
  <c r="G120" i="11"/>
  <c r="F120" i="11"/>
  <c r="E120" i="11"/>
  <c r="G119" i="11"/>
  <c r="F119" i="11"/>
  <c r="E119" i="11"/>
  <c r="G118" i="11"/>
  <c r="F118" i="11"/>
  <c r="E118" i="11"/>
  <c r="G117" i="11"/>
  <c r="F117" i="11"/>
  <c r="E117" i="11"/>
  <c r="G115" i="11"/>
  <c r="F115" i="11"/>
  <c r="E115" i="11"/>
  <c r="G114" i="11"/>
  <c r="F114" i="11"/>
  <c r="E114" i="11"/>
  <c r="G113" i="11"/>
  <c r="F113" i="11"/>
  <c r="E113" i="11"/>
  <c r="G112" i="11"/>
  <c r="F112" i="11"/>
  <c r="E112" i="11"/>
  <c r="G111" i="11"/>
  <c r="F111" i="11"/>
  <c r="E111" i="11"/>
  <c r="G110" i="11"/>
  <c r="F110" i="11"/>
  <c r="E110" i="11"/>
  <c r="G109" i="11"/>
  <c r="F109" i="11"/>
  <c r="E109" i="11"/>
  <c r="G108" i="11"/>
  <c r="F108" i="11"/>
  <c r="E108" i="11"/>
  <c r="G107" i="11"/>
  <c r="F107" i="11"/>
  <c r="E107" i="11"/>
  <c r="G106" i="11"/>
  <c r="F106" i="11"/>
  <c r="E106" i="11"/>
  <c r="G105" i="11"/>
  <c r="F105" i="11"/>
  <c r="E105" i="11"/>
  <c r="G104" i="11"/>
  <c r="F104" i="11"/>
  <c r="E104" i="11"/>
  <c r="G103" i="11"/>
  <c r="F103" i="11"/>
  <c r="E103" i="11"/>
  <c r="G101" i="11"/>
  <c r="F101" i="11"/>
  <c r="E101" i="11"/>
  <c r="G100" i="11"/>
  <c r="F100" i="11"/>
  <c r="E100" i="11"/>
  <c r="G99" i="11"/>
  <c r="F99" i="11"/>
  <c r="E99" i="11"/>
  <c r="G98" i="11"/>
  <c r="F98" i="11"/>
  <c r="E98" i="11"/>
  <c r="G97" i="11"/>
  <c r="F97" i="11"/>
  <c r="E97" i="11"/>
  <c r="G96" i="11"/>
  <c r="F96" i="11"/>
  <c r="E96" i="11"/>
  <c r="G95" i="11"/>
  <c r="F95" i="11"/>
  <c r="E95" i="11"/>
  <c r="G94" i="11"/>
  <c r="F94" i="11"/>
  <c r="E94" i="11"/>
  <c r="G93" i="11"/>
  <c r="F93" i="11"/>
  <c r="E93" i="11"/>
  <c r="G91" i="11"/>
  <c r="F91" i="11"/>
  <c r="E91" i="11"/>
  <c r="G90" i="11"/>
  <c r="F90" i="11"/>
  <c r="E90" i="11"/>
  <c r="G89" i="11"/>
  <c r="F89" i="11"/>
  <c r="E89" i="11"/>
  <c r="G88" i="11"/>
  <c r="F88" i="11"/>
  <c r="E88" i="11"/>
  <c r="G87" i="11"/>
  <c r="F87" i="11"/>
  <c r="E87" i="11"/>
  <c r="G86" i="11"/>
  <c r="F86" i="11"/>
  <c r="E86" i="11"/>
  <c r="G85" i="11"/>
  <c r="F85" i="11"/>
  <c r="E85" i="11"/>
  <c r="G84" i="11"/>
  <c r="F84" i="11"/>
  <c r="E84" i="11"/>
  <c r="G83" i="11"/>
  <c r="F83" i="11"/>
  <c r="E83" i="11"/>
  <c r="G82" i="11"/>
  <c r="F82" i="11"/>
  <c r="E82" i="11"/>
  <c r="G81" i="11"/>
  <c r="F81" i="11"/>
  <c r="E81" i="11"/>
  <c r="G80" i="11"/>
  <c r="F80" i="11"/>
  <c r="E80" i="11"/>
  <c r="G66" i="11"/>
  <c r="F66" i="11"/>
  <c r="E66" i="11"/>
  <c r="G78" i="11"/>
  <c r="F78" i="11"/>
  <c r="E78" i="11"/>
  <c r="G77" i="11"/>
  <c r="F77" i="11"/>
  <c r="E77" i="11"/>
  <c r="G76" i="11"/>
  <c r="F76" i="11"/>
  <c r="E76" i="11"/>
  <c r="G75" i="11"/>
  <c r="F75" i="11"/>
  <c r="E75" i="11"/>
  <c r="G74" i="11"/>
  <c r="F74" i="11"/>
  <c r="E74" i="11"/>
  <c r="G73" i="11"/>
  <c r="F73" i="11"/>
  <c r="E73" i="11"/>
  <c r="G72" i="11"/>
  <c r="F72" i="11"/>
  <c r="E72" i="11"/>
  <c r="G71" i="11"/>
  <c r="F71" i="11"/>
  <c r="E71" i="11"/>
  <c r="G70" i="11"/>
  <c r="F70" i="11"/>
  <c r="E70" i="11"/>
  <c r="G69" i="11"/>
  <c r="F69" i="11"/>
  <c r="E69" i="11"/>
  <c r="G68" i="11"/>
  <c r="F68" i="11"/>
  <c r="E68" i="11"/>
  <c r="G67" i="11"/>
  <c r="F67" i="11"/>
  <c r="E67" i="11"/>
  <c r="G64" i="11"/>
  <c r="F64" i="11"/>
  <c r="E64" i="11"/>
  <c r="G63" i="11"/>
  <c r="F63" i="11"/>
  <c r="E63" i="11"/>
  <c r="G62" i="11"/>
  <c r="F62" i="11"/>
  <c r="E62" i="11"/>
  <c r="G61" i="11"/>
  <c r="F61" i="11"/>
  <c r="E61" i="11"/>
  <c r="G60" i="11"/>
  <c r="F60" i="11"/>
  <c r="E60" i="11"/>
  <c r="G59" i="11"/>
  <c r="F59" i="11"/>
  <c r="E59" i="11"/>
  <c r="G58" i="11"/>
  <c r="F58" i="11"/>
  <c r="E58" i="11"/>
  <c r="G57" i="11"/>
  <c r="F57" i="11"/>
  <c r="E57" i="11"/>
  <c r="G55" i="11"/>
  <c r="F55" i="11"/>
  <c r="E55" i="11"/>
  <c r="G54" i="11"/>
  <c r="F54" i="11"/>
  <c r="E54" i="11"/>
  <c r="G53" i="11"/>
  <c r="F53" i="11"/>
  <c r="E53" i="11"/>
  <c r="G52" i="11"/>
  <c r="F52" i="11"/>
  <c r="E52" i="11"/>
  <c r="G51" i="11"/>
  <c r="F51" i="11"/>
  <c r="E51" i="11"/>
  <c r="G50" i="11"/>
  <c r="F50" i="11"/>
  <c r="E50" i="11"/>
  <c r="G49" i="11"/>
  <c r="F49" i="11"/>
  <c r="E49" i="11"/>
  <c r="G48" i="11"/>
  <c r="F48" i="11"/>
  <c r="E48" i="11"/>
  <c r="G47" i="11"/>
  <c r="F47" i="11"/>
  <c r="E47" i="11"/>
  <c r="G46" i="11"/>
  <c r="F46" i="11"/>
  <c r="E46" i="11"/>
  <c r="G45" i="11"/>
  <c r="F45" i="11"/>
  <c r="E45" i="11"/>
  <c r="G44" i="11"/>
  <c r="F44" i="11"/>
  <c r="E44" i="11"/>
  <c r="G41" i="11"/>
  <c r="F41" i="11"/>
  <c r="E41" i="11"/>
  <c r="G40" i="11"/>
  <c r="F40" i="11"/>
  <c r="E40" i="11"/>
  <c r="G39" i="11"/>
  <c r="F39" i="11"/>
  <c r="E39" i="11"/>
  <c r="G38" i="11"/>
  <c r="F38" i="11"/>
  <c r="E38" i="11"/>
  <c r="G37" i="11"/>
  <c r="F37" i="11"/>
  <c r="E37" i="11"/>
  <c r="G36" i="11"/>
  <c r="F36" i="11"/>
  <c r="E36" i="11"/>
  <c r="G35" i="11"/>
  <c r="F35" i="11"/>
  <c r="E35" i="11"/>
  <c r="G34" i="11"/>
  <c r="F34" i="11"/>
  <c r="E34" i="11"/>
  <c r="G32" i="11"/>
  <c r="F32" i="11"/>
  <c r="E32" i="11"/>
  <c r="G31" i="11"/>
  <c r="F31" i="11"/>
  <c r="E31" i="11"/>
  <c r="G30" i="11"/>
  <c r="F30" i="11"/>
  <c r="E30" i="11"/>
  <c r="G29" i="11"/>
  <c r="F29" i="11"/>
  <c r="E29" i="11"/>
  <c r="G28" i="11"/>
  <c r="F28" i="11"/>
  <c r="E28" i="11"/>
  <c r="G26" i="11"/>
  <c r="F26" i="11"/>
  <c r="E26" i="11"/>
  <c r="G25" i="11"/>
  <c r="F25" i="11"/>
  <c r="E25" i="11"/>
  <c r="G24" i="11"/>
  <c r="F24" i="11"/>
  <c r="E24" i="11"/>
  <c r="G23" i="11"/>
  <c r="F23" i="11"/>
  <c r="E23" i="11"/>
  <c r="G22" i="11"/>
  <c r="F22" i="11"/>
  <c r="E22" i="11"/>
  <c r="G20" i="11"/>
  <c r="F20" i="11"/>
  <c r="E20" i="11"/>
  <c r="G19" i="11"/>
  <c r="F19" i="11"/>
  <c r="E19" i="11"/>
  <c r="G18" i="11"/>
  <c r="F18" i="11"/>
  <c r="E18" i="11"/>
  <c r="G16" i="11"/>
  <c r="F16" i="11"/>
  <c r="E16" i="11"/>
  <c r="G15" i="11"/>
  <c r="F15" i="11"/>
  <c r="E15" i="11"/>
  <c r="G14" i="11"/>
  <c r="F14" i="11"/>
  <c r="E14" i="11"/>
  <c r="G12" i="11"/>
  <c r="F12" i="11"/>
  <c r="E12" i="11"/>
  <c r="G11" i="11"/>
  <c r="F11" i="11"/>
  <c r="E11" i="11"/>
  <c r="G10" i="11"/>
  <c r="F10" i="11"/>
  <c r="E10" i="11"/>
  <c r="G8" i="11"/>
  <c r="F8" i="11"/>
  <c r="E8" i="11"/>
  <c r="G7" i="11"/>
  <c r="F7" i="11"/>
  <c r="E7" i="11"/>
  <c r="G6" i="11"/>
  <c r="F6" i="11"/>
  <c r="E6" i="11"/>
  <c r="G4" i="11"/>
  <c r="F4" i="11"/>
  <c r="E4" i="11"/>
  <c r="G3" i="11"/>
  <c r="F3" i="11"/>
  <c r="E3" i="11"/>
  <c r="G2" i="11"/>
  <c r="F2" i="11"/>
  <c r="E2" i="11"/>
  <c r="G1106" i="8"/>
  <c r="F1106" i="8"/>
  <c r="E1106" i="8"/>
  <c r="G1105" i="8"/>
  <c r="F1105" i="8"/>
  <c r="E1105" i="8"/>
  <c r="G1104" i="8"/>
  <c r="F1104" i="8"/>
  <c r="E1104" i="8"/>
  <c r="G1103" i="8"/>
  <c r="F1103" i="8"/>
  <c r="E1103" i="8"/>
  <c r="G1102" i="8"/>
  <c r="F1102" i="8"/>
  <c r="E1102" i="8"/>
  <c r="G1101" i="8"/>
  <c r="F1101" i="8"/>
  <c r="E1101" i="8"/>
  <c r="G1100" i="8"/>
  <c r="F1100" i="8"/>
  <c r="E1100" i="8"/>
  <c r="G1099" i="8"/>
  <c r="F1099" i="8"/>
  <c r="E1099" i="8"/>
  <c r="G1098" i="8"/>
  <c r="F1098" i="8"/>
  <c r="E1098" i="8"/>
  <c r="G1097" i="8"/>
  <c r="F1097" i="8"/>
  <c r="E1097" i="8"/>
  <c r="G1096" i="8"/>
  <c r="F1096" i="8"/>
  <c r="E1096" i="8"/>
  <c r="G1095" i="8"/>
  <c r="F1095" i="8"/>
  <c r="E1095" i="8"/>
  <c r="G1094" i="8"/>
  <c r="F1094" i="8"/>
  <c r="E1094" i="8"/>
  <c r="G1093" i="8"/>
  <c r="F1093" i="8"/>
  <c r="E1093" i="8"/>
  <c r="G1092" i="8"/>
  <c r="F1092" i="8"/>
  <c r="E1092" i="8"/>
  <c r="G1091" i="8"/>
  <c r="F1091" i="8"/>
  <c r="E1091" i="8"/>
  <c r="G1090" i="8"/>
  <c r="F1090" i="8"/>
  <c r="E1090" i="8"/>
  <c r="G1089" i="8"/>
  <c r="F1089" i="8"/>
  <c r="E1089" i="8"/>
  <c r="G1088" i="8"/>
  <c r="F1088" i="8"/>
  <c r="E1088" i="8"/>
  <c r="G1087" i="8"/>
  <c r="F1087" i="8"/>
  <c r="E1087" i="8"/>
  <c r="G1086" i="8"/>
  <c r="F1086" i="8"/>
  <c r="E1086" i="8"/>
  <c r="G1085" i="8"/>
  <c r="F1085" i="8"/>
  <c r="E1085" i="8"/>
  <c r="G1084" i="8"/>
  <c r="F1084" i="8"/>
  <c r="E1084" i="8"/>
  <c r="G1083" i="8"/>
  <c r="F1083" i="8"/>
  <c r="E1083" i="8"/>
  <c r="G1082" i="8"/>
  <c r="F1082" i="8"/>
  <c r="E1082" i="8"/>
  <c r="G1081" i="8"/>
  <c r="F1081" i="8"/>
  <c r="E1081" i="8"/>
  <c r="G1080" i="8"/>
  <c r="F1080" i="8"/>
  <c r="E1080" i="8"/>
  <c r="G1079" i="8"/>
  <c r="F1079" i="8"/>
  <c r="E1079" i="8"/>
  <c r="G1078" i="8"/>
  <c r="F1078" i="8"/>
  <c r="E1078" i="8"/>
  <c r="G1077" i="8"/>
  <c r="F1077" i="8"/>
  <c r="E1077" i="8"/>
  <c r="G1076" i="8"/>
  <c r="F1076" i="8"/>
  <c r="E1076" i="8"/>
  <c r="G1075" i="8"/>
  <c r="F1075" i="8"/>
  <c r="E1075" i="8"/>
  <c r="G1074" i="8"/>
  <c r="F1074" i="8"/>
  <c r="E1074" i="8"/>
  <c r="G1073" i="8"/>
  <c r="F1073" i="8"/>
  <c r="E1073" i="8"/>
  <c r="G1072" i="8"/>
  <c r="F1072" i="8"/>
  <c r="E1072" i="8"/>
  <c r="G1071" i="8"/>
  <c r="F1071" i="8"/>
  <c r="E1071" i="8"/>
  <c r="G1070" i="8"/>
  <c r="F1070" i="8"/>
  <c r="E1070" i="8"/>
  <c r="G1069" i="8"/>
  <c r="F1069" i="8"/>
  <c r="E1069" i="8"/>
  <c r="G1068" i="8"/>
  <c r="F1068" i="8"/>
  <c r="E1068" i="8"/>
  <c r="G1067" i="8"/>
  <c r="F1067" i="8"/>
  <c r="E1067" i="8"/>
  <c r="G1066" i="8"/>
  <c r="F1066" i="8"/>
  <c r="E1066" i="8"/>
  <c r="G1065" i="8"/>
  <c r="F1065" i="8"/>
  <c r="E1065" i="8"/>
  <c r="G1064" i="8"/>
  <c r="F1064" i="8"/>
  <c r="E1064" i="8"/>
  <c r="G1063" i="8"/>
  <c r="F1063" i="8"/>
  <c r="E1063" i="8"/>
  <c r="G1062" i="8"/>
  <c r="F1062" i="8"/>
  <c r="E1062" i="8"/>
  <c r="G1061" i="8"/>
  <c r="F1061" i="8"/>
  <c r="E1061" i="8"/>
  <c r="G1060" i="8"/>
  <c r="F1060" i="8"/>
  <c r="E1060" i="8"/>
  <c r="G1059" i="8"/>
  <c r="F1059" i="8"/>
  <c r="E1059" i="8"/>
  <c r="D1768" i="8"/>
  <c r="D1767" i="8"/>
  <c r="D1766" i="8"/>
  <c r="D1765" i="8"/>
  <c r="D1764" i="8"/>
  <c r="D1763" i="8"/>
  <c r="D1762" i="8"/>
  <c r="D1761" i="8"/>
  <c r="D1760" i="8"/>
  <c r="D1759" i="8"/>
  <c r="D1758" i="8"/>
  <c r="D1757" i="8"/>
  <c r="D1756" i="8"/>
  <c r="D1755" i="8"/>
  <c r="D1754" i="8"/>
  <c r="D1753" i="8"/>
  <c r="D1752" i="8"/>
  <c r="D1751" i="8"/>
  <c r="D1750" i="8"/>
  <c r="D1749" i="8"/>
  <c r="D1748" i="8"/>
  <c r="D1747" i="8"/>
  <c r="D1746" i="8"/>
  <c r="D1745" i="8"/>
  <c r="D1744" i="8"/>
  <c r="D1743" i="8"/>
  <c r="D1742" i="8"/>
  <c r="D1741" i="8"/>
  <c r="G1740" i="8"/>
  <c r="F1740" i="8"/>
  <c r="E1740" i="8"/>
  <c r="G1739" i="8"/>
  <c r="F1739" i="8"/>
  <c r="E1739" i="8"/>
  <c r="G1738" i="8"/>
  <c r="F1738" i="8"/>
  <c r="E1738" i="8"/>
  <c r="G1737" i="8"/>
  <c r="F1737" i="8"/>
  <c r="E1737" i="8"/>
  <c r="G1736" i="8"/>
  <c r="F1736" i="8"/>
  <c r="E1736" i="8"/>
  <c r="G1735" i="8"/>
  <c r="F1735" i="8"/>
  <c r="E1735" i="8"/>
  <c r="G1734" i="8"/>
  <c r="F1734" i="8"/>
  <c r="E1734" i="8"/>
  <c r="G1733" i="8"/>
  <c r="F1733" i="8"/>
  <c r="E1733" i="8"/>
  <c r="G1732" i="8"/>
  <c r="F1732" i="8"/>
  <c r="E1732" i="8"/>
  <c r="G1731" i="8"/>
  <c r="F1731" i="8"/>
  <c r="E1731" i="8"/>
  <c r="G1730" i="8"/>
  <c r="F1730" i="8"/>
  <c r="E1730" i="8"/>
  <c r="G1729" i="8"/>
  <c r="F1729" i="8"/>
  <c r="E1729" i="8"/>
  <c r="G1728" i="8"/>
  <c r="F1728" i="8"/>
  <c r="E1728" i="8"/>
  <c r="G1727" i="8"/>
  <c r="F1727" i="8"/>
  <c r="E1727" i="8"/>
  <c r="G1726" i="8"/>
  <c r="F1726" i="8"/>
  <c r="E1726" i="8"/>
  <c r="G1725" i="8"/>
  <c r="F1725" i="8"/>
  <c r="E1725" i="8"/>
  <c r="G1724" i="8"/>
  <c r="F1724" i="8"/>
  <c r="E1724" i="8"/>
  <c r="G1723" i="8"/>
  <c r="F1723" i="8"/>
  <c r="E1723" i="8"/>
  <c r="G1722" i="8"/>
  <c r="F1722" i="8"/>
  <c r="E1722" i="8"/>
  <c r="G1721" i="8"/>
  <c r="F1721" i="8"/>
  <c r="E1721" i="8"/>
  <c r="G1720" i="8"/>
  <c r="F1720" i="8"/>
  <c r="E1720" i="8"/>
  <c r="G315" i="8"/>
  <c r="F315" i="8"/>
  <c r="E315" i="8"/>
  <c r="G314" i="8"/>
  <c r="F314" i="8"/>
  <c r="E314" i="8"/>
  <c r="G313" i="8"/>
  <c r="F313" i="8"/>
  <c r="E313" i="8"/>
  <c r="G312" i="8"/>
  <c r="F312" i="8"/>
  <c r="E312" i="8"/>
  <c r="G311" i="8"/>
  <c r="F311" i="8"/>
  <c r="E311" i="8"/>
  <c r="G310" i="8"/>
  <c r="F310" i="8"/>
  <c r="E310" i="8"/>
  <c r="G309" i="8"/>
  <c r="F309" i="8"/>
  <c r="E309" i="8"/>
  <c r="G308" i="8"/>
  <c r="F308" i="8"/>
  <c r="E308" i="8"/>
  <c r="G307" i="8"/>
  <c r="F307" i="8"/>
  <c r="E307" i="8"/>
  <c r="G306" i="8"/>
  <c r="F306" i="8"/>
  <c r="E306" i="8"/>
  <c r="G305" i="8"/>
  <c r="F305" i="8"/>
  <c r="E305" i="8"/>
  <c r="G304" i="8"/>
  <c r="F304" i="8"/>
  <c r="E304" i="8"/>
  <c r="G303" i="8"/>
  <c r="F303" i="8"/>
  <c r="E303" i="8"/>
  <c r="G302" i="8"/>
  <c r="F302" i="8"/>
  <c r="E302" i="8"/>
  <c r="G301" i="8"/>
  <c r="F301" i="8"/>
  <c r="E301" i="8"/>
  <c r="G300" i="8"/>
  <c r="F300" i="8"/>
  <c r="E300" i="8"/>
  <c r="G299" i="8"/>
  <c r="F299" i="8"/>
  <c r="E299" i="8"/>
  <c r="G298" i="8"/>
  <c r="F298" i="8"/>
  <c r="E298" i="8"/>
  <c r="G297" i="8"/>
  <c r="F297" i="8"/>
  <c r="E297" i="8"/>
  <c r="G296" i="8"/>
  <c r="F296" i="8"/>
  <c r="E296" i="8"/>
  <c r="G295" i="8"/>
  <c r="F295" i="8"/>
  <c r="E295" i="8"/>
  <c r="G294" i="8"/>
  <c r="F294" i="8"/>
  <c r="E294" i="8"/>
  <c r="G293" i="8"/>
  <c r="F293" i="8"/>
  <c r="E293" i="8"/>
  <c r="G292" i="8"/>
  <c r="F292" i="8"/>
  <c r="E292" i="8"/>
  <c r="G291" i="8"/>
  <c r="F291" i="8"/>
  <c r="E291" i="8"/>
  <c r="G512" i="8"/>
  <c r="F512" i="8"/>
  <c r="E512" i="8"/>
  <c r="G927" i="8"/>
  <c r="F927" i="8"/>
  <c r="E927" i="8"/>
  <c r="G926" i="8"/>
  <c r="F926" i="8"/>
  <c r="E926" i="8"/>
  <c r="G925" i="8"/>
  <c r="F925" i="8"/>
  <c r="E925" i="8"/>
  <c r="G924" i="8"/>
  <c r="F924" i="8"/>
  <c r="E924" i="8"/>
  <c r="G923" i="8"/>
  <c r="F923" i="8"/>
  <c r="E923" i="8"/>
  <c r="G922" i="8"/>
  <c r="F922" i="8"/>
  <c r="E922" i="8"/>
  <c r="G921" i="8"/>
  <c r="F921" i="8"/>
  <c r="E921" i="8"/>
  <c r="G920" i="8"/>
  <c r="F920" i="8"/>
  <c r="E920" i="8"/>
  <c r="G919" i="8"/>
  <c r="F919" i="8"/>
  <c r="E919" i="8"/>
  <c r="G918" i="8"/>
  <c r="F918" i="8"/>
  <c r="E918" i="8"/>
  <c r="G917" i="8"/>
  <c r="F917" i="8"/>
  <c r="E917" i="8"/>
  <c r="G916" i="8"/>
  <c r="F916" i="8"/>
  <c r="E916" i="8"/>
  <c r="G915" i="8"/>
  <c r="F915" i="8"/>
  <c r="E915" i="8"/>
  <c r="G914" i="8"/>
  <c r="F914" i="8"/>
  <c r="E914" i="8"/>
  <c r="G913" i="8"/>
  <c r="F913" i="8"/>
  <c r="E913" i="8"/>
  <c r="G912" i="8"/>
  <c r="F912" i="8"/>
  <c r="E912" i="8"/>
  <c r="G911" i="8"/>
  <c r="F911" i="8"/>
  <c r="E911" i="8"/>
  <c r="G910" i="8"/>
  <c r="F910" i="8"/>
  <c r="E910" i="8"/>
  <c r="G909" i="8"/>
  <c r="F909" i="8"/>
  <c r="E909" i="8"/>
  <c r="G908" i="8"/>
  <c r="F908" i="8"/>
  <c r="E908" i="8"/>
  <c r="G907" i="8"/>
  <c r="F907" i="8"/>
  <c r="E907" i="8"/>
  <c r="G906" i="8"/>
  <c r="F906" i="8"/>
  <c r="E906" i="8"/>
  <c r="G905" i="8"/>
  <c r="F905" i="8"/>
  <c r="E905" i="8"/>
  <c r="G904" i="8"/>
  <c r="F904" i="8"/>
  <c r="E904" i="8"/>
  <c r="G903" i="8"/>
  <c r="F903" i="8"/>
  <c r="E903" i="8"/>
  <c r="G902" i="8"/>
  <c r="F902" i="8"/>
  <c r="E902" i="8"/>
  <c r="G901" i="8"/>
  <c r="F901" i="8"/>
  <c r="E901" i="8"/>
  <c r="G900" i="8"/>
  <c r="F900" i="8"/>
  <c r="E900" i="8"/>
  <c r="G899" i="8"/>
  <c r="F899" i="8"/>
  <c r="E899" i="8"/>
  <c r="G898" i="8"/>
  <c r="F898" i="8"/>
  <c r="E898" i="8"/>
  <c r="G897" i="8"/>
  <c r="F897" i="8"/>
  <c r="E897" i="8"/>
  <c r="G896" i="8"/>
  <c r="F896" i="8"/>
  <c r="E896" i="8"/>
  <c r="G895" i="8"/>
  <c r="F895" i="8"/>
  <c r="E895" i="8"/>
  <c r="G894" i="8"/>
  <c r="F894" i="8"/>
  <c r="E894" i="8"/>
  <c r="G893" i="8"/>
  <c r="F893" i="8"/>
  <c r="E893" i="8"/>
  <c r="G892" i="8"/>
  <c r="F892" i="8"/>
  <c r="E892" i="8"/>
  <c r="G891" i="8"/>
  <c r="F891" i="8"/>
  <c r="E891" i="8"/>
  <c r="G890" i="8"/>
  <c r="F890" i="8"/>
  <c r="E890" i="8"/>
  <c r="G889" i="8"/>
  <c r="F889" i="8"/>
  <c r="E889" i="8"/>
  <c r="G888" i="8"/>
  <c r="F888" i="8"/>
  <c r="E888" i="8"/>
  <c r="G887" i="8"/>
  <c r="F887" i="8"/>
  <c r="E887" i="8"/>
  <c r="G886" i="8"/>
  <c r="F886" i="8"/>
  <c r="E886" i="8"/>
  <c r="G885" i="8"/>
  <c r="F885" i="8"/>
  <c r="E885" i="8"/>
  <c r="G884" i="8"/>
  <c r="F884" i="8"/>
  <c r="E884" i="8"/>
  <c r="G883" i="8"/>
  <c r="F883" i="8"/>
  <c r="E883" i="8"/>
  <c r="G882" i="8"/>
  <c r="F882" i="8"/>
  <c r="E882" i="8"/>
  <c r="G881" i="8"/>
  <c r="F881" i="8"/>
  <c r="E881" i="8"/>
  <c r="G880" i="8"/>
  <c r="F880" i="8"/>
  <c r="E880" i="8"/>
  <c r="G879" i="8"/>
  <c r="F879" i="8"/>
  <c r="E879" i="8"/>
  <c r="G878" i="8"/>
  <c r="F878" i="8"/>
  <c r="E878" i="8"/>
  <c r="G877" i="8"/>
  <c r="F877" i="8"/>
  <c r="E877" i="8"/>
  <c r="G876" i="8"/>
  <c r="F876" i="8"/>
  <c r="E876" i="8"/>
  <c r="G875" i="8"/>
  <c r="F875" i="8"/>
  <c r="E875" i="8"/>
  <c r="G874" i="8"/>
  <c r="F874" i="8"/>
  <c r="E874" i="8"/>
  <c r="G873" i="8"/>
  <c r="F873" i="8"/>
  <c r="E873" i="8"/>
  <c r="G511" i="8"/>
  <c r="F511" i="8"/>
  <c r="E511" i="8"/>
  <c r="G510" i="8"/>
  <c r="F510" i="8"/>
  <c r="E510" i="8"/>
  <c r="G509" i="8"/>
  <c r="F509" i="8"/>
  <c r="E509" i="8"/>
  <c r="G508" i="8"/>
  <c r="F508" i="8"/>
  <c r="E508" i="8"/>
  <c r="G507" i="8"/>
  <c r="F507" i="8"/>
  <c r="E507" i="8"/>
  <c r="G506" i="8"/>
  <c r="F506" i="8"/>
  <c r="E506" i="8"/>
  <c r="G505" i="8"/>
  <c r="F505" i="8"/>
  <c r="E505" i="8"/>
  <c r="G504" i="8"/>
  <c r="F504" i="8"/>
  <c r="E504" i="8"/>
  <c r="G503" i="8"/>
  <c r="F503" i="8"/>
  <c r="E503" i="8"/>
  <c r="G502" i="8"/>
  <c r="F502" i="8"/>
  <c r="E502" i="8"/>
  <c r="G501" i="8"/>
  <c r="F501" i="8"/>
  <c r="E501" i="8"/>
  <c r="G500" i="8"/>
  <c r="F500" i="8"/>
  <c r="E500" i="8"/>
  <c r="G499" i="8"/>
  <c r="F499" i="8"/>
  <c r="E499" i="8"/>
  <c r="G498" i="8"/>
  <c r="F498" i="8"/>
  <c r="E498" i="8"/>
  <c r="G497" i="8"/>
  <c r="F497" i="8"/>
  <c r="E497" i="8"/>
  <c r="G496" i="8"/>
  <c r="F496" i="8"/>
  <c r="E496" i="8"/>
  <c r="G495" i="8"/>
  <c r="F495" i="8"/>
  <c r="E495" i="8"/>
  <c r="G494" i="8"/>
  <c r="F494" i="8"/>
  <c r="E494" i="8"/>
  <c r="G493" i="8"/>
  <c r="F493" i="8"/>
  <c r="E493" i="8"/>
  <c r="G492" i="8"/>
  <c r="F492" i="8"/>
  <c r="E492" i="8"/>
  <c r="G491" i="8"/>
  <c r="F491" i="8"/>
  <c r="E491" i="8"/>
  <c r="G490" i="8"/>
  <c r="F490" i="8"/>
  <c r="E490" i="8"/>
  <c r="G489" i="8"/>
  <c r="F489" i="8"/>
  <c r="E489" i="8"/>
  <c r="G488" i="8"/>
  <c r="F488" i="8"/>
  <c r="E488" i="8"/>
  <c r="G487" i="8"/>
  <c r="F487" i="8"/>
  <c r="E487" i="8"/>
  <c r="G486" i="8"/>
  <c r="F486" i="8"/>
  <c r="E486" i="8"/>
  <c r="G485" i="8"/>
  <c r="F485" i="8"/>
  <c r="E485" i="8"/>
  <c r="G484" i="8"/>
  <c r="F484" i="8"/>
  <c r="E484" i="8"/>
  <c r="G483" i="8"/>
  <c r="F483" i="8"/>
  <c r="E483" i="8"/>
  <c r="G482" i="8"/>
  <c r="F482" i="8"/>
  <c r="E482" i="8"/>
  <c r="G481" i="8"/>
  <c r="F481" i="8"/>
  <c r="E481" i="8"/>
  <c r="J290" i="8"/>
  <c r="I290" i="8"/>
  <c r="G290" i="8"/>
  <c r="F290" i="8"/>
  <c r="E290" i="8"/>
  <c r="J289" i="8"/>
  <c r="I289" i="8"/>
  <c r="G289" i="8"/>
  <c r="F289" i="8"/>
  <c r="E289" i="8"/>
  <c r="J288" i="8"/>
  <c r="I288" i="8"/>
  <c r="G288" i="8"/>
  <c r="F288" i="8"/>
  <c r="E288" i="8"/>
  <c r="J287" i="8"/>
  <c r="I287" i="8"/>
  <c r="G287" i="8"/>
  <c r="F287" i="8"/>
  <c r="E287" i="8"/>
  <c r="J286" i="8"/>
  <c r="I286" i="8"/>
  <c r="G286" i="8"/>
  <c r="F286" i="8"/>
  <c r="E286" i="8"/>
  <c r="J285" i="8"/>
  <c r="I285" i="8"/>
  <c r="G285" i="8"/>
  <c r="F285" i="8"/>
  <c r="E285" i="8"/>
  <c r="J284" i="8"/>
  <c r="I284" i="8"/>
  <c r="G284" i="8"/>
  <c r="F284" i="8"/>
  <c r="E284" i="8"/>
  <c r="J283" i="8"/>
  <c r="I283" i="8"/>
  <c r="G283" i="8"/>
  <c r="F283" i="8"/>
  <c r="E283" i="8"/>
  <c r="J282" i="8"/>
  <c r="I282" i="8"/>
  <c r="G282" i="8"/>
  <c r="F282" i="8"/>
  <c r="E282" i="8"/>
  <c r="J281" i="8"/>
  <c r="I281" i="8"/>
  <c r="G281" i="8"/>
  <c r="F281" i="8"/>
  <c r="E281" i="8"/>
  <c r="J280" i="8"/>
  <c r="I280" i="8"/>
  <c r="G280" i="8"/>
  <c r="F280" i="8"/>
  <c r="E280" i="8"/>
  <c r="J279" i="8"/>
  <c r="I279" i="8"/>
  <c r="G279" i="8"/>
  <c r="F279" i="8"/>
  <c r="E279" i="8"/>
  <c r="J278" i="8"/>
  <c r="I278" i="8"/>
  <c r="G278" i="8"/>
  <c r="F278" i="8"/>
  <c r="E278" i="8"/>
  <c r="J277" i="8"/>
  <c r="I277" i="8"/>
  <c r="G277" i="8"/>
  <c r="F277" i="8"/>
  <c r="E277" i="8"/>
  <c r="J276" i="8"/>
  <c r="I276" i="8"/>
  <c r="G276" i="8"/>
  <c r="F276" i="8"/>
  <c r="E276" i="8"/>
  <c r="J275" i="8"/>
  <c r="I275" i="8"/>
  <c r="G275" i="8"/>
  <c r="F275" i="8"/>
  <c r="E275" i="8"/>
  <c r="J274" i="8"/>
  <c r="I274" i="8"/>
  <c r="G274" i="8"/>
  <c r="F274" i="8"/>
  <c r="E274" i="8"/>
  <c r="J273" i="8"/>
  <c r="I273" i="8"/>
  <c r="G273" i="8"/>
  <c r="F273" i="8"/>
  <c r="E273" i="8"/>
  <c r="J272" i="8"/>
  <c r="I272" i="8"/>
  <c r="G272" i="8"/>
  <c r="F272" i="8"/>
  <c r="E272" i="8"/>
  <c r="J271" i="8"/>
  <c r="I271" i="8"/>
  <c r="G271" i="8"/>
  <c r="F271" i="8"/>
  <c r="E271" i="8"/>
  <c r="J872" i="8"/>
  <c r="I872" i="8"/>
  <c r="F872" i="8"/>
  <c r="E872" i="8"/>
  <c r="J871" i="8"/>
  <c r="I871" i="8"/>
  <c r="F871" i="8"/>
  <c r="E871" i="8"/>
  <c r="J870" i="8"/>
  <c r="I870" i="8"/>
  <c r="F870" i="8"/>
  <c r="E870" i="8"/>
  <c r="J869" i="8"/>
  <c r="I869" i="8"/>
  <c r="F869" i="8"/>
  <c r="E869" i="8"/>
  <c r="J868" i="8"/>
  <c r="I868" i="8"/>
  <c r="F868" i="8"/>
  <c r="E868" i="8"/>
  <c r="J867" i="8"/>
  <c r="I867" i="8"/>
  <c r="F867" i="8"/>
  <c r="E867" i="8"/>
  <c r="J866" i="8"/>
  <c r="I866" i="8"/>
  <c r="F866" i="8"/>
  <c r="E866" i="8"/>
  <c r="J865" i="8"/>
  <c r="I865" i="8"/>
  <c r="J864" i="8"/>
  <c r="I864" i="8"/>
  <c r="J863" i="8"/>
  <c r="I863" i="8"/>
  <c r="J862" i="8"/>
  <c r="I862" i="8"/>
  <c r="J861" i="8"/>
  <c r="I861" i="8"/>
  <c r="J860" i="8"/>
  <c r="I860" i="8"/>
  <c r="J859" i="8"/>
  <c r="I859" i="8"/>
  <c r="J858" i="8"/>
  <c r="I858" i="8"/>
  <c r="J857" i="8"/>
  <c r="I857" i="8"/>
  <c r="J856" i="8"/>
  <c r="I856" i="8"/>
  <c r="J855" i="8"/>
  <c r="I855" i="8"/>
  <c r="J854" i="8"/>
  <c r="I854" i="8"/>
  <c r="G853" i="8"/>
  <c r="F853" i="8"/>
  <c r="E853" i="8"/>
  <c r="G852" i="8"/>
  <c r="F852" i="8"/>
  <c r="E852" i="8"/>
  <c r="G851" i="8"/>
  <c r="F851" i="8"/>
  <c r="E851" i="8"/>
  <c r="G850" i="8"/>
  <c r="F850" i="8"/>
  <c r="E850" i="8"/>
  <c r="G849" i="8"/>
  <c r="F849" i="8"/>
  <c r="E849" i="8"/>
  <c r="G848" i="8"/>
  <c r="F848" i="8"/>
  <c r="E848" i="8"/>
  <c r="G847" i="8"/>
  <c r="F847" i="8"/>
  <c r="E847" i="8"/>
  <c r="G846" i="8"/>
  <c r="F846" i="8"/>
  <c r="E846" i="8"/>
  <c r="G845" i="8"/>
  <c r="F845" i="8"/>
  <c r="E845" i="8"/>
  <c r="G844" i="8"/>
  <c r="F844" i="8"/>
  <c r="E844" i="8"/>
  <c r="G843" i="8"/>
  <c r="F843" i="8"/>
  <c r="E843" i="8"/>
  <c r="G842" i="8"/>
  <c r="F842" i="8"/>
  <c r="E842" i="8"/>
  <c r="G841" i="8"/>
  <c r="F841" i="8"/>
  <c r="E841" i="8"/>
  <c r="G840" i="8"/>
  <c r="F840" i="8"/>
  <c r="E840" i="8"/>
  <c r="G839" i="8"/>
  <c r="F839" i="8"/>
  <c r="E839" i="8"/>
  <c r="G838" i="8"/>
  <c r="F838" i="8"/>
  <c r="E838" i="8"/>
  <c r="G837" i="8"/>
  <c r="F837" i="8"/>
  <c r="E837" i="8"/>
  <c r="G836" i="8"/>
  <c r="F836" i="8"/>
  <c r="E836" i="8"/>
  <c r="G835" i="8"/>
  <c r="F835" i="8"/>
  <c r="E835" i="8"/>
  <c r="G834" i="8"/>
  <c r="F834" i="8"/>
  <c r="E834" i="8"/>
  <c r="G833" i="8"/>
  <c r="F833" i="8"/>
  <c r="E833" i="8"/>
  <c r="G832" i="8"/>
  <c r="F832" i="8"/>
  <c r="E832" i="8"/>
  <c r="G831" i="8"/>
  <c r="F831" i="8"/>
  <c r="E831" i="8"/>
  <c r="G830" i="8"/>
  <c r="F830" i="8"/>
  <c r="E830" i="8"/>
  <c r="G829" i="8"/>
  <c r="F829" i="8"/>
  <c r="E829" i="8"/>
  <c r="G828" i="8"/>
  <c r="F828" i="8"/>
  <c r="E828" i="8"/>
  <c r="G827" i="8"/>
  <c r="F827" i="8"/>
  <c r="E827" i="8"/>
  <c r="G826" i="8"/>
  <c r="F826" i="8"/>
  <c r="E826" i="8"/>
  <c r="G825" i="8"/>
  <c r="F825" i="8"/>
  <c r="E825" i="8"/>
  <c r="G824" i="8"/>
  <c r="F824" i="8"/>
  <c r="E824" i="8"/>
  <c r="G823" i="8"/>
  <c r="F823" i="8"/>
  <c r="E823" i="8"/>
  <c r="G822" i="8"/>
  <c r="F822" i="8"/>
  <c r="E822" i="8"/>
  <c r="G821" i="8"/>
  <c r="F821" i="8"/>
  <c r="E821" i="8"/>
  <c r="G820" i="8"/>
  <c r="F820" i="8"/>
  <c r="E820" i="8"/>
  <c r="G819" i="8"/>
  <c r="F819" i="8"/>
  <c r="E819" i="8"/>
  <c r="G818" i="8"/>
  <c r="F818" i="8"/>
  <c r="E818" i="8"/>
  <c r="G817" i="8"/>
  <c r="F817" i="8"/>
  <c r="E817" i="8"/>
  <c r="G816" i="8"/>
  <c r="F816" i="8"/>
  <c r="E816" i="8"/>
  <c r="G815" i="8"/>
  <c r="F815" i="8"/>
  <c r="E815" i="8"/>
  <c r="G814" i="8"/>
  <c r="F814" i="8"/>
  <c r="E814" i="8"/>
  <c r="G813" i="8"/>
  <c r="F813" i="8"/>
  <c r="E813" i="8"/>
  <c r="G812" i="8"/>
  <c r="F812" i="8"/>
  <c r="E812" i="8"/>
  <c r="G811" i="8"/>
  <c r="F811" i="8"/>
  <c r="E811" i="8"/>
  <c r="G810" i="8"/>
  <c r="F810" i="8"/>
  <c r="E810" i="8"/>
  <c r="G809" i="8"/>
  <c r="F809" i="8"/>
  <c r="E809" i="8"/>
  <c r="G808" i="8"/>
  <c r="F808" i="8"/>
  <c r="E808" i="8"/>
  <c r="G807" i="8"/>
  <c r="F807" i="8"/>
  <c r="E807" i="8"/>
  <c r="G806" i="8"/>
  <c r="F806" i="8"/>
  <c r="E806" i="8"/>
  <c r="G805" i="8"/>
  <c r="F805" i="8"/>
  <c r="E805" i="8"/>
  <c r="G804" i="8"/>
  <c r="F804" i="8"/>
  <c r="E804" i="8"/>
  <c r="G803" i="8"/>
  <c r="F803" i="8"/>
  <c r="E803" i="8"/>
  <c r="G802" i="8"/>
  <c r="F802" i="8"/>
  <c r="E802" i="8"/>
  <c r="G801" i="8"/>
  <c r="F801" i="8"/>
  <c r="E801" i="8"/>
  <c r="G800" i="8"/>
  <c r="F800" i="8"/>
  <c r="E800" i="8"/>
  <c r="G799" i="8"/>
  <c r="F799" i="8"/>
  <c r="E799" i="8"/>
  <c r="G798" i="8"/>
  <c r="F798" i="8"/>
  <c r="E798" i="8"/>
  <c r="G797" i="8"/>
  <c r="F797" i="8"/>
  <c r="E797" i="8"/>
  <c r="G796" i="8"/>
  <c r="F796" i="8"/>
  <c r="E796" i="8"/>
  <c r="G1653" i="8"/>
  <c r="F1653" i="8"/>
  <c r="E1653" i="8"/>
  <c r="G1652" i="8"/>
  <c r="F1652" i="8"/>
  <c r="E1652" i="8"/>
  <c r="G1651" i="8"/>
  <c r="F1651" i="8"/>
  <c r="E1651" i="8"/>
  <c r="G1650" i="8"/>
  <c r="F1650" i="8"/>
  <c r="E1650" i="8"/>
  <c r="G1649" i="8"/>
  <c r="F1649" i="8"/>
  <c r="E1649" i="8"/>
  <c r="G1648" i="8"/>
  <c r="F1648" i="8"/>
  <c r="E1648" i="8"/>
  <c r="G1647" i="8"/>
  <c r="F1647" i="8"/>
  <c r="E1647" i="8"/>
  <c r="G1646" i="8"/>
  <c r="F1646" i="8"/>
  <c r="E1646" i="8"/>
  <c r="G1645" i="8"/>
  <c r="F1645" i="8"/>
  <c r="E1645" i="8"/>
  <c r="G1644" i="8"/>
  <c r="F1644" i="8"/>
  <c r="E1644" i="8"/>
  <c r="G1643" i="8"/>
  <c r="F1643" i="8"/>
  <c r="E1643" i="8"/>
  <c r="G1642" i="8"/>
  <c r="F1642" i="8"/>
  <c r="E1642" i="8"/>
  <c r="G1641" i="8"/>
  <c r="F1641" i="8"/>
  <c r="E1641" i="8"/>
  <c r="G1640" i="8"/>
  <c r="F1640" i="8"/>
  <c r="E1640" i="8"/>
  <c r="G1639" i="8"/>
  <c r="F1639" i="8"/>
  <c r="E1639" i="8"/>
  <c r="G1638" i="8"/>
  <c r="F1638" i="8"/>
  <c r="E1638" i="8"/>
  <c r="G1637" i="8"/>
  <c r="F1637" i="8"/>
  <c r="E1637" i="8"/>
  <c r="G1636" i="8"/>
  <c r="F1636" i="8"/>
  <c r="E1636" i="8"/>
  <c r="G1635" i="8"/>
  <c r="F1635" i="8"/>
  <c r="E1635" i="8"/>
  <c r="G1634" i="8"/>
  <c r="F1634" i="8"/>
  <c r="E1634" i="8"/>
  <c r="G1633" i="8"/>
  <c r="F1633" i="8"/>
  <c r="E1633" i="8"/>
  <c r="G1632" i="8"/>
  <c r="F1632" i="8"/>
  <c r="E1632" i="8"/>
  <c r="G1631" i="8"/>
  <c r="F1631" i="8"/>
  <c r="E1631" i="8"/>
  <c r="G1630" i="8"/>
  <c r="F1630" i="8"/>
  <c r="E1630" i="8"/>
  <c r="G1629" i="8"/>
  <c r="F1629" i="8"/>
  <c r="E1629" i="8"/>
  <c r="G1628" i="8"/>
  <c r="F1628" i="8"/>
  <c r="E1628" i="8"/>
  <c r="G1627" i="8"/>
  <c r="F1627" i="8"/>
  <c r="E1627" i="8"/>
  <c r="G1626" i="8"/>
  <c r="F1626" i="8"/>
  <c r="E1626" i="8"/>
  <c r="G1625" i="8"/>
  <c r="F1625" i="8"/>
  <c r="E1625" i="8"/>
  <c r="G1624" i="8"/>
  <c r="F1624" i="8"/>
  <c r="E1624" i="8"/>
  <c r="G1623" i="8"/>
  <c r="F1623" i="8"/>
  <c r="E1623" i="8"/>
  <c r="G1622" i="8"/>
  <c r="F1622" i="8"/>
  <c r="E1622" i="8"/>
  <c r="G1621" i="8"/>
  <c r="F1621" i="8"/>
  <c r="E1621" i="8"/>
  <c r="G1620" i="8"/>
  <c r="F1620" i="8"/>
  <c r="E1620" i="8"/>
  <c r="G1619" i="8"/>
  <c r="F1619" i="8"/>
  <c r="E1619" i="8"/>
  <c r="G1618" i="8"/>
  <c r="F1618" i="8"/>
  <c r="E1618" i="8"/>
  <c r="G1617" i="8"/>
  <c r="F1617" i="8"/>
  <c r="E1617" i="8"/>
  <c r="G1616" i="8"/>
  <c r="F1616" i="8"/>
  <c r="E1616" i="8"/>
  <c r="G1615" i="8"/>
  <c r="F1615" i="8"/>
  <c r="E1615" i="8"/>
  <c r="G1614" i="8"/>
  <c r="F1614" i="8"/>
  <c r="E1614" i="8"/>
  <c r="J224" i="8"/>
  <c r="I224" i="8"/>
  <c r="G224" i="8"/>
  <c r="F224" i="8"/>
  <c r="E224" i="8"/>
  <c r="J223" i="8"/>
  <c r="I223" i="8"/>
  <c r="G223" i="8"/>
  <c r="F223" i="8"/>
  <c r="E223" i="8"/>
  <c r="J222" i="8"/>
  <c r="I222" i="8"/>
  <c r="G222" i="8"/>
  <c r="F222" i="8"/>
  <c r="E222" i="8"/>
  <c r="J221" i="8"/>
  <c r="I221" i="8"/>
  <c r="G221" i="8"/>
  <c r="F221" i="8"/>
  <c r="E221" i="8"/>
  <c r="J220" i="8"/>
  <c r="I220" i="8"/>
  <c r="G220" i="8"/>
  <c r="F220" i="8"/>
  <c r="E220" i="8"/>
  <c r="J219" i="8"/>
  <c r="I219" i="8"/>
  <c r="G219" i="8"/>
  <c r="F219" i="8"/>
  <c r="E219" i="8"/>
  <c r="J218" i="8"/>
  <c r="I218" i="8"/>
  <c r="G218" i="8"/>
  <c r="F218" i="8"/>
  <c r="E218" i="8"/>
  <c r="J217" i="8"/>
  <c r="I217" i="8"/>
  <c r="G217" i="8"/>
  <c r="F217" i="8"/>
  <c r="E217" i="8"/>
  <c r="J216" i="8"/>
  <c r="I216" i="8"/>
  <c r="G216" i="8"/>
  <c r="F216" i="8"/>
  <c r="E216" i="8"/>
  <c r="J215" i="8"/>
  <c r="I215" i="8"/>
  <c r="G215" i="8"/>
  <c r="F215" i="8"/>
  <c r="E215" i="8"/>
  <c r="J214" i="8"/>
  <c r="I214" i="8"/>
  <c r="G214" i="8"/>
  <c r="F214" i="8"/>
  <c r="E214" i="8"/>
  <c r="J213" i="8"/>
  <c r="I213" i="8"/>
  <c r="G213" i="8"/>
  <c r="F213" i="8"/>
  <c r="E213" i="8"/>
  <c r="J212" i="8"/>
  <c r="I212" i="8"/>
  <c r="G212" i="8"/>
  <c r="F212" i="8"/>
  <c r="E212" i="8"/>
  <c r="J211" i="8"/>
  <c r="I211" i="8"/>
  <c r="G211" i="8"/>
  <c r="F211" i="8"/>
  <c r="E211" i="8"/>
  <c r="J210" i="8"/>
  <c r="I210" i="8"/>
  <c r="G210" i="8"/>
  <c r="F210" i="8"/>
  <c r="E210" i="8"/>
  <c r="J209" i="8"/>
  <c r="I209" i="8"/>
  <c r="G209" i="8"/>
  <c r="F209" i="8"/>
  <c r="E209" i="8"/>
  <c r="J208" i="8"/>
  <c r="I208" i="8"/>
  <c r="G208" i="8"/>
  <c r="F208" i="8"/>
  <c r="E208" i="8"/>
  <c r="J207" i="8"/>
  <c r="I207" i="8"/>
  <c r="G207" i="8"/>
  <c r="F207" i="8"/>
  <c r="E207" i="8"/>
  <c r="J206" i="8"/>
  <c r="I206" i="8"/>
  <c r="G206" i="8"/>
  <c r="F206" i="8"/>
  <c r="E206" i="8"/>
  <c r="J205" i="8"/>
  <c r="I205" i="8"/>
  <c r="G205" i="8"/>
  <c r="F205" i="8"/>
  <c r="E205" i="8"/>
  <c r="J795" i="8"/>
  <c r="I795" i="8"/>
  <c r="G795" i="8"/>
  <c r="F795" i="8"/>
  <c r="E795" i="8"/>
  <c r="J794" i="8"/>
  <c r="I794" i="8"/>
  <c r="G794" i="8"/>
  <c r="F794" i="8"/>
  <c r="E794" i="8"/>
  <c r="J793" i="8"/>
  <c r="I793" i="8"/>
  <c r="G793" i="8"/>
  <c r="F793" i="8"/>
  <c r="E793" i="8"/>
  <c r="J792" i="8"/>
  <c r="I792" i="8"/>
  <c r="G792" i="8"/>
  <c r="F792" i="8"/>
  <c r="E792" i="8"/>
  <c r="J791" i="8"/>
  <c r="I791" i="8"/>
  <c r="G791" i="8"/>
  <c r="F791" i="8"/>
  <c r="E791" i="8"/>
  <c r="J790" i="8"/>
  <c r="I790" i="8"/>
  <c r="G790" i="8"/>
  <c r="F790" i="8"/>
  <c r="E790" i="8"/>
  <c r="J789" i="8"/>
  <c r="I789" i="8"/>
  <c r="G789" i="8"/>
  <c r="F789" i="8"/>
  <c r="E789" i="8"/>
  <c r="J788" i="8"/>
  <c r="I788" i="8"/>
  <c r="G788" i="8"/>
  <c r="F788" i="8"/>
  <c r="E788" i="8"/>
  <c r="J787" i="8"/>
  <c r="I787" i="8"/>
  <c r="G787" i="8"/>
  <c r="F787" i="8"/>
  <c r="E787" i="8"/>
  <c r="J786" i="8"/>
  <c r="I786" i="8"/>
  <c r="G786" i="8"/>
  <c r="F786" i="8"/>
  <c r="E786" i="8"/>
  <c r="J785" i="8"/>
  <c r="I785" i="8"/>
  <c r="G785" i="8"/>
  <c r="F785" i="8"/>
  <c r="E785" i="8"/>
  <c r="J784" i="8"/>
  <c r="I784" i="8"/>
  <c r="G784" i="8"/>
  <c r="F784" i="8"/>
  <c r="E784" i="8"/>
  <c r="J783" i="8"/>
  <c r="I783" i="8"/>
  <c r="G783" i="8"/>
  <c r="F783" i="8"/>
  <c r="E783" i="8"/>
  <c r="J782" i="8"/>
  <c r="I782" i="8"/>
  <c r="G782" i="8"/>
  <c r="F782" i="8"/>
  <c r="E782" i="8"/>
  <c r="J781" i="8"/>
  <c r="I781" i="8"/>
  <c r="G781" i="8"/>
  <c r="F781" i="8"/>
  <c r="E781" i="8"/>
  <c r="J780" i="8"/>
  <c r="I780" i="8"/>
  <c r="G780" i="8"/>
  <c r="F780" i="8"/>
  <c r="E780" i="8"/>
  <c r="J779" i="8"/>
  <c r="I779" i="8"/>
  <c r="G779" i="8"/>
  <c r="F779" i="8"/>
  <c r="E779" i="8"/>
  <c r="J778" i="8"/>
  <c r="I778" i="8"/>
  <c r="G778" i="8"/>
  <c r="F778" i="8"/>
  <c r="E778" i="8"/>
  <c r="J777" i="8"/>
  <c r="I777" i="8"/>
  <c r="G777" i="8"/>
  <c r="F777" i="8"/>
  <c r="E777" i="8"/>
  <c r="J776" i="8"/>
  <c r="I776" i="8"/>
  <c r="G776" i="8"/>
  <c r="F776" i="8"/>
  <c r="E776" i="8"/>
  <c r="J775" i="8"/>
  <c r="I775" i="8"/>
  <c r="G775" i="8"/>
  <c r="F775" i="8"/>
  <c r="E775" i="8"/>
  <c r="J774" i="8"/>
  <c r="I774" i="8"/>
  <c r="G774" i="8"/>
  <c r="F774" i="8"/>
  <c r="E774" i="8"/>
  <c r="J773" i="8"/>
  <c r="I773" i="8"/>
  <c r="G773" i="8"/>
  <c r="F773" i="8"/>
  <c r="E773" i="8"/>
  <c r="J772" i="8"/>
  <c r="I772" i="8"/>
  <c r="G772" i="8"/>
  <c r="F772" i="8"/>
  <c r="E772" i="8"/>
  <c r="J771" i="8"/>
  <c r="I771" i="8"/>
  <c r="G771" i="8"/>
  <c r="F771" i="8"/>
  <c r="E771" i="8"/>
  <c r="J770" i="8"/>
  <c r="I770" i="8"/>
  <c r="G770" i="8"/>
  <c r="F770" i="8"/>
  <c r="E770" i="8"/>
  <c r="J769" i="8"/>
  <c r="I769" i="8"/>
  <c r="G769" i="8"/>
  <c r="F769" i="8"/>
  <c r="E769" i="8"/>
  <c r="J768" i="8"/>
  <c r="I768" i="8"/>
  <c r="G768" i="8"/>
  <c r="F768" i="8"/>
  <c r="E768" i="8"/>
  <c r="J767" i="8"/>
  <c r="I767" i="8"/>
  <c r="G767" i="8"/>
  <c r="F767" i="8"/>
  <c r="E767" i="8"/>
  <c r="J766" i="8"/>
  <c r="I766" i="8"/>
  <c r="G766" i="8"/>
  <c r="F766" i="8"/>
  <c r="E766" i="8"/>
  <c r="J765" i="8"/>
  <c r="I765" i="8"/>
  <c r="G765" i="8"/>
  <c r="F765" i="8"/>
  <c r="E765" i="8"/>
  <c r="J764" i="8"/>
  <c r="I764" i="8"/>
  <c r="G764" i="8"/>
  <c r="F764" i="8"/>
  <c r="E764" i="8"/>
  <c r="J763" i="8"/>
  <c r="I763" i="8"/>
  <c r="G763" i="8"/>
  <c r="F763" i="8"/>
  <c r="E763" i="8"/>
  <c r="J762" i="8"/>
  <c r="I762" i="8"/>
  <c r="G762" i="8"/>
  <c r="F762" i="8"/>
  <c r="E762" i="8"/>
  <c r="J761" i="8"/>
  <c r="I761" i="8"/>
  <c r="G761" i="8"/>
  <c r="F761" i="8"/>
  <c r="E761" i="8"/>
  <c r="J760" i="8"/>
  <c r="I760" i="8"/>
  <c r="G760" i="8"/>
  <c r="F760" i="8"/>
  <c r="E760" i="8"/>
  <c r="J759" i="8"/>
  <c r="I759" i="8"/>
  <c r="G759" i="8"/>
  <c r="F759" i="8"/>
  <c r="E759" i="8"/>
  <c r="J758" i="8"/>
  <c r="I758" i="8"/>
  <c r="G758" i="8"/>
  <c r="F758" i="8"/>
  <c r="E758" i="8"/>
  <c r="J757" i="8"/>
  <c r="I757" i="8"/>
  <c r="G757" i="8"/>
  <c r="F757" i="8"/>
  <c r="E757" i="8"/>
  <c r="J756" i="8"/>
  <c r="I756" i="8"/>
  <c r="G756" i="8"/>
  <c r="F756" i="8"/>
  <c r="E756" i="8"/>
  <c r="J204" i="8"/>
  <c r="I204" i="8"/>
  <c r="G204" i="8"/>
  <c r="F204" i="8"/>
  <c r="E204" i="8"/>
  <c r="J203" i="8"/>
  <c r="I203" i="8"/>
  <c r="G203" i="8"/>
  <c r="F203" i="8"/>
  <c r="E203" i="8"/>
  <c r="J202" i="8"/>
  <c r="I202" i="8"/>
  <c r="G202" i="8"/>
  <c r="F202" i="8"/>
  <c r="E202" i="8"/>
  <c r="J201" i="8"/>
  <c r="I201" i="8"/>
  <c r="G201" i="8"/>
  <c r="F201" i="8"/>
  <c r="E201" i="8"/>
  <c r="J200" i="8"/>
  <c r="I200" i="8"/>
  <c r="G200" i="8"/>
  <c r="F200" i="8"/>
  <c r="E200" i="8"/>
  <c r="J199" i="8"/>
  <c r="I199" i="8"/>
  <c r="G199" i="8"/>
  <c r="F199" i="8"/>
  <c r="E199" i="8"/>
  <c r="J198" i="8"/>
  <c r="I198" i="8"/>
  <c r="G198" i="8"/>
  <c r="F198" i="8"/>
  <c r="E198" i="8"/>
  <c r="J197" i="8"/>
  <c r="I197" i="8"/>
  <c r="G197" i="8"/>
  <c r="F197" i="8"/>
  <c r="E197" i="8"/>
  <c r="J196" i="8"/>
  <c r="I196" i="8"/>
  <c r="G196" i="8"/>
  <c r="F196" i="8"/>
  <c r="E196" i="8"/>
  <c r="J195" i="8"/>
  <c r="I195" i="8"/>
  <c r="G195" i="8"/>
  <c r="F195" i="8"/>
  <c r="E195" i="8"/>
  <c r="J194" i="8"/>
  <c r="I194" i="8"/>
  <c r="G194" i="8"/>
  <c r="F194" i="8"/>
  <c r="E194" i="8"/>
  <c r="J193" i="8"/>
  <c r="I193" i="8"/>
  <c r="G193" i="8"/>
  <c r="F193" i="8"/>
  <c r="E193" i="8"/>
  <c r="J192" i="8"/>
  <c r="I192" i="8"/>
  <c r="G192" i="8"/>
  <c r="F192" i="8"/>
  <c r="E192" i="8"/>
  <c r="J191" i="8"/>
  <c r="I191" i="8"/>
  <c r="G191" i="8"/>
  <c r="F191" i="8"/>
  <c r="E191" i="8"/>
  <c r="J190" i="8"/>
  <c r="I190" i="8"/>
  <c r="G190" i="8"/>
  <c r="F190" i="8"/>
  <c r="E190" i="8"/>
  <c r="J189" i="8"/>
  <c r="I189" i="8"/>
  <c r="G189" i="8"/>
  <c r="F189" i="8"/>
  <c r="E189" i="8"/>
  <c r="J188" i="8"/>
  <c r="I188" i="8"/>
  <c r="G188" i="8"/>
  <c r="F188" i="8"/>
  <c r="E188" i="8"/>
  <c r="J187" i="8"/>
  <c r="I187" i="8"/>
  <c r="G187" i="8"/>
  <c r="F187" i="8"/>
  <c r="E187" i="8"/>
  <c r="J186" i="8"/>
  <c r="I186" i="8"/>
  <c r="G186" i="8"/>
  <c r="F186" i="8"/>
  <c r="E186" i="8"/>
  <c r="J185" i="8"/>
  <c r="I185" i="8"/>
  <c r="G185" i="8"/>
  <c r="F185" i="8"/>
  <c r="E185" i="8"/>
  <c r="J1613" i="8"/>
  <c r="I1613" i="8"/>
  <c r="G1613" i="8"/>
  <c r="F1613" i="8"/>
  <c r="E1613" i="8"/>
  <c r="J1612" i="8"/>
  <c r="I1612" i="8"/>
  <c r="G1612" i="8"/>
  <c r="F1612" i="8"/>
  <c r="E1612" i="8"/>
  <c r="J1611" i="8"/>
  <c r="I1611" i="8"/>
  <c r="G1611" i="8"/>
  <c r="F1611" i="8"/>
  <c r="E1611" i="8"/>
  <c r="J1610" i="8"/>
  <c r="I1610" i="8"/>
  <c r="G1610" i="8"/>
  <c r="F1610" i="8"/>
  <c r="E1610" i="8"/>
  <c r="J1609" i="8"/>
  <c r="I1609" i="8"/>
  <c r="G1609" i="8"/>
  <c r="F1609" i="8"/>
  <c r="E1609" i="8"/>
  <c r="J1608" i="8"/>
  <c r="I1608" i="8"/>
  <c r="G1608" i="8"/>
  <c r="F1608" i="8"/>
  <c r="E1608" i="8"/>
  <c r="J1607" i="8"/>
  <c r="I1607" i="8"/>
  <c r="G1607" i="8"/>
  <c r="F1607" i="8"/>
  <c r="E1607" i="8"/>
  <c r="J1606" i="8"/>
  <c r="I1606" i="8"/>
  <c r="G1606" i="8"/>
  <c r="F1606" i="8"/>
  <c r="E1606" i="8"/>
  <c r="J1605" i="8"/>
  <c r="I1605" i="8"/>
  <c r="G1605" i="8"/>
  <c r="F1605" i="8"/>
  <c r="E1605" i="8"/>
  <c r="J1604" i="8"/>
  <c r="I1604" i="8"/>
  <c r="G1604" i="8"/>
  <c r="F1604" i="8"/>
  <c r="E1604" i="8"/>
  <c r="J1603" i="8"/>
  <c r="I1603" i="8"/>
  <c r="G1603" i="8"/>
  <c r="F1603" i="8"/>
  <c r="E1603" i="8"/>
  <c r="J1602" i="8"/>
  <c r="I1602" i="8"/>
  <c r="G1602" i="8"/>
  <c r="F1602" i="8"/>
  <c r="E1602" i="8"/>
  <c r="J1601" i="8"/>
  <c r="I1601" i="8"/>
  <c r="G1601" i="8"/>
  <c r="F1601" i="8"/>
  <c r="E1601" i="8"/>
  <c r="J1600" i="8"/>
  <c r="I1600" i="8"/>
  <c r="G1600" i="8"/>
  <c r="F1600" i="8"/>
  <c r="E1600" i="8"/>
  <c r="J1599" i="8"/>
  <c r="I1599" i="8"/>
  <c r="G1599" i="8"/>
  <c r="F1599" i="8"/>
  <c r="E1599" i="8"/>
  <c r="J1598" i="8"/>
  <c r="I1598" i="8"/>
  <c r="G1598" i="8"/>
  <c r="F1598" i="8"/>
  <c r="E1598" i="8"/>
  <c r="J1597" i="8"/>
  <c r="I1597" i="8"/>
  <c r="G1597" i="8"/>
  <c r="F1597" i="8"/>
  <c r="E1597" i="8"/>
  <c r="J1596" i="8"/>
  <c r="I1596" i="8"/>
  <c r="G1596" i="8"/>
  <c r="F1596" i="8"/>
  <c r="E1596" i="8"/>
  <c r="G1595" i="8"/>
  <c r="F1595" i="8"/>
  <c r="E1595" i="8"/>
  <c r="G1594" i="8"/>
  <c r="F1594" i="8"/>
  <c r="E1594" i="8"/>
  <c r="G1593" i="8"/>
  <c r="F1593" i="8"/>
  <c r="E1593" i="8"/>
  <c r="G1592" i="8"/>
  <c r="F1592" i="8"/>
  <c r="E1592" i="8"/>
  <c r="G1591" i="8"/>
  <c r="F1591" i="8"/>
  <c r="E1591" i="8"/>
  <c r="G1590" i="8"/>
  <c r="F1590" i="8"/>
  <c r="E1590" i="8"/>
  <c r="G1589" i="8"/>
  <c r="F1589" i="8"/>
  <c r="E1589" i="8"/>
  <c r="G1588" i="8"/>
  <c r="F1588" i="8"/>
  <c r="E1588" i="8"/>
  <c r="G1587" i="8"/>
  <c r="F1587" i="8"/>
  <c r="E1587" i="8"/>
  <c r="G1586" i="8"/>
  <c r="F1586" i="8"/>
  <c r="E1586" i="8"/>
  <c r="G1585" i="8"/>
  <c r="F1585" i="8"/>
  <c r="E1585" i="8"/>
  <c r="G1584" i="8"/>
  <c r="F1584" i="8"/>
  <c r="E1584" i="8"/>
  <c r="G1583" i="8"/>
  <c r="F1583" i="8"/>
  <c r="E1583" i="8"/>
  <c r="G184" i="8"/>
  <c r="F184" i="8"/>
  <c r="E184" i="8"/>
  <c r="G183" i="8"/>
  <c r="F183" i="8"/>
  <c r="E183" i="8"/>
  <c r="G182" i="8"/>
  <c r="F182" i="8"/>
  <c r="E182" i="8"/>
  <c r="G181" i="8"/>
  <c r="F181" i="8"/>
  <c r="E181" i="8"/>
  <c r="G180" i="8"/>
  <c r="F180" i="8"/>
  <c r="E180" i="8"/>
  <c r="G179" i="8"/>
  <c r="F179" i="8"/>
  <c r="E179" i="8"/>
  <c r="G178" i="8"/>
  <c r="F178" i="8"/>
  <c r="E178" i="8"/>
  <c r="G480" i="8"/>
  <c r="F480" i="8"/>
  <c r="E480" i="8"/>
  <c r="G755" i="8"/>
  <c r="F755" i="8"/>
  <c r="E755" i="8"/>
  <c r="G754" i="8"/>
  <c r="F754" i="8"/>
  <c r="E754" i="8"/>
  <c r="G753" i="8"/>
  <c r="F753" i="8"/>
  <c r="E753" i="8"/>
  <c r="G752" i="8"/>
  <c r="F752" i="8"/>
  <c r="E752" i="8"/>
  <c r="G751" i="8"/>
  <c r="F751" i="8"/>
  <c r="E751" i="8"/>
  <c r="G750" i="8"/>
  <c r="F750" i="8"/>
  <c r="E750" i="8"/>
  <c r="G749" i="8"/>
  <c r="F749" i="8"/>
  <c r="E749" i="8"/>
  <c r="G748" i="8"/>
  <c r="F748" i="8"/>
  <c r="E748" i="8"/>
  <c r="G747" i="8"/>
  <c r="F747" i="8"/>
  <c r="E747" i="8"/>
  <c r="G746" i="8"/>
  <c r="F746" i="8"/>
  <c r="E746" i="8"/>
  <c r="G745" i="8"/>
  <c r="F745" i="8"/>
  <c r="E745" i="8"/>
  <c r="G744" i="8"/>
  <c r="F744" i="8"/>
  <c r="E744" i="8"/>
  <c r="G743" i="8"/>
  <c r="F743" i="8"/>
  <c r="E743" i="8"/>
  <c r="G742" i="8"/>
  <c r="F742" i="8"/>
  <c r="E742" i="8"/>
  <c r="G741" i="8"/>
  <c r="F741" i="8"/>
  <c r="E741" i="8"/>
  <c r="G740" i="8"/>
  <c r="F740" i="8"/>
  <c r="E740" i="8"/>
  <c r="G739" i="8"/>
  <c r="F739" i="8"/>
  <c r="E739" i="8"/>
  <c r="G738" i="8"/>
  <c r="F738" i="8"/>
  <c r="E738" i="8"/>
  <c r="G737" i="8"/>
  <c r="F737" i="8"/>
  <c r="E737" i="8"/>
  <c r="G736" i="8"/>
  <c r="F736" i="8"/>
  <c r="E736" i="8"/>
  <c r="G735" i="8"/>
  <c r="F735" i="8"/>
  <c r="E735" i="8"/>
  <c r="G734" i="8"/>
  <c r="F734" i="8"/>
  <c r="E734" i="8"/>
  <c r="G733" i="8"/>
  <c r="F733" i="8"/>
  <c r="E733" i="8"/>
  <c r="G732" i="8"/>
  <c r="F732" i="8"/>
  <c r="E732" i="8"/>
  <c r="G731" i="8"/>
  <c r="F731" i="8"/>
  <c r="E731" i="8"/>
  <c r="G730" i="8"/>
  <c r="F730" i="8"/>
  <c r="E730" i="8"/>
  <c r="G729" i="8"/>
  <c r="F729" i="8"/>
  <c r="E729" i="8"/>
  <c r="G728" i="8"/>
  <c r="F728" i="8"/>
  <c r="E728" i="8"/>
  <c r="G727" i="8"/>
  <c r="F727" i="8"/>
  <c r="E727" i="8"/>
  <c r="G726" i="8"/>
  <c r="F726" i="8"/>
  <c r="E726" i="8"/>
  <c r="G725" i="8"/>
  <c r="F725" i="8"/>
  <c r="E725" i="8"/>
  <c r="G724" i="8"/>
  <c r="F724" i="8"/>
  <c r="E724" i="8"/>
  <c r="G723" i="8"/>
  <c r="F723" i="8"/>
  <c r="E723" i="8"/>
  <c r="G722" i="8"/>
  <c r="F722" i="8"/>
  <c r="E722" i="8"/>
  <c r="G721" i="8"/>
  <c r="F721" i="8"/>
  <c r="E721" i="8"/>
  <c r="G720" i="8"/>
  <c r="F720" i="8"/>
  <c r="E720" i="8"/>
  <c r="G719" i="8"/>
  <c r="F719" i="8"/>
  <c r="E719" i="8"/>
  <c r="G718" i="8"/>
  <c r="F718" i="8"/>
  <c r="E718" i="8"/>
  <c r="G717" i="8"/>
  <c r="F717" i="8"/>
  <c r="E717" i="8"/>
  <c r="G479" i="8"/>
  <c r="F479" i="8"/>
  <c r="E479" i="8"/>
  <c r="G478" i="8"/>
  <c r="F478" i="8"/>
  <c r="E478" i="8"/>
  <c r="G477" i="8"/>
  <c r="F477" i="8"/>
  <c r="E477" i="8"/>
  <c r="G476" i="8"/>
  <c r="F476" i="8"/>
  <c r="E476" i="8"/>
  <c r="G475" i="8"/>
  <c r="F475" i="8"/>
  <c r="E475" i="8"/>
  <c r="G474" i="8"/>
  <c r="F474" i="8"/>
  <c r="E474" i="8"/>
  <c r="G473" i="8"/>
  <c r="F473" i="8"/>
  <c r="E473" i="8"/>
  <c r="G472" i="8"/>
  <c r="F472" i="8"/>
  <c r="E472" i="8"/>
  <c r="G471" i="8"/>
  <c r="F471" i="8"/>
  <c r="E471" i="8"/>
  <c r="G470" i="8"/>
  <c r="F470" i="8"/>
  <c r="E470" i="8"/>
  <c r="G469" i="8"/>
  <c r="F469" i="8"/>
  <c r="E469" i="8"/>
  <c r="G468" i="8"/>
  <c r="F468" i="8"/>
  <c r="E468" i="8"/>
  <c r="G467" i="8"/>
  <c r="F467" i="8"/>
  <c r="E467" i="8"/>
  <c r="G466" i="8"/>
  <c r="F466" i="8"/>
  <c r="E466" i="8"/>
  <c r="G465" i="8"/>
  <c r="F465" i="8"/>
  <c r="E465" i="8"/>
  <c r="G464" i="8"/>
  <c r="F464" i="8"/>
  <c r="E464" i="8"/>
  <c r="G463" i="8"/>
  <c r="F463" i="8"/>
  <c r="E463" i="8"/>
  <c r="G462" i="8"/>
  <c r="F462" i="8"/>
  <c r="E462" i="8"/>
  <c r="G461" i="8"/>
  <c r="F461" i="8"/>
  <c r="E461" i="8"/>
  <c r="G460" i="8"/>
  <c r="F460" i="8"/>
  <c r="E460" i="8"/>
  <c r="G459" i="8"/>
  <c r="F459" i="8"/>
  <c r="E459" i="8"/>
  <c r="G458" i="8"/>
  <c r="F458" i="8"/>
  <c r="E458" i="8"/>
  <c r="G457" i="8"/>
  <c r="F457" i="8"/>
  <c r="E457" i="8"/>
  <c r="G456" i="8"/>
  <c r="F456" i="8"/>
  <c r="E456" i="8"/>
  <c r="G455" i="8"/>
  <c r="F455" i="8"/>
  <c r="E455" i="8"/>
  <c r="G454" i="8"/>
  <c r="F454" i="8"/>
  <c r="E454" i="8"/>
  <c r="G453" i="8"/>
  <c r="F453" i="8"/>
  <c r="E453" i="8"/>
  <c r="G452" i="8"/>
  <c r="F452" i="8"/>
  <c r="E452" i="8"/>
  <c r="G451" i="8"/>
  <c r="F451" i="8"/>
  <c r="E451" i="8"/>
  <c r="G450" i="8"/>
  <c r="F450" i="8"/>
  <c r="E450" i="8"/>
  <c r="G449" i="8"/>
  <c r="F449" i="8"/>
  <c r="E449" i="8"/>
  <c r="G716" i="8"/>
  <c r="F716" i="8"/>
  <c r="E716" i="8"/>
  <c r="G715" i="8"/>
  <c r="F715" i="8"/>
  <c r="E715" i="8"/>
  <c r="G714" i="8"/>
  <c r="F714" i="8"/>
  <c r="E714" i="8"/>
  <c r="G713" i="8"/>
  <c r="F713" i="8"/>
  <c r="E713" i="8"/>
  <c r="G712" i="8"/>
  <c r="F712" i="8"/>
  <c r="E712" i="8"/>
  <c r="G711" i="8"/>
  <c r="F711" i="8"/>
  <c r="E711" i="8"/>
  <c r="G710" i="8"/>
  <c r="F710" i="8"/>
  <c r="E710" i="8"/>
  <c r="G709" i="8"/>
  <c r="F709" i="8"/>
  <c r="E709" i="8"/>
  <c r="G708" i="8"/>
  <c r="F708" i="8"/>
  <c r="E708" i="8"/>
  <c r="G707" i="8"/>
  <c r="F707" i="8"/>
  <c r="E707" i="8"/>
  <c r="G706" i="8"/>
  <c r="F706" i="8"/>
  <c r="E706" i="8"/>
  <c r="G705" i="8"/>
  <c r="F705" i="8"/>
  <c r="E705" i="8"/>
  <c r="G704" i="8"/>
  <c r="F704" i="8"/>
  <c r="E704" i="8"/>
  <c r="G703" i="8"/>
  <c r="F703" i="8"/>
  <c r="E703" i="8"/>
  <c r="G702" i="8"/>
  <c r="F702" i="8"/>
  <c r="E702" i="8"/>
  <c r="G701" i="8"/>
  <c r="F701" i="8"/>
  <c r="E701" i="8"/>
  <c r="G700" i="8"/>
  <c r="F700" i="8"/>
  <c r="E700" i="8"/>
  <c r="G699" i="8"/>
  <c r="F699" i="8"/>
  <c r="E699" i="8"/>
  <c r="G698" i="8"/>
  <c r="F698" i="8"/>
  <c r="E698" i="8"/>
  <c r="G697" i="8"/>
  <c r="F697" i="8"/>
  <c r="E697" i="8"/>
  <c r="G696" i="8"/>
  <c r="F696" i="8"/>
  <c r="E696" i="8"/>
  <c r="G695" i="8"/>
  <c r="F695" i="8"/>
  <c r="E695" i="8"/>
  <c r="G694" i="8"/>
  <c r="F694" i="8"/>
  <c r="E694" i="8"/>
  <c r="G693" i="8"/>
  <c r="F693" i="8"/>
  <c r="E693" i="8"/>
  <c r="G692" i="8"/>
  <c r="F692" i="8"/>
  <c r="E692" i="8"/>
  <c r="G691" i="8"/>
  <c r="F691" i="8"/>
  <c r="E691" i="8"/>
  <c r="G690" i="8"/>
  <c r="F690" i="8"/>
  <c r="E690" i="8"/>
  <c r="G689" i="8"/>
  <c r="F689" i="8"/>
  <c r="E689" i="8"/>
  <c r="G688" i="8"/>
  <c r="F688" i="8"/>
  <c r="E688" i="8"/>
  <c r="G687" i="8"/>
  <c r="F687" i="8"/>
  <c r="E687" i="8"/>
  <c r="G686" i="8"/>
  <c r="F686" i="8"/>
  <c r="E686" i="8"/>
  <c r="G685" i="8"/>
  <c r="F685" i="8"/>
  <c r="E685" i="8"/>
  <c r="G684" i="8"/>
  <c r="F684" i="8"/>
  <c r="E684" i="8"/>
  <c r="G683" i="8"/>
  <c r="F683" i="8"/>
  <c r="E683" i="8"/>
  <c r="G682" i="8"/>
  <c r="F682" i="8"/>
  <c r="E682" i="8"/>
  <c r="G681" i="8"/>
  <c r="F681" i="8"/>
  <c r="E681" i="8"/>
  <c r="G680" i="8"/>
  <c r="F680" i="8"/>
  <c r="E680" i="8"/>
  <c r="G679" i="8"/>
  <c r="F679" i="8"/>
  <c r="E679" i="8"/>
  <c r="G678" i="8"/>
  <c r="F678" i="8"/>
  <c r="E678" i="8"/>
  <c r="G677" i="8"/>
  <c r="F677" i="8"/>
  <c r="E677" i="8"/>
  <c r="G676" i="8"/>
  <c r="F676" i="8"/>
  <c r="E676" i="8"/>
  <c r="G675" i="8"/>
  <c r="F675" i="8"/>
  <c r="E675" i="8"/>
  <c r="G674" i="8"/>
  <c r="F674" i="8"/>
  <c r="E674" i="8"/>
  <c r="G673" i="8"/>
  <c r="F673" i="8"/>
  <c r="E673" i="8"/>
  <c r="G672" i="8"/>
  <c r="F672" i="8"/>
  <c r="E672" i="8"/>
  <c r="G671" i="8"/>
  <c r="F671" i="8"/>
  <c r="E671" i="8"/>
  <c r="G670" i="8"/>
  <c r="F670" i="8"/>
  <c r="E670" i="8"/>
  <c r="G669" i="8"/>
  <c r="F669" i="8"/>
  <c r="E669" i="8"/>
  <c r="G668" i="8"/>
  <c r="F668" i="8"/>
  <c r="E668" i="8"/>
  <c r="G667" i="8"/>
  <c r="F667" i="8"/>
  <c r="E667" i="8"/>
  <c r="G666" i="8"/>
  <c r="F666" i="8"/>
  <c r="E666" i="8"/>
  <c r="G665" i="8"/>
  <c r="F665" i="8"/>
  <c r="E665" i="8"/>
  <c r="G664" i="8"/>
  <c r="F664" i="8"/>
  <c r="E664" i="8"/>
  <c r="G663" i="8"/>
  <c r="F663" i="8"/>
  <c r="E663" i="8"/>
  <c r="G662" i="8"/>
  <c r="F662" i="8"/>
  <c r="E662" i="8"/>
  <c r="G661" i="8"/>
  <c r="F661" i="8"/>
  <c r="E661" i="8"/>
  <c r="G660" i="8"/>
  <c r="F660" i="8"/>
  <c r="E660" i="8"/>
  <c r="G659" i="8"/>
  <c r="F659" i="8"/>
  <c r="E659" i="8"/>
  <c r="G658" i="8"/>
  <c r="F658" i="8"/>
  <c r="E658" i="8"/>
  <c r="G387" i="8"/>
  <c r="F387" i="8"/>
  <c r="E387" i="8"/>
  <c r="G386" i="8"/>
  <c r="F386" i="8"/>
  <c r="E386" i="8"/>
  <c r="G385" i="8"/>
  <c r="F385" i="8"/>
  <c r="E385" i="8"/>
  <c r="G384" i="8"/>
  <c r="F384" i="8"/>
  <c r="E384" i="8"/>
  <c r="G383" i="8"/>
  <c r="F383" i="8"/>
  <c r="E383" i="8"/>
  <c r="G382" i="8"/>
  <c r="F382" i="8"/>
  <c r="E382" i="8"/>
  <c r="G381" i="8"/>
  <c r="F381" i="8"/>
  <c r="E381" i="8"/>
  <c r="G380" i="8"/>
  <c r="F380" i="8"/>
  <c r="E380" i="8"/>
  <c r="G379" i="8"/>
  <c r="F379" i="8"/>
  <c r="E379" i="8"/>
  <c r="G378" i="8"/>
  <c r="F378" i="8"/>
  <c r="E378" i="8"/>
  <c r="G1582" i="8"/>
  <c r="F1582" i="8"/>
  <c r="E1582" i="8"/>
  <c r="G1941" i="8"/>
  <c r="F1941" i="8"/>
  <c r="E1941" i="8"/>
  <c r="G1940" i="8"/>
  <c r="F1940" i="8"/>
  <c r="E1940" i="8"/>
  <c r="G1939" i="8"/>
  <c r="F1939" i="8"/>
  <c r="E1939" i="8"/>
  <c r="G1938" i="8"/>
  <c r="F1938" i="8"/>
  <c r="E1938" i="8"/>
  <c r="G1937" i="8"/>
  <c r="F1937" i="8"/>
  <c r="E1937" i="8"/>
  <c r="G1936" i="8"/>
  <c r="F1936" i="8"/>
  <c r="E1936" i="8"/>
  <c r="G1581" i="8"/>
  <c r="F1581" i="8"/>
  <c r="E1581" i="8"/>
  <c r="G1580" i="8"/>
  <c r="F1580" i="8"/>
  <c r="E1580" i="8"/>
  <c r="G1579" i="8"/>
  <c r="F1579" i="8"/>
  <c r="E1579" i="8"/>
  <c r="G1578" i="8"/>
  <c r="F1578" i="8"/>
  <c r="E1578" i="8"/>
  <c r="G1577" i="8"/>
  <c r="F1577" i="8"/>
  <c r="E1577" i="8"/>
  <c r="G1576" i="8"/>
  <c r="F1576" i="8"/>
  <c r="E1576" i="8"/>
  <c r="G1575" i="8"/>
  <c r="F1575" i="8"/>
  <c r="E1575" i="8"/>
  <c r="G1574" i="8"/>
  <c r="F1574" i="8"/>
  <c r="E1574" i="8"/>
  <c r="G1573" i="8"/>
  <c r="F1573" i="8"/>
  <c r="E1573" i="8"/>
  <c r="G1572" i="8"/>
  <c r="F1572" i="8"/>
  <c r="E1572" i="8"/>
  <c r="G1571" i="8"/>
  <c r="F1571" i="8"/>
  <c r="E1571" i="8"/>
  <c r="G1570" i="8"/>
  <c r="F1570" i="8"/>
  <c r="E1570" i="8"/>
  <c r="G1569" i="8"/>
  <c r="F1569" i="8"/>
  <c r="E1569" i="8"/>
  <c r="G1568" i="8"/>
  <c r="F1568" i="8"/>
  <c r="E1568" i="8"/>
  <c r="G1567" i="8"/>
  <c r="F1567" i="8"/>
  <c r="E1567" i="8"/>
  <c r="G1566" i="8"/>
  <c r="F1566" i="8"/>
  <c r="E1566" i="8"/>
  <c r="G1565" i="8"/>
  <c r="F1565" i="8"/>
  <c r="E1565" i="8"/>
  <c r="G1564" i="8"/>
  <c r="F1564" i="8"/>
  <c r="E1564" i="8"/>
  <c r="G1563" i="8"/>
  <c r="F1563" i="8"/>
  <c r="E1563" i="8"/>
  <c r="G1562" i="8"/>
  <c r="F1562" i="8"/>
  <c r="E1562" i="8"/>
  <c r="G1561" i="8"/>
  <c r="F1561" i="8"/>
  <c r="E1561" i="8"/>
  <c r="G1560" i="8"/>
  <c r="F1560" i="8"/>
  <c r="E1560" i="8"/>
  <c r="G1559" i="8"/>
  <c r="F1559" i="8"/>
  <c r="E1559" i="8"/>
  <c r="G1558" i="8"/>
  <c r="F1558" i="8"/>
  <c r="E1558" i="8"/>
  <c r="G1557" i="8"/>
  <c r="F1557" i="8"/>
  <c r="E1557" i="8"/>
  <c r="G1556" i="8"/>
  <c r="F1556" i="8"/>
  <c r="E1556" i="8"/>
  <c r="G1555" i="8"/>
  <c r="F1555" i="8"/>
  <c r="E1555" i="8"/>
  <c r="G1935" i="8"/>
  <c r="F1935" i="8"/>
  <c r="E1935" i="8"/>
  <c r="G1934" i="8"/>
  <c r="F1934" i="8"/>
  <c r="E1934" i="8"/>
  <c r="G1933" i="8"/>
  <c r="F1933" i="8"/>
  <c r="E1933" i="8"/>
  <c r="G1932" i="8"/>
  <c r="F1932" i="8"/>
  <c r="E1932" i="8"/>
  <c r="G1931" i="8"/>
  <c r="F1931" i="8"/>
  <c r="E1931" i="8"/>
  <c r="G1930" i="8"/>
  <c r="F1930" i="8"/>
  <c r="E1930" i="8"/>
  <c r="G1929" i="8"/>
  <c r="F1929" i="8"/>
  <c r="E1929" i="8"/>
  <c r="G1928" i="8"/>
  <c r="F1928" i="8"/>
  <c r="E1928" i="8"/>
  <c r="G1927" i="8"/>
  <c r="F1927" i="8"/>
  <c r="E1927" i="8"/>
  <c r="G1926" i="8"/>
  <c r="F1926" i="8"/>
  <c r="E1926" i="8"/>
  <c r="G1925" i="8"/>
  <c r="F1925" i="8"/>
  <c r="E1925" i="8"/>
  <c r="G1924" i="8"/>
  <c r="F1924" i="8"/>
  <c r="E1924" i="8"/>
  <c r="G1923" i="8"/>
  <c r="F1923" i="8"/>
  <c r="E1923" i="8"/>
  <c r="G1922" i="8"/>
  <c r="F1922" i="8"/>
  <c r="E1922" i="8"/>
  <c r="G1921" i="8"/>
  <c r="F1921" i="8"/>
  <c r="E1921" i="8"/>
  <c r="G177" i="8"/>
  <c r="F177" i="8"/>
  <c r="E177" i="8"/>
  <c r="G176" i="8"/>
  <c r="F176" i="8"/>
  <c r="E176" i="8"/>
  <c r="G175" i="8"/>
  <c r="F175" i="8"/>
  <c r="E175" i="8"/>
  <c r="G174" i="8"/>
  <c r="F174" i="8"/>
  <c r="E174" i="8"/>
  <c r="G173" i="8"/>
  <c r="F173" i="8"/>
  <c r="E173" i="8"/>
  <c r="G172" i="8"/>
  <c r="F172" i="8"/>
  <c r="E172" i="8"/>
  <c r="G171" i="8"/>
  <c r="F171" i="8"/>
  <c r="E171" i="8"/>
  <c r="G170" i="8"/>
  <c r="F170" i="8"/>
  <c r="E170" i="8"/>
  <c r="G169" i="8"/>
  <c r="F169" i="8"/>
  <c r="E169" i="8"/>
  <c r="G168" i="8"/>
  <c r="F168" i="8"/>
  <c r="E168" i="8"/>
  <c r="G167" i="8"/>
  <c r="F167" i="8"/>
  <c r="E167" i="8"/>
  <c r="G166" i="8"/>
  <c r="F166" i="8"/>
  <c r="E166" i="8"/>
  <c r="G165" i="8"/>
  <c r="F165" i="8"/>
  <c r="E165" i="8"/>
  <c r="G164" i="8"/>
  <c r="F164" i="8"/>
  <c r="E164" i="8"/>
  <c r="G163" i="8"/>
  <c r="F163" i="8"/>
  <c r="E163" i="8"/>
  <c r="G162" i="8"/>
  <c r="F162" i="8"/>
  <c r="E162" i="8"/>
  <c r="G161" i="8"/>
  <c r="F161" i="8"/>
  <c r="E161" i="8"/>
  <c r="G160" i="8"/>
  <c r="F160" i="8"/>
  <c r="E160" i="8"/>
  <c r="G159" i="8"/>
  <c r="F159" i="8"/>
  <c r="E159" i="8"/>
  <c r="G158" i="8"/>
  <c r="F158" i="8"/>
  <c r="E158" i="8"/>
  <c r="G157" i="8"/>
  <c r="F157" i="8"/>
  <c r="E157" i="8"/>
  <c r="G156" i="8"/>
  <c r="F156" i="8"/>
  <c r="E156" i="8"/>
  <c r="G155" i="8"/>
  <c r="F155" i="8"/>
  <c r="E155" i="8"/>
  <c r="G154" i="8"/>
  <c r="F154" i="8"/>
  <c r="E154" i="8"/>
  <c r="G153" i="8"/>
  <c r="F153" i="8"/>
  <c r="E153" i="8"/>
  <c r="G152" i="8"/>
  <c r="F152" i="8"/>
  <c r="E152" i="8"/>
  <c r="G151" i="8"/>
  <c r="F151" i="8"/>
  <c r="E151" i="8"/>
  <c r="G150" i="8"/>
  <c r="F150" i="8"/>
  <c r="E150" i="8"/>
  <c r="G149" i="8"/>
  <c r="F149" i="8"/>
  <c r="E149" i="8"/>
  <c r="G148" i="8"/>
  <c r="F148" i="8"/>
  <c r="E148" i="8"/>
  <c r="G147" i="8"/>
  <c r="F147" i="8"/>
  <c r="E147" i="8"/>
  <c r="G146" i="8"/>
  <c r="F146" i="8"/>
  <c r="E146" i="8"/>
  <c r="G145" i="8"/>
  <c r="F145" i="8"/>
  <c r="E145" i="8"/>
  <c r="G144" i="8"/>
  <c r="F144" i="8"/>
  <c r="E144" i="8"/>
  <c r="G143" i="8"/>
  <c r="F143" i="8"/>
  <c r="E143" i="8"/>
  <c r="G142" i="8"/>
  <c r="F142" i="8"/>
  <c r="E142" i="8"/>
  <c r="G141" i="8"/>
  <c r="F141" i="8"/>
  <c r="E141" i="8"/>
  <c r="G140" i="8"/>
  <c r="F140" i="8"/>
  <c r="E140" i="8"/>
  <c r="G139" i="8"/>
  <c r="F139" i="8"/>
  <c r="E139" i="8"/>
  <c r="G138" i="8"/>
  <c r="F138" i="8"/>
  <c r="E138" i="8"/>
  <c r="G137" i="8"/>
  <c r="F137" i="8"/>
  <c r="E137" i="8"/>
  <c r="G136" i="8"/>
  <c r="F136" i="8"/>
  <c r="E136" i="8"/>
  <c r="G1554" i="8"/>
  <c r="F1554" i="8"/>
  <c r="E1554" i="8"/>
  <c r="G1553" i="8"/>
  <c r="F1553" i="8"/>
  <c r="E1553" i="8"/>
  <c r="G1552" i="8"/>
  <c r="F1552" i="8"/>
  <c r="E1552" i="8"/>
  <c r="G1551" i="8"/>
  <c r="F1551" i="8"/>
  <c r="E1551" i="8"/>
  <c r="G1550" i="8"/>
  <c r="F1550" i="8"/>
  <c r="E1550" i="8"/>
  <c r="G1549" i="8"/>
  <c r="F1549" i="8"/>
  <c r="E1549" i="8"/>
  <c r="G1548" i="8"/>
  <c r="F1548" i="8"/>
  <c r="E1548" i="8"/>
  <c r="G1547" i="8"/>
  <c r="F1547" i="8"/>
  <c r="E1547" i="8"/>
  <c r="G1546" i="8"/>
  <c r="F1546" i="8"/>
  <c r="E1546" i="8"/>
  <c r="G1545" i="8"/>
  <c r="F1545" i="8"/>
  <c r="E1545" i="8"/>
  <c r="G1544" i="8"/>
  <c r="F1544" i="8"/>
  <c r="E1544" i="8"/>
  <c r="G1543" i="8"/>
  <c r="F1543" i="8"/>
  <c r="E1543" i="8"/>
  <c r="G1542" i="8"/>
  <c r="F1542" i="8"/>
  <c r="E1542" i="8"/>
  <c r="G1541" i="8"/>
  <c r="F1541" i="8"/>
  <c r="E1541" i="8"/>
  <c r="G1540" i="8"/>
  <c r="F1540" i="8"/>
  <c r="E1540" i="8"/>
  <c r="G1539" i="8"/>
  <c r="F1539" i="8"/>
  <c r="E1539" i="8"/>
  <c r="G1538" i="8"/>
  <c r="F1538" i="8"/>
  <c r="E1538" i="8"/>
  <c r="G1537" i="8"/>
  <c r="F1537" i="8"/>
  <c r="E1537" i="8"/>
  <c r="G1536" i="8"/>
  <c r="F1536" i="8"/>
  <c r="E1536" i="8"/>
  <c r="G1535" i="8"/>
  <c r="F1535" i="8"/>
  <c r="E1535" i="8"/>
  <c r="G1534" i="8"/>
  <c r="F1534" i="8"/>
  <c r="E1534" i="8"/>
  <c r="G1533" i="8"/>
  <c r="F1533" i="8"/>
  <c r="E1533" i="8"/>
  <c r="G1532" i="8"/>
  <c r="F1532" i="8"/>
  <c r="E1532" i="8"/>
  <c r="G1531" i="8"/>
  <c r="F1531" i="8"/>
  <c r="E1531" i="8"/>
  <c r="G1530" i="8"/>
  <c r="F1530" i="8"/>
  <c r="E1530" i="8"/>
  <c r="G1529" i="8"/>
  <c r="F1529" i="8"/>
  <c r="E1529" i="8"/>
  <c r="G1528" i="8"/>
  <c r="F1528" i="8"/>
  <c r="E1528" i="8"/>
  <c r="G1527" i="8"/>
  <c r="F1527" i="8"/>
  <c r="E1527" i="8"/>
  <c r="G1526" i="8"/>
  <c r="F1526" i="8"/>
  <c r="E1526" i="8"/>
  <c r="G1525" i="8"/>
  <c r="F1525" i="8"/>
  <c r="E1525" i="8"/>
  <c r="G1022" i="8"/>
  <c r="F1022" i="8"/>
  <c r="E1022" i="8"/>
  <c r="G1021" i="8"/>
  <c r="F1021" i="8"/>
  <c r="E1021" i="8"/>
  <c r="G1020" i="8"/>
  <c r="F1020" i="8"/>
  <c r="E1020" i="8"/>
  <c r="G1019" i="8"/>
  <c r="F1019" i="8"/>
  <c r="E1019" i="8"/>
  <c r="G1018" i="8"/>
  <c r="F1018" i="8"/>
  <c r="E1018" i="8"/>
  <c r="G1017" i="8"/>
  <c r="F1017" i="8"/>
  <c r="E1017" i="8"/>
  <c r="G1016" i="8"/>
  <c r="F1016" i="8"/>
  <c r="E1016" i="8"/>
  <c r="G1015" i="8"/>
  <c r="F1015" i="8"/>
  <c r="E1015" i="8"/>
  <c r="G1014" i="8"/>
  <c r="F1014" i="8"/>
  <c r="E1014" i="8"/>
  <c r="G1013" i="8"/>
  <c r="F1013" i="8"/>
  <c r="E1013" i="8"/>
  <c r="G1012" i="8"/>
  <c r="F1012" i="8"/>
  <c r="E1012" i="8"/>
  <c r="G1011" i="8"/>
  <c r="F1011" i="8"/>
  <c r="E1011" i="8"/>
  <c r="G1010" i="8"/>
  <c r="F1010" i="8"/>
  <c r="E1010" i="8"/>
  <c r="G1009" i="8"/>
  <c r="F1009" i="8"/>
  <c r="E1009" i="8"/>
  <c r="G1008" i="8"/>
  <c r="F1008" i="8"/>
  <c r="E1008" i="8"/>
  <c r="G1007" i="8"/>
  <c r="F1007" i="8"/>
  <c r="E1007" i="8"/>
  <c r="G1006" i="8"/>
  <c r="F1006" i="8"/>
  <c r="E1006" i="8"/>
  <c r="G1005" i="8"/>
  <c r="F1005" i="8"/>
  <c r="E1005" i="8"/>
  <c r="G1004" i="8"/>
  <c r="F1004" i="8"/>
  <c r="E1004" i="8"/>
  <c r="G1003" i="8"/>
  <c r="F1003" i="8"/>
  <c r="E1003" i="8"/>
  <c r="G1002" i="8"/>
  <c r="F1002" i="8"/>
  <c r="E1002" i="8"/>
  <c r="G1524" i="8"/>
  <c r="F1524" i="8"/>
  <c r="E1524" i="8"/>
  <c r="G1523" i="8"/>
  <c r="F1523" i="8"/>
  <c r="E1523" i="8"/>
  <c r="G1522" i="8"/>
  <c r="F1522" i="8"/>
  <c r="E1522" i="8"/>
  <c r="G1521" i="8"/>
  <c r="F1521" i="8"/>
  <c r="E1521" i="8"/>
  <c r="G1520" i="8"/>
  <c r="F1520" i="8"/>
  <c r="E1520" i="8"/>
  <c r="G1519" i="8"/>
  <c r="F1519" i="8"/>
  <c r="E1519" i="8"/>
  <c r="G1518" i="8"/>
  <c r="F1518" i="8"/>
  <c r="E1518" i="8"/>
  <c r="G1517" i="8"/>
  <c r="F1517" i="8"/>
  <c r="E1517" i="8"/>
  <c r="G1516" i="8"/>
  <c r="F1516" i="8"/>
  <c r="E1516" i="8"/>
  <c r="G1515" i="8"/>
  <c r="F1515" i="8"/>
  <c r="E1515" i="8"/>
  <c r="G1514" i="8"/>
  <c r="F1514" i="8"/>
  <c r="E1514" i="8"/>
  <c r="G1513" i="8"/>
  <c r="F1513" i="8"/>
  <c r="E1513" i="8"/>
  <c r="G1512" i="8"/>
  <c r="F1512" i="8"/>
  <c r="E1512" i="8"/>
  <c r="G1511" i="8"/>
  <c r="F1511" i="8"/>
  <c r="E1511" i="8"/>
  <c r="G1510" i="8"/>
  <c r="F1510" i="8"/>
  <c r="E1510" i="8"/>
  <c r="G1509" i="8"/>
  <c r="F1509" i="8"/>
  <c r="E1509" i="8"/>
  <c r="G1508" i="8"/>
  <c r="F1508" i="8"/>
  <c r="E1508" i="8"/>
  <c r="G1507" i="8"/>
  <c r="F1507" i="8"/>
  <c r="E1507" i="8"/>
  <c r="G1506" i="8"/>
  <c r="F1506" i="8"/>
  <c r="E1506" i="8"/>
  <c r="G1505" i="8"/>
  <c r="F1505" i="8"/>
  <c r="E1505" i="8"/>
  <c r="G1504" i="8"/>
  <c r="F1504" i="8"/>
  <c r="E1504" i="8"/>
  <c r="G1503" i="8"/>
  <c r="F1503" i="8"/>
  <c r="E1503" i="8"/>
  <c r="G1502" i="8"/>
  <c r="F1502" i="8"/>
  <c r="E1502" i="8"/>
  <c r="G1501" i="8"/>
  <c r="F1501" i="8"/>
  <c r="E1501" i="8"/>
  <c r="G1500" i="8"/>
  <c r="F1500" i="8"/>
  <c r="E1500" i="8"/>
  <c r="G1499" i="8"/>
  <c r="F1499" i="8"/>
  <c r="E1499" i="8"/>
  <c r="G1498" i="8"/>
  <c r="F1498" i="8"/>
  <c r="E1498" i="8"/>
  <c r="G1497" i="8"/>
  <c r="F1497" i="8"/>
  <c r="E1497" i="8"/>
  <c r="G1496" i="8"/>
  <c r="F1496" i="8"/>
  <c r="E1496" i="8"/>
  <c r="G1495" i="8"/>
  <c r="F1495" i="8"/>
  <c r="E1495" i="8"/>
  <c r="G1494" i="8"/>
  <c r="F1494" i="8"/>
  <c r="E1494" i="8"/>
  <c r="G1493" i="8"/>
  <c r="F1493" i="8"/>
  <c r="E1493" i="8"/>
  <c r="G1492" i="8"/>
  <c r="F1492" i="8"/>
  <c r="E1492" i="8"/>
  <c r="G1491" i="8"/>
  <c r="F1491" i="8"/>
  <c r="E1491" i="8"/>
  <c r="G1490" i="8"/>
  <c r="F1490" i="8"/>
  <c r="E1490" i="8"/>
  <c r="G1489" i="8"/>
  <c r="F1489" i="8"/>
  <c r="E1489" i="8"/>
  <c r="G1488" i="8"/>
  <c r="F1488" i="8"/>
  <c r="E1488" i="8"/>
  <c r="G1487" i="8"/>
  <c r="F1487" i="8"/>
  <c r="E1487" i="8"/>
  <c r="G1486" i="8"/>
  <c r="F1486" i="8"/>
  <c r="E1486" i="8"/>
  <c r="G1485" i="8"/>
  <c r="F1485" i="8"/>
  <c r="E1485" i="8"/>
  <c r="G1484" i="8"/>
  <c r="F1484" i="8"/>
  <c r="E1484" i="8"/>
  <c r="G1483" i="8"/>
  <c r="F1483" i="8"/>
  <c r="E1483" i="8"/>
  <c r="G1482" i="8"/>
  <c r="F1482" i="8"/>
  <c r="E1482" i="8"/>
  <c r="G1481" i="8"/>
  <c r="F1481" i="8"/>
  <c r="E1481" i="8"/>
  <c r="G1480" i="8"/>
  <c r="F1480" i="8"/>
  <c r="E1480" i="8"/>
  <c r="G1479" i="8"/>
  <c r="F1479" i="8"/>
  <c r="E1479" i="8"/>
  <c r="G1478" i="8"/>
  <c r="F1478" i="8"/>
  <c r="E1478" i="8"/>
  <c r="G1477" i="8"/>
  <c r="F1477" i="8"/>
  <c r="E1477" i="8"/>
  <c r="G1476" i="8"/>
  <c r="F1476" i="8"/>
  <c r="E1476" i="8"/>
  <c r="G1475" i="8"/>
  <c r="F1475" i="8"/>
  <c r="E1475" i="8"/>
  <c r="G1474" i="8"/>
  <c r="F1474" i="8"/>
  <c r="E1474" i="8"/>
  <c r="G1473" i="8"/>
  <c r="F1473" i="8"/>
  <c r="E1473" i="8"/>
  <c r="G1472" i="8"/>
  <c r="F1472" i="8"/>
  <c r="E1472" i="8"/>
  <c r="G1471" i="8"/>
  <c r="F1471" i="8"/>
  <c r="E1471" i="8"/>
  <c r="G1470" i="8"/>
  <c r="F1470" i="8"/>
  <c r="E1470" i="8"/>
  <c r="G1469" i="8"/>
  <c r="F1469" i="8"/>
  <c r="E1469" i="8"/>
  <c r="G1468" i="8"/>
  <c r="F1468" i="8"/>
  <c r="E1468" i="8"/>
  <c r="G1467" i="8"/>
  <c r="F1467" i="8"/>
  <c r="E1467" i="8"/>
  <c r="G1466" i="8"/>
  <c r="F1466" i="8"/>
  <c r="E1466" i="8"/>
  <c r="G1465" i="8"/>
  <c r="F1465" i="8"/>
  <c r="E1465" i="8"/>
  <c r="G1464" i="8"/>
  <c r="F1464" i="8"/>
  <c r="E1464" i="8"/>
  <c r="G1463" i="8"/>
  <c r="F1463" i="8"/>
  <c r="E1463" i="8"/>
  <c r="G1462" i="8"/>
  <c r="F1462" i="8"/>
  <c r="E1462" i="8"/>
  <c r="G1461" i="8"/>
  <c r="F1461" i="8"/>
  <c r="E1461" i="8"/>
  <c r="G1460" i="8"/>
  <c r="F1460" i="8"/>
  <c r="E1460" i="8"/>
  <c r="G1459" i="8"/>
  <c r="F1459" i="8"/>
  <c r="E1459" i="8"/>
  <c r="G1458" i="8"/>
  <c r="F1458" i="8"/>
  <c r="E1458" i="8"/>
  <c r="G1457" i="8"/>
  <c r="F1457" i="8"/>
  <c r="E1457" i="8"/>
  <c r="G1456" i="8"/>
  <c r="F1456" i="8"/>
  <c r="E1456" i="8"/>
  <c r="G1455" i="8"/>
  <c r="F1455" i="8"/>
  <c r="E1455" i="8"/>
  <c r="G1454" i="8"/>
  <c r="F1454" i="8"/>
  <c r="E1454" i="8"/>
  <c r="G1453" i="8"/>
  <c r="F1453" i="8"/>
  <c r="E1453" i="8"/>
  <c r="G1001" i="8"/>
  <c r="F1001" i="8"/>
  <c r="E1001" i="8"/>
  <c r="G1000" i="8"/>
  <c r="F1000" i="8"/>
  <c r="E1000" i="8"/>
  <c r="G999" i="8"/>
  <c r="F999" i="8"/>
  <c r="E999" i="8"/>
  <c r="G998" i="8"/>
  <c r="F998" i="8"/>
  <c r="E998" i="8"/>
  <c r="G997" i="8"/>
  <c r="F997" i="8"/>
  <c r="E997" i="8"/>
  <c r="G996" i="8"/>
  <c r="F996" i="8"/>
  <c r="E996" i="8"/>
  <c r="G995" i="8"/>
  <c r="F995" i="8"/>
  <c r="E995" i="8"/>
  <c r="G994" i="8"/>
  <c r="F994" i="8"/>
  <c r="E994" i="8"/>
  <c r="G1920" i="8"/>
  <c r="F1920" i="8"/>
  <c r="E1920" i="8"/>
  <c r="G1919" i="8"/>
  <c r="F1919" i="8"/>
  <c r="E1919" i="8"/>
  <c r="G1918" i="8"/>
  <c r="F1918" i="8"/>
  <c r="E1918" i="8"/>
  <c r="G1917" i="8"/>
  <c r="F1917" i="8"/>
  <c r="E1917" i="8"/>
  <c r="G1916" i="8"/>
  <c r="F1916" i="8"/>
  <c r="E1916" i="8"/>
  <c r="G1915" i="8"/>
  <c r="F1915" i="8"/>
  <c r="E1915" i="8"/>
  <c r="G1914" i="8"/>
  <c r="F1914" i="8"/>
  <c r="E1914" i="8"/>
  <c r="G1913" i="8"/>
  <c r="F1913" i="8"/>
  <c r="E1913" i="8"/>
  <c r="G1912" i="8"/>
  <c r="F1912" i="8"/>
  <c r="E1912" i="8"/>
  <c r="G1911" i="8"/>
  <c r="F1911" i="8"/>
  <c r="E1911" i="8"/>
  <c r="G1910" i="8"/>
  <c r="F1910" i="8"/>
  <c r="E1910" i="8"/>
  <c r="G1909" i="8"/>
  <c r="F1909" i="8"/>
  <c r="E1909" i="8"/>
  <c r="G1908" i="8"/>
  <c r="F1908" i="8"/>
  <c r="E1908" i="8"/>
  <c r="G1907" i="8"/>
  <c r="F1907" i="8"/>
  <c r="E1907" i="8"/>
  <c r="G1906" i="8"/>
  <c r="F1906" i="8"/>
  <c r="E1906" i="8"/>
  <c r="G1905" i="8"/>
  <c r="F1905" i="8"/>
  <c r="E1905" i="8"/>
  <c r="G1904" i="8"/>
  <c r="F1904" i="8"/>
  <c r="E1904" i="8"/>
  <c r="G1903" i="8"/>
  <c r="F1903" i="8"/>
  <c r="E1903" i="8"/>
  <c r="G1902" i="8"/>
  <c r="F1902" i="8"/>
  <c r="E1902" i="8"/>
  <c r="G1901" i="8"/>
  <c r="F1901" i="8"/>
  <c r="E1901" i="8"/>
  <c r="G1900" i="8"/>
  <c r="F1900" i="8"/>
  <c r="E1900" i="8"/>
  <c r="G1899" i="8"/>
  <c r="F1899" i="8"/>
  <c r="E1899" i="8"/>
  <c r="G1898" i="8"/>
  <c r="F1898" i="8"/>
  <c r="E1898" i="8"/>
  <c r="G1897" i="8"/>
  <c r="F1897" i="8"/>
  <c r="E1897" i="8"/>
  <c r="G1896" i="8"/>
  <c r="F1896" i="8"/>
  <c r="E1896" i="8"/>
  <c r="G1895" i="8"/>
  <c r="F1895" i="8"/>
  <c r="E1895" i="8"/>
  <c r="G1894" i="8"/>
  <c r="F1894" i="8"/>
  <c r="E1894" i="8"/>
  <c r="G1893" i="8"/>
  <c r="F1893" i="8"/>
  <c r="E1893" i="8"/>
  <c r="G1892" i="8"/>
  <c r="F1892" i="8"/>
  <c r="E1892" i="8"/>
  <c r="G1891" i="8"/>
  <c r="F1891" i="8"/>
  <c r="E1891" i="8"/>
  <c r="G1890" i="8"/>
  <c r="F1890" i="8"/>
  <c r="E1890" i="8"/>
  <c r="G1889" i="8"/>
  <c r="F1889" i="8"/>
  <c r="E1889" i="8"/>
  <c r="G1888" i="8"/>
  <c r="F1888" i="8"/>
  <c r="E1888" i="8"/>
  <c r="G1887" i="8"/>
  <c r="F1887" i="8"/>
  <c r="E1887" i="8"/>
  <c r="G1886" i="8"/>
  <c r="F1886" i="8"/>
  <c r="E1886" i="8"/>
  <c r="G1885" i="8"/>
  <c r="F1885" i="8"/>
  <c r="E1885" i="8"/>
  <c r="G1884" i="8"/>
  <c r="F1884" i="8"/>
  <c r="E1884" i="8"/>
  <c r="G1883" i="8"/>
  <c r="F1883" i="8"/>
  <c r="E1883" i="8"/>
  <c r="G1882" i="8"/>
  <c r="F1882" i="8"/>
  <c r="E1882" i="8"/>
  <c r="G1881" i="8"/>
  <c r="F1881" i="8"/>
  <c r="E1881" i="8"/>
  <c r="G1880" i="8"/>
  <c r="F1880" i="8"/>
  <c r="E1880" i="8"/>
  <c r="G1879" i="8"/>
  <c r="F1879" i="8"/>
  <c r="E1879" i="8"/>
  <c r="G1878" i="8"/>
  <c r="F1878" i="8"/>
  <c r="E1878" i="8"/>
  <c r="G1877" i="8"/>
  <c r="F1877" i="8"/>
  <c r="E1877" i="8"/>
  <c r="G1876" i="8"/>
  <c r="F1876" i="8"/>
  <c r="E1876" i="8"/>
  <c r="G1875" i="8"/>
  <c r="F1875" i="8"/>
  <c r="E1875" i="8"/>
  <c r="G1874" i="8"/>
  <c r="F1874" i="8"/>
  <c r="E1874" i="8"/>
  <c r="G1873" i="8"/>
  <c r="F1873" i="8"/>
  <c r="E1873" i="8"/>
  <c r="G1872" i="8"/>
  <c r="F1872" i="8"/>
  <c r="E1872" i="8"/>
  <c r="G1871" i="8"/>
  <c r="F1871" i="8"/>
  <c r="E1871" i="8"/>
  <c r="G1870" i="8"/>
  <c r="F1870" i="8"/>
  <c r="E1870" i="8"/>
  <c r="G1869" i="8"/>
  <c r="F1869" i="8"/>
  <c r="E1869" i="8"/>
  <c r="G1868" i="8"/>
  <c r="F1868" i="8"/>
  <c r="E1868" i="8"/>
  <c r="G1867" i="8"/>
  <c r="F1867" i="8"/>
  <c r="E1867" i="8"/>
  <c r="G1866" i="8"/>
  <c r="F1866" i="8"/>
  <c r="E1866" i="8"/>
  <c r="G1865" i="8"/>
  <c r="F1865" i="8"/>
  <c r="E1865" i="8"/>
  <c r="G1864" i="8"/>
  <c r="F1864" i="8"/>
  <c r="E1864" i="8"/>
  <c r="G1863" i="8"/>
  <c r="F1863" i="8"/>
  <c r="E1863" i="8"/>
  <c r="G1862" i="8"/>
  <c r="F1862" i="8"/>
  <c r="E1862" i="8"/>
  <c r="G1861" i="8"/>
  <c r="F1861" i="8"/>
  <c r="E1861" i="8"/>
  <c r="G1860" i="8"/>
  <c r="F1860" i="8"/>
  <c r="E1860" i="8"/>
  <c r="G1859" i="8"/>
  <c r="F1859" i="8"/>
  <c r="E1859" i="8"/>
  <c r="G1858" i="8"/>
  <c r="F1858" i="8"/>
  <c r="E1858" i="8"/>
  <c r="G1857" i="8"/>
  <c r="F1857" i="8"/>
  <c r="E1857" i="8"/>
  <c r="G1856" i="8"/>
  <c r="F1856" i="8"/>
  <c r="E1856" i="8"/>
  <c r="G1855" i="8"/>
  <c r="F1855" i="8"/>
  <c r="E1855" i="8"/>
  <c r="G1854" i="8"/>
  <c r="F1854" i="8"/>
  <c r="E1854" i="8"/>
  <c r="G1853" i="8"/>
  <c r="F1853" i="8"/>
  <c r="E1853" i="8"/>
  <c r="G1852" i="8"/>
  <c r="F1852" i="8"/>
  <c r="E1852" i="8"/>
  <c r="G1851" i="8"/>
  <c r="F1851" i="8"/>
  <c r="E1851" i="8"/>
  <c r="G1850" i="8"/>
  <c r="F1850" i="8"/>
  <c r="E1850" i="8"/>
  <c r="G1849" i="8"/>
  <c r="F1849" i="8"/>
  <c r="E1849" i="8"/>
  <c r="G1848" i="8"/>
  <c r="F1848" i="8"/>
  <c r="E1848" i="8"/>
  <c r="G1847" i="8"/>
  <c r="F1847" i="8"/>
  <c r="E1847" i="8"/>
  <c r="G1846" i="8"/>
  <c r="F1846" i="8"/>
  <c r="E1846" i="8"/>
  <c r="G1845" i="8"/>
  <c r="F1845" i="8"/>
  <c r="E1845" i="8"/>
  <c r="G1844" i="8"/>
  <c r="F1844" i="8"/>
  <c r="E1844" i="8"/>
  <c r="G1843" i="8"/>
  <c r="F1843" i="8"/>
  <c r="E1843" i="8"/>
  <c r="G1842" i="8"/>
  <c r="F1842" i="8"/>
  <c r="E1842" i="8"/>
  <c r="G1841" i="8"/>
  <c r="F1841" i="8"/>
  <c r="E1841" i="8"/>
  <c r="G1840" i="8"/>
  <c r="F1840" i="8"/>
  <c r="E1840" i="8"/>
  <c r="G1839" i="8"/>
  <c r="F1839" i="8"/>
  <c r="E1839" i="8"/>
  <c r="G1838" i="8"/>
  <c r="F1838" i="8"/>
  <c r="E1838" i="8"/>
  <c r="G1837" i="8"/>
  <c r="F1837" i="8"/>
  <c r="E1837" i="8"/>
  <c r="G1836" i="8"/>
  <c r="F1836" i="8"/>
  <c r="E1836" i="8"/>
  <c r="G1835" i="8"/>
  <c r="F1835" i="8"/>
  <c r="E1835" i="8"/>
  <c r="G1834" i="8"/>
  <c r="F1834" i="8"/>
  <c r="E1834" i="8"/>
  <c r="G1833" i="8"/>
  <c r="F1833" i="8"/>
  <c r="E1833" i="8"/>
  <c r="G1832" i="8"/>
  <c r="F1832" i="8"/>
  <c r="E1832" i="8"/>
  <c r="G1831" i="8"/>
  <c r="F1831" i="8"/>
  <c r="E1831" i="8"/>
  <c r="G1830" i="8"/>
  <c r="F1830" i="8"/>
  <c r="E1830" i="8"/>
  <c r="G1829" i="8"/>
  <c r="F1829" i="8"/>
  <c r="E1829" i="8"/>
  <c r="G1828" i="8"/>
  <c r="F1828" i="8"/>
  <c r="E1828" i="8"/>
  <c r="G1827" i="8"/>
  <c r="F1827" i="8"/>
  <c r="E1827" i="8"/>
  <c r="G1826" i="8"/>
  <c r="F1826" i="8"/>
  <c r="E1826" i="8"/>
  <c r="G1825" i="8"/>
  <c r="F1825" i="8"/>
  <c r="E1825" i="8"/>
  <c r="G1824" i="8"/>
  <c r="F1824" i="8"/>
  <c r="E1824" i="8"/>
  <c r="G1823" i="8"/>
  <c r="F1823" i="8"/>
  <c r="E1823" i="8"/>
  <c r="G1822" i="8"/>
  <c r="F1822" i="8"/>
  <c r="E1822" i="8"/>
  <c r="G1821" i="8"/>
  <c r="F1821" i="8"/>
  <c r="E1821" i="8"/>
  <c r="G1820" i="8"/>
  <c r="F1820" i="8"/>
  <c r="E1820" i="8"/>
  <c r="G1819" i="8"/>
  <c r="F1819" i="8"/>
  <c r="E1819" i="8"/>
  <c r="G1818" i="8"/>
  <c r="F1818" i="8"/>
  <c r="E1818" i="8"/>
  <c r="G1817" i="8"/>
  <c r="F1817" i="8"/>
  <c r="E1817" i="8"/>
  <c r="G1816" i="8"/>
  <c r="F1816" i="8"/>
  <c r="E1816" i="8"/>
  <c r="G1815" i="8"/>
  <c r="F1815" i="8"/>
  <c r="E1815" i="8"/>
  <c r="G1814" i="8"/>
  <c r="F1814" i="8"/>
  <c r="E1814" i="8"/>
  <c r="G377" i="8"/>
  <c r="F377" i="8"/>
  <c r="E377" i="8"/>
  <c r="G376" i="8"/>
  <c r="F376" i="8"/>
  <c r="E376" i="8"/>
  <c r="G375" i="8"/>
  <c r="F375" i="8"/>
  <c r="E375" i="8"/>
  <c r="G374" i="8"/>
  <c r="F374" i="8"/>
  <c r="E374" i="8"/>
  <c r="G373" i="8"/>
  <c r="F373" i="8"/>
  <c r="E373" i="8"/>
  <c r="G372" i="8"/>
  <c r="F372" i="8"/>
  <c r="E372" i="8"/>
  <c r="G371" i="8"/>
  <c r="F371" i="8"/>
  <c r="E371" i="8"/>
  <c r="G370" i="8"/>
  <c r="F370" i="8"/>
  <c r="E370" i="8"/>
  <c r="G369" i="8"/>
  <c r="F369" i="8"/>
  <c r="E369" i="8"/>
  <c r="G368" i="8"/>
  <c r="F368" i="8"/>
  <c r="E368" i="8"/>
  <c r="G367" i="8"/>
  <c r="F367" i="8"/>
  <c r="E367" i="8"/>
  <c r="G366" i="8"/>
  <c r="F366" i="8"/>
  <c r="E366" i="8"/>
  <c r="G365" i="8"/>
  <c r="F365" i="8"/>
  <c r="E365" i="8"/>
  <c r="G364" i="8"/>
  <c r="F364" i="8"/>
  <c r="E364" i="8"/>
  <c r="G363" i="8"/>
  <c r="F363" i="8"/>
  <c r="E363" i="8"/>
  <c r="G135" i="8"/>
  <c r="F135" i="8"/>
  <c r="E135" i="8"/>
  <c r="G134" i="8"/>
  <c r="F134" i="8"/>
  <c r="E134" i="8"/>
  <c r="G133" i="8"/>
  <c r="F133" i="8"/>
  <c r="E133" i="8"/>
  <c r="G132" i="8"/>
  <c r="F132" i="8"/>
  <c r="E132" i="8"/>
  <c r="G131" i="8"/>
  <c r="F131" i="8"/>
  <c r="E131" i="8"/>
  <c r="G130" i="8"/>
  <c r="F130" i="8"/>
  <c r="E130" i="8"/>
  <c r="G129" i="8"/>
  <c r="F129" i="8"/>
  <c r="E129" i="8"/>
  <c r="G128" i="8"/>
  <c r="F128" i="8"/>
  <c r="E128" i="8"/>
  <c r="G127" i="8"/>
  <c r="F127" i="8"/>
  <c r="E127" i="8"/>
  <c r="G126" i="8"/>
  <c r="F126" i="8"/>
  <c r="E126" i="8"/>
  <c r="G125" i="8"/>
  <c r="F125" i="8"/>
  <c r="E125" i="8"/>
  <c r="G124" i="8"/>
  <c r="F124" i="8"/>
  <c r="E124" i="8"/>
  <c r="G123" i="8"/>
  <c r="F123" i="8"/>
  <c r="E123" i="8"/>
  <c r="G122" i="8"/>
  <c r="F122" i="8"/>
  <c r="E122" i="8"/>
  <c r="G121" i="8"/>
  <c r="F121" i="8"/>
  <c r="E121" i="8"/>
  <c r="G120" i="8"/>
  <c r="F120" i="8"/>
  <c r="E120" i="8"/>
  <c r="G119" i="8"/>
  <c r="F119" i="8"/>
  <c r="E119" i="8"/>
  <c r="G118" i="8"/>
  <c r="F118" i="8"/>
  <c r="E118" i="8"/>
  <c r="G117" i="8"/>
  <c r="F117" i="8"/>
  <c r="E117" i="8"/>
  <c r="G116" i="8"/>
  <c r="F116" i="8"/>
  <c r="E116" i="8"/>
  <c r="G115" i="8"/>
  <c r="F115" i="8"/>
  <c r="E115" i="8"/>
  <c r="G114" i="8"/>
  <c r="F114" i="8"/>
  <c r="E114" i="8"/>
  <c r="G113" i="8"/>
  <c r="F113" i="8"/>
  <c r="E113" i="8"/>
  <c r="G112" i="8"/>
  <c r="F112" i="8"/>
  <c r="E112" i="8"/>
  <c r="G111" i="8"/>
  <c r="F111" i="8"/>
  <c r="E111" i="8"/>
  <c r="G110" i="8"/>
  <c r="F110" i="8"/>
  <c r="E110" i="8"/>
  <c r="G109" i="8"/>
  <c r="F109" i="8"/>
  <c r="E109" i="8"/>
  <c r="G108" i="8"/>
  <c r="F108" i="8"/>
  <c r="E108" i="8"/>
  <c r="G107" i="8"/>
  <c r="F107" i="8"/>
  <c r="E107" i="8"/>
  <c r="G106" i="8"/>
  <c r="F106" i="8"/>
  <c r="E106" i="8"/>
  <c r="G105" i="8"/>
  <c r="F105" i="8"/>
  <c r="E105" i="8"/>
  <c r="G104" i="8"/>
  <c r="F104" i="8"/>
  <c r="E104" i="8"/>
  <c r="G103" i="8"/>
  <c r="F103" i="8"/>
  <c r="E103" i="8"/>
  <c r="G102" i="8"/>
  <c r="F102" i="8"/>
  <c r="E102" i="8"/>
  <c r="G101" i="8"/>
  <c r="F101" i="8"/>
  <c r="E101" i="8"/>
  <c r="G100" i="8"/>
  <c r="F100" i="8"/>
  <c r="E100" i="8"/>
  <c r="G99" i="8"/>
  <c r="F99" i="8"/>
  <c r="E99" i="8"/>
  <c r="G98" i="8"/>
  <c r="F98" i="8"/>
  <c r="E98" i="8"/>
  <c r="G97" i="8"/>
  <c r="F97" i="8"/>
  <c r="E97" i="8"/>
  <c r="G96" i="8"/>
  <c r="F96" i="8"/>
  <c r="E96" i="8"/>
  <c r="G95" i="8"/>
  <c r="F95" i="8"/>
  <c r="E95" i="8"/>
  <c r="G94" i="8"/>
  <c r="F94" i="8"/>
  <c r="E94" i="8"/>
  <c r="G93" i="8"/>
  <c r="F93" i="8"/>
  <c r="E93" i="8"/>
  <c r="G92" i="8"/>
  <c r="F92" i="8"/>
  <c r="E92" i="8"/>
  <c r="G91" i="8"/>
  <c r="F91" i="8"/>
  <c r="E91" i="8"/>
  <c r="G90" i="8"/>
  <c r="F90" i="8"/>
  <c r="E90" i="8"/>
  <c r="G1452" i="8"/>
  <c r="F1452" i="8"/>
  <c r="E1452" i="8"/>
  <c r="G1451" i="8"/>
  <c r="F1451" i="8"/>
  <c r="E1451" i="8"/>
  <c r="G1450" i="8"/>
  <c r="F1450" i="8"/>
  <c r="E1450" i="8"/>
  <c r="G1449" i="8"/>
  <c r="F1449" i="8"/>
  <c r="E1449" i="8"/>
  <c r="G1448" i="8"/>
  <c r="F1448" i="8"/>
  <c r="E1448" i="8"/>
  <c r="G1447" i="8"/>
  <c r="F1447" i="8"/>
  <c r="E1447" i="8"/>
  <c r="G1446" i="8"/>
  <c r="F1446" i="8"/>
  <c r="E1446" i="8"/>
  <c r="G1445" i="8"/>
  <c r="F1445" i="8"/>
  <c r="E1445" i="8"/>
  <c r="G1444" i="8"/>
  <c r="F1444" i="8"/>
  <c r="E1444" i="8"/>
  <c r="G1443" i="8"/>
  <c r="F1443" i="8"/>
  <c r="E1443" i="8"/>
  <c r="G1442" i="8"/>
  <c r="F1442" i="8"/>
  <c r="E1442" i="8"/>
  <c r="G1441" i="8"/>
  <c r="F1441" i="8"/>
  <c r="E1441" i="8"/>
  <c r="G1440" i="8"/>
  <c r="F1440" i="8"/>
  <c r="E1440" i="8"/>
  <c r="G1439" i="8"/>
  <c r="F1439" i="8"/>
  <c r="E1439" i="8"/>
  <c r="G1438" i="8"/>
  <c r="F1438" i="8"/>
  <c r="E1438" i="8"/>
  <c r="G1437" i="8"/>
  <c r="F1437" i="8"/>
  <c r="E1437" i="8"/>
  <c r="G1436" i="8"/>
  <c r="F1436" i="8"/>
  <c r="E1436" i="8"/>
  <c r="G1435" i="8"/>
  <c r="F1435" i="8"/>
  <c r="E1435" i="8"/>
  <c r="G1434" i="8"/>
  <c r="F1434" i="8"/>
  <c r="E1434" i="8"/>
  <c r="G1433" i="8"/>
  <c r="F1433" i="8"/>
  <c r="E1433" i="8"/>
  <c r="G1432" i="8"/>
  <c r="F1432" i="8"/>
  <c r="E1432" i="8"/>
  <c r="G1431" i="8"/>
  <c r="F1431" i="8"/>
  <c r="E1431" i="8"/>
  <c r="G1430" i="8"/>
  <c r="F1430" i="8"/>
  <c r="E1430" i="8"/>
  <c r="G1429" i="8"/>
  <c r="F1429" i="8"/>
  <c r="E1429" i="8"/>
  <c r="G1428" i="8"/>
  <c r="F1428" i="8"/>
  <c r="E1428" i="8"/>
  <c r="G1427" i="8"/>
  <c r="F1427" i="8"/>
  <c r="E1427" i="8"/>
  <c r="G1426" i="8"/>
  <c r="F1426" i="8"/>
  <c r="E1426" i="8"/>
  <c r="G1425" i="8"/>
  <c r="F1425" i="8"/>
  <c r="E1425" i="8"/>
  <c r="G1424" i="8"/>
  <c r="F1424" i="8"/>
  <c r="E1424" i="8"/>
  <c r="G1423" i="8"/>
  <c r="F1423" i="8"/>
  <c r="E1423" i="8"/>
  <c r="G1422" i="8"/>
  <c r="F1422" i="8"/>
  <c r="E1422" i="8"/>
  <c r="G1421" i="8"/>
  <c r="F1421" i="8"/>
  <c r="E1421" i="8"/>
  <c r="G1420" i="8"/>
  <c r="F1420" i="8"/>
  <c r="E1420" i="8"/>
  <c r="G89" i="8"/>
  <c r="F89" i="8"/>
  <c r="E89" i="8"/>
  <c r="G88" i="8"/>
  <c r="F88" i="8"/>
  <c r="E88" i="8"/>
  <c r="G87" i="8"/>
  <c r="F87" i="8"/>
  <c r="E87" i="8"/>
  <c r="G86" i="8"/>
  <c r="F86" i="8"/>
  <c r="E86" i="8"/>
  <c r="G85" i="8"/>
  <c r="F85" i="8"/>
  <c r="E85" i="8"/>
  <c r="G84" i="8"/>
  <c r="F84" i="8"/>
  <c r="E84" i="8"/>
  <c r="G83" i="8"/>
  <c r="F83" i="8"/>
  <c r="E83" i="8"/>
  <c r="G82" i="8"/>
  <c r="F82" i="8"/>
  <c r="E82" i="8"/>
  <c r="G81" i="8"/>
  <c r="F81" i="8"/>
  <c r="E81" i="8"/>
  <c r="G80" i="8"/>
  <c r="F80" i="8"/>
  <c r="E80" i="8"/>
  <c r="G79" i="8"/>
  <c r="F79" i="8"/>
  <c r="E79" i="8"/>
  <c r="G78" i="8"/>
  <c r="F78" i="8"/>
  <c r="E78" i="8"/>
  <c r="G77" i="8"/>
  <c r="F77" i="8"/>
  <c r="E77" i="8"/>
  <c r="G76" i="8"/>
  <c r="F76" i="8"/>
  <c r="E76" i="8"/>
  <c r="G75" i="8"/>
  <c r="F75" i="8"/>
  <c r="E75" i="8"/>
  <c r="G74" i="8"/>
  <c r="F74" i="8"/>
  <c r="E74" i="8"/>
  <c r="G73" i="8"/>
  <c r="F73" i="8"/>
  <c r="E73" i="8"/>
  <c r="G72" i="8"/>
  <c r="F72" i="8"/>
  <c r="E72" i="8"/>
  <c r="G71" i="8"/>
  <c r="F71" i="8"/>
  <c r="E71" i="8"/>
  <c r="G70" i="8"/>
  <c r="F70" i="8"/>
  <c r="E70" i="8"/>
  <c r="G69" i="8"/>
  <c r="F69" i="8"/>
  <c r="E69" i="8"/>
  <c r="G68" i="8"/>
  <c r="F68" i="8"/>
  <c r="E68" i="8"/>
  <c r="G67" i="8"/>
  <c r="F67" i="8"/>
  <c r="E67" i="8"/>
  <c r="G66" i="8"/>
  <c r="F66" i="8"/>
  <c r="E66" i="8"/>
  <c r="G65" i="8"/>
  <c r="F65" i="8"/>
  <c r="E65" i="8"/>
  <c r="G64" i="8"/>
  <c r="F64" i="8"/>
  <c r="E64" i="8"/>
  <c r="G63" i="8"/>
  <c r="F63" i="8"/>
  <c r="E63" i="8"/>
  <c r="G62" i="8"/>
  <c r="F62" i="8"/>
  <c r="E62" i="8"/>
  <c r="G61" i="8"/>
  <c r="F61" i="8"/>
  <c r="E61" i="8"/>
  <c r="G60" i="8"/>
  <c r="F60" i="8"/>
  <c r="E60" i="8"/>
  <c r="G59" i="8"/>
  <c r="F59" i="8"/>
  <c r="E59" i="8"/>
  <c r="G58" i="8"/>
  <c r="F58" i="8"/>
  <c r="E58" i="8"/>
  <c r="G57" i="8"/>
  <c r="F57" i="8"/>
  <c r="E57" i="8"/>
  <c r="G56" i="8"/>
  <c r="F56" i="8"/>
  <c r="E56" i="8"/>
  <c r="G55" i="8"/>
  <c r="F55" i="8"/>
  <c r="E55" i="8"/>
  <c r="G54" i="8"/>
  <c r="F54" i="8"/>
  <c r="E54" i="8"/>
  <c r="G53" i="8"/>
  <c r="F53" i="8"/>
  <c r="E53" i="8"/>
  <c r="G52" i="8"/>
  <c r="F52" i="8"/>
  <c r="E52" i="8"/>
  <c r="G51" i="8"/>
  <c r="F51" i="8"/>
  <c r="E51" i="8"/>
  <c r="G50" i="8"/>
  <c r="F50" i="8"/>
  <c r="E50" i="8"/>
  <c r="G49" i="8"/>
  <c r="F49" i="8"/>
  <c r="E49" i="8"/>
  <c r="G48" i="8"/>
  <c r="F48" i="8"/>
  <c r="E48" i="8"/>
  <c r="G47" i="8"/>
  <c r="F47" i="8"/>
  <c r="E47" i="8"/>
  <c r="G46" i="8"/>
  <c r="F46" i="8"/>
  <c r="E46" i="8"/>
  <c r="G45" i="8"/>
  <c r="F45" i="8"/>
  <c r="E45" i="8"/>
  <c r="G44" i="8"/>
  <c r="F44" i="8"/>
  <c r="E44" i="8"/>
  <c r="G43" i="8"/>
  <c r="F43" i="8"/>
  <c r="E43" i="8"/>
  <c r="G42" i="8"/>
  <c r="F42" i="8"/>
  <c r="E42" i="8"/>
  <c r="G41" i="8"/>
  <c r="F41" i="8"/>
  <c r="E41" i="8"/>
  <c r="G40" i="8"/>
  <c r="F40" i="8"/>
  <c r="E40" i="8"/>
  <c r="G39" i="8"/>
  <c r="F39" i="8"/>
  <c r="E39" i="8"/>
  <c r="G38" i="8"/>
  <c r="F38" i="8"/>
  <c r="E38" i="8"/>
  <c r="G37" i="8"/>
  <c r="F37" i="8"/>
  <c r="E37" i="8"/>
  <c r="G36" i="8"/>
  <c r="F36" i="8"/>
  <c r="E36" i="8"/>
  <c r="G35" i="8"/>
  <c r="F35" i="8"/>
  <c r="E35" i="8"/>
  <c r="G34" i="8"/>
  <c r="F34" i="8"/>
  <c r="E34" i="8"/>
  <c r="G33" i="8"/>
  <c r="F33" i="8"/>
  <c r="E33" i="8"/>
  <c r="G32" i="8"/>
  <c r="F32" i="8"/>
  <c r="E32" i="8"/>
  <c r="G31" i="8"/>
  <c r="F31" i="8"/>
  <c r="E31" i="8"/>
  <c r="G30" i="8"/>
  <c r="F30" i="8"/>
  <c r="E30" i="8"/>
  <c r="G29" i="8"/>
  <c r="F29" i="8"/>
  <c r="E29" i="8"/>
  <c r="G28" i="8"/>
  <c r="F28" i="8"/>
  <c r="E28" i="8"/>
  <c r="G27" i="8"/>
  <c r="F27" i="8"/>
  <c r="E27" i="8"/>
  <c r="G26" i="8"/>
  <c r="F26" i="8"/>
  <c r="E26" i="8"/>
  <c r="G25" i="8"/>
  <c r="F25" i="8"/>
  <c r="E25" i="8"/>
  <c r="G24" i="8"/>
  <c r="F24" i="8"/>
  <c r="E24" i="8"/>
  <c r="G23" i="8"/>
  <c r="F23" i="8"/>
  <c r="E23" i="8"/>
  <c r="G22" i="8"/>
  <c r="F22" i="8"/>
  <c r="E22" i="8"/>
  <c r="G21" i="8"/>
  <c r="F21" i="8"/>
  <c r="E21" i="8"/>
  <c r="G20" i="8"/>
  <c r="F20" i="8"/>
  <c r="E20" i="8"/>
  <c r="G19" i="8"/>
  <c r="F19" i="8"/>
  <c r="E19" i="8"/>
  <c r="G18" i="8"/>
  <c r="F18" i="8"/>
  <c r="E18" i="8"/>
  <c r="G17" i="8"/>
  <c r="F17" i="8"/>
  <c r="E17" i="8"/>
  <c r="G16" i="8"/>
  <c r="F16" i="8"/>
  <c r="E16" i="8"/>
  <c r="G15" i="8"/>
  <c r="F15" i="8"/>
  <c r="E15" i="8"/>
  <c r="G14" i="8"/>
  <c r="F14" i="8"/>
  <c r="E14" i="8"/>
  <c r="G13" i="8"/>
  <c r="F13" i="8"/>
  <c r="E13" i="8"/>
  <c r="G12" i="8"/>
  <c r="F12" i="8"/>
  <c r="E12" i="8"/>
  <c r="G11" i="8"/>
  <c r="F11" i="8"/>
  <c r="E11" i="8"/>
  <c r="G10" i="8"/>
  <c r="F10" i="8"/>
  <c r="E10" i="8"/>
  <c r="G9" i="8"/>
  <c r="F9" i="8"/>
  <c r="E9" i="8"/>
  <c r="G8" i="8"/>
  <c r="F8" i="8"/>
  <c r="E8" i="8"/>
  <c r="G7" i="8"/>
  <c r="F7" i="8"/>
  <c r="E7" i="8"/>
  <c r="G6" i="8"/>
  <c r="F6" i="8"/>
  <c r="E6" i="8"/>
  <c r="G5" i="8"/>
  <c r="F5" i="8"/>
  <c r="E5" i="8"/>
  <c r="G4" i="8"/>
  <c r="F4" i="8"/>
  <c r="E4" i="8"/>
  <c r="G3" i="8"/>
  <c r="F3" i="8"/>
  <c r="E3" i="8"/>
  <c r="G2" i="8"/>
  <c r="F2" i="8"/>
  <c r="E2" i="8"/>
  <c r="G1419" i="8"/>
  <c r="F1419" i="8"/>
  <c r="E1419" i="8"/>
  <c r="G1418" i="8"/>
  <c r="F1418" i="8"/>
  <c r="E1418" i="8"/>
  <c r="G1417" i="8"/>
  <c r="F1417" i="8"/>
  <c r="E1417" i="8"/>
  <c r="G1416" i="8"/>
  <c r="F1416" i="8"/>
  <c r="E1416" i="8"/>
  <c r="G1415" i="8"/>
  <c r="F1415" i="8"/>
  <c r="E1415" i="8"/>
  <c r="G1414" i="8"/>
  <c r="F1414" i="8"/>
  <c r="E1414" i="8"/>
  <c r="G1413" i="8"/>
  <c r="F1413" i="8"/>
  <c r="E1413" i="8"/>
  <c r="G1412" i="8"/>
  <c r="F1412" i="8"/>
  <c r="E1412" i="8"/>
  <c r="G1411" i="8"/>
  <c r="F1411" i="8"/>
  <c r="E1411" i="8"/>
  <c r="G1410" i="8"/>
  <c r="F1410" i="8"/>
  <c r="E1410" i="8"/>
  <c r="G1409" i="8"/>
  <c r="F1409" i="8"/>
  <c r="E1409" i="8"/>
  <c r="G1408" i="8"/>
  <c r="F1408" i="8"/>
  <c r="E1408" i="8"/>
  <c r="G1407" i="8"/>
  <c r="F1407" i="8"/>
  <c r="E1407" i="8"/>
  <c r="G1406" i="8"/>
  <c r="F1406" i="8"/>
  <c r="E1406" i="8"/>
  <c r="G1405" i="8"/>
  <c r="F1405" i="8"/>
  <c r="E1405" i="8"/>
  <c r="G1404" i="8"/>
  <c r="F1404" i="8"/>
  <c r="E1404" i="8"/>
  <c r="G1403" i="8"/>
  <c r="F1403" i="8"/>
  <c r="E1403" i="8"/>
  <c r="G1402" i="8"/>
  <c r="F1402" i="8"/>
  <c r="E1402" i="8"/>
  <c r="G1401" i="8"/>
  <c r="F1401" i="8"/>
  <c r="E1401" i="8"/>
  <c r="G1400" i="8"/>
  <c r="F1400" i="8"/>
  <c r="E1400" i="8"/>
  <c r="G1399" i="8"/>
  <c r="F1399" i="8"/>
  <c r="E1399" i="8"/>
  <c r="G1398" i="8"/>
  <c r="F1398" i="8"/>
  <c r="E1398" i="8"/>
  <c r="G1397" i="8"/>
  <c r="F1397" i="8"/>
  <c r="E1397" i="8"/>
  <c r="G1396" i="8"/>
  <c r="F1396" i="8"/>
  <c r="E1396" i="8"/>
  <c r="G1395" i="8"/>
  <c r="F1395" i="8"/>
  <c r="E1395" i="8"/>
  <c r="G1394" i="8"/>
  <c r="F1394" i="8"/>
  <c r="E1394" i="8"/>
  <c r="G1393" i="8"/>
  <c r="F1393" i="8"/>
  <c r="E1393" i="8"/>
  <c r="G1392" i="8"/>
  <c r="F1392" i="8"/>
  <c r="E1392" i="8"/>
  <c r="G1391" i="8"/>
  <c r="F1391" i="8"/>
  <c r="E1391" i="8"/>
  <c r="G1390" i="8"/>
  <c r="F1390" i="8"/>
  <c r="E1390" i="8"/>
  <c r="G1389" i="8"/>
  <c r="F1389" i="8"/>
  <c r="E1389" i="8"/>
  <c r="G1388" i="8"/>
  <c r="F1388" i="8"/>
  <c r="E1388" i="8"/>
  <c r="G1387" i="8"/>
  <c r="F1387" i="8"/>
  <c r="E1387" i="8"/>
  <c r="G1386" i="8"/>
  <c r="F1386" i="8"/>
  <c r="E1386" i="8"/>
  <c r="G1385" i="8"/>
  <c r="F1385" i="8"/>
  <c r="E1385" i="8"/>
  <c r="G1384" i="8"/>
  <c r="F1384" i="8"/>
  <c r="E1384" i="8"/>
  <c r="G1383" i="8"/>
  <c r="F1383" i="8"/>
  <c r="E1383" i="8"/>
  <c r="G1382" i="8"/>
  <c r="F1382" i="8"/>
  <c r="E1382" i="8"/>
  <c r="G1381" i="8"/>
  <c r="F1381" i="8"/>
  <c r="E1381" i="8"/>
  <c r="G362" i="8"/>
  <c r="F362" i="8"/>
  <c r="E362" i="8"/>
  <c r="G361" i="8"/>
  <c r="F361" i="8"/>
  <c r="E361" i="8"/>
  <c r="G1813" i="8"/>
  <c r="F1813" i="8"/>
  <c r="E1813" i="8"/>
  <c r="G1812" i="8"/>
  <c r="F1812" i="8"/>
  <c r="E1812" i="8"/>
  <c r="G1811" i="8"/>
  <c r="F1811" i="8"/>
  <c r="E1811" i="8"/>
  <c r="G1810" i="8"/>
  <c r="F1810" i="8"/>
  <c r="E1810" i="8"/>
  <c r="G1809" i="8"/>
  <c r="F1809" i="8"/>
  <c r="E1809" i="8"/>
  <c r="G1808" i="8"/>
  <c r="F1808" i="8"/>
  <c r="E1808" i="8"/>
  <c r="G1807" i="8"/>
  <c r="F1807" i="8"/>
  <c r="E1807" i="8"/>
  <c r="G1806" i="8"/>
  <c r="F1806" i="8"/>
  <c r="E1806" i="8"/>
  <c r="G360" i="8"/>
  <c r="F360" i="8"/>
  <c r="E360" i="8"/>
  <c r="G359" i="8"/>
  <c r="F359" i="8"/>
  <c r="E359" i="8"/>
  <c r="G358" i="8"/>
  <c r="F358" i="8"/>
  <c r="E358" i="8"/>
  <c r="G1380" i="8"/>
  <c r="F1380" i="8"/>
  <c r="E1380" i="8"/>
  <c r="G1805" i="8"/>
  <c r="F1805" i="8"/>
  <c r="E1805" i="8"/>
  <c r="G1804" i="8"/>
  <c r="F1804" i="8"/>
  <c r="E1804" i="8"/>
  <c r="G1803" i="8"/>
  <c r="F1803" i="8"/>
  <c r="E1803" i="8"/>
  <c r="G1802" i="8"/>
  <c r="F1802" i="8"/>
  <c r="E1802" i="8"/>
  <c r="G1801" i="8"/>
  <c r="F1801" i="8"/>
  <c r="E1801" i="8"/>
  <c r="G1800" i="8"/>
  <c r="F1800" i="8"/>
  <c r="E1800" i="8"/>
  <c r="G1799" i="8"/>
  <c r="F1799" i="8"/>
  <c r="E1799" i="8"/>
  <c r="G1798" i="8"/>
  <c r="F1798" i="8"/>
  <c r="E1798" i="8"/>
  <c r="G993" i="8"/>
  <c r="F993" i="8"/>
  <c r="E993" i="8"/>
  <c r="G992" i="8"/>
  <c r="F992" i="8"/>
  <c r="E992" i="8"/>
  <c r="G991" i="8"/>
  <c r="F991" i="8"/>
  <c r="E991" i="8"/>
  <c r="G990" i="8"/>
  <c r="F990" i="8"/>
  <c r="E990" i="8"/>
  <c r="G989" i="8"/>
  <c r="F989" i="8"/>
  <c r="E989" i="8"/>
  <c r="G657" i="8"/>
  <c r="F657" i="8"/>
  <c r="E657" i="8"/>
  <c r="G656" i="8"/>
  <c r="F656" i="8"/>
  <c r="E656" i="8"/>
  <c r="G655" i="8"/>
  <c r="F655" i="8"/>
  <c r="E655" i="8"/>
  <c r="G654" i="8"/>
  <c r="F654" i="8"/>
  <c r="E654" i="8"/>
  <c r="G653" i="8"/>
  <c r="F653" i="8"/>
  <c r="E653" i="8"/>
  <c r="G652" i="8"/>
  <c r="F652" i="8"/>
  <c r="E652" i="8"/>
  <c r="G651" i="8"/>
  <c r="F651" i="8"/>
  <c r="E651" i="8"/>
  <c r="G650" i="8"/>
  <c r="F650" i="8"/>
  <c r="E650" i="8"/>
  <c r="G649" i="8"/>
  <c r="F649" i="8"/>
  <c r="E649" i="8"/>
  <c r="G648" i="8"/>
  <c r="F648" i="8"/>
  <c r="E648" i="8"/>
  <c r="G647" i="8"/>
  <c r="F647" i="8"/>
  <c r="E647" i="8"/>
  <c r="G646" i="8"/>
  <c r="F646" i="8"/>
  <c r="E646" i="8"/>
  <c r="G645" i="8"/>
  <c r="F645" i="8"/>
  <c r="E645" i="8"/>
  <c r="G644" i="8"/>
  <c r="F644" i="8"/>
  <c r="E644" i="8"/>
  <c r="G643" i="8"/>
  <c r="F643" i="8"/>
  <c r="E643" i="8"/>
  <c r="G420" i="8"/>
  <c r="F420" i="8"/>
  <c r="E420" i="8"/>
  <c r="G419" i="8"/>
  <c r="F419" i="8"/>
  <c r="E419" i="8"/>
  <c r="G418" i="8"/>
  <c r="F418" i="8"/>
  <c r="E418" i="8"/>
  <c r="G417" i="8"/>
  <c r="F417" i="8"/>
  <c r="E417" i="8"/>
  <c r="G416" i="8"/>
  <c r="F416" i="8"/>
  <c r="E416" i="8"/>
  <c r="G415" i="8"/>
  <c r="F415" i="8"/>
  <c r="E415" i="8"/>
  <c r="G414" i="8"/>
  <c r="F414" i="8"/>
  <c r="E414" i="8"/>
  <c r="G413" i="8"/>
  <c r="F413" i="8"/>
  <c r="E413" i="8"/>
  <c r="G412" i="8"/>
  <c r="F412" i="8"/>
  <c r="E412" i="8"/>
  <c r="G411" i="8"/>
  <c r="F411" i="8"/>
  <c r="E411" i="8"/>
  <c r="G410" i="8"/>
  <c r="F410" i="8"/>
  <c r="E410" i="8"/>
  <c r="G409" i="8"/>
  <c r="F409" i="8"/>
  <c r="E409" i="8"/>
  <c r="G408" i="8"/>
  <c r="F408" i="8"/>
  <c r="E408" i="8"/>
  <c r="G407" i="8"/>
  <c r="F407" i="8"/>
  <c r="E407" i="8"/>
  <c r="G406" i="8"/>
  <c r="F406" i="8"/>
  <c r="E406" i="8"/>
  <c r="G405" i="8"/>
  <c r="F405" i="8"/>
  <c r="E405" i="8"/>
  <c r="F1379" i="8"/>
  <c r="F1378" i="8"/>
  <c r="F1377" i="8"/>
  <c r="F1376" i="8"/>
  <c r="G1375" i="8"/>
  <c r="F1375" i="8"/>
  <c r="E1375" i="8"/>
  <c r="G1374" i="8"/>
  <c r="F1374" i="8"/>
  <c r="E1374" i="8"/>
  <c r="G1373" i="8"/>
  <c r="F1373" i="8"/>
  <c r="E1373" i="8"/>
  <c r="G1372" i="8"/>
  <c r="F1372" i="8"/>
  <c r="E1372" i="8"/>
  <c r="G1371" i="8"/>
  <c r="F1371" i="8"/>
  <c r="E1371" i="8"/>
  <c r="G1370" i="8"/>
  <c r="F1370" i="8"/>
  <c r="E1370" i="8"/>
  <c r="G1369" i="8"/>
  <c r="F1369" i="8"/>
  <c r="E1369" i="8"/>
  <c r="G1368" i="8"/>
  <c r="F1368" i="8"/>
  <c r="E1368" i="8"/>
  <c r="G1367" i="8"/>
  <c r="F1367" i="8"/>
  <c r="E1367" i="8"/>
  <c r="G1366" i="8"/>
  <c r="F1366" i="8"/>
  <c r="E1366" i="8"/>
  <c r="G1365" i="8"/>
  <c r="F1365" i="8"/>
  <c r="E1365" i="8"/>
  <c r="G1364" i="8"/>
  <c r="F1364" i="8"/>
  <c r="E1364" i="8"/>
  <c r="G1363" i="8"/>
  <c r="F1363" i="8"/>
  <c r="E1363" i="8"/>
  <c r="G1362" i="8"/>
  <c r="F1362" i="8"/>
  <c r="E1362" i="8"/>
  <c r="G1361" i="8"/>
  <c r="F1361" i="8"/>
  <c r="E1361" i="8"/>
  <c r="G1360" i="8"/>
  <c r="F1360" i="8"/>
  <c r="E1360" i="8"/>
  <c r="G1359" i="8"/>
  <c r="F1359" i="8"/>
  <c r="E1359" i="8"/>
  <c r="G1358" i="8"/>
  <c r="F1358" i="8"/>
  <c r="E1358" i="8"/>
  <c r="G1357" i="8"/>
  <c r="F1357" i="8"/>
  <c r="E1357" i="8"/>
  <c r="G1356" i="8"/>
  <c r="F1356" i="8"/>
  <c r="E1356" i="8"/>
  <c r="G1355" i="8"/>
  <c r="F1355" i="8"/>
  <c r="E1355" i="8"/>
  <c r="G1354" i="8"/>
  <c r="F1354" i="8"/>
  <c r="E1354" i="8"/>
  <c r="G1353" i="8"/>
  <c r="F1353" i="8"/>
  <c r="E1353" i="8"/>
  <c r="G1352" i="8"/>
  <c r="F1352" i="8"/>
  <c r="E1352" i="8"/>
  <c r="G1351" i="8"/>
  <c r="F1351" i="8"/>
  <c r="E1351" i="8"/>
  <c r="G1350" i="8"/>
  <c r="F1350" i="8"/>
  <c r="E1350" i="8"/>
  <c r="G1349" i="8"/>
  <c r="F1349" i="8"/>
  <c r="E1349" i="8"/>
  <c r="G1348" i="8"/>
  <c r="F1348" i="8"/>
  <c r="E1348" i="8"/>
  <c r="G1347" i="8"/>
  <c r="F1347" i="8"/>
  <c r="E1347" i="8"/>
  <c r="G1346" i="8"/>
  <c r="F1346" i="8"/>
  <c r="E1346" i="8"/>
  <c r="G1345" i="8"/>
  <c r="F1345" i="8"/>
  <c r="E1345" i="8"/>
  <c r="G1344" i="8"/>
  <c r="F1344" i="8"/>
  <c r="E1344" i="8"/>
  <c r="G1343" i="8"/>
  <c r="F1343" i="8"/>
  <c r="E1343" i="8"/>
  <c r="G1342" i="8"/>
  <c r="F1342" i="8"/>
  <c r="E1342" i="8"/>
  <c r="E988" i="8"/>
  <c r="E987" i="8"/>
  <c r="E986" i="8"/>
  <c r="E985" i="8"/>
  <c r="E984" i="8"/>
  <c r="E983" i="8"/>
  <c r="G982" i="8"/>
  <c r="F982" i="8"/>
  <c r="E982" i="8"/>
  <c r="G981" i="8"/>
  <c r="F981" i="8"/>
  <c r="E981" i="8"/>
  <c r="G980" i="8"/>
  <c r="F980" i="8"/>
  <c r="E980" i="8"/>
  <c r="G979" i="8"/>
  <c r="F979" i="8"/>
  <c r="E979" i="8"/>
  <c r="G978" i="8"/>
  <c r="F978" i="8"/>
  <c r="E978" i="8"/>
  <c r="G977" i="8"/>
  <c r="F977" i="8"/>
  <c r="E977" i="8"/>
  <c r="G976" i="8"/>
  <c r="F976" i="8"/>
  <c r="E976" i="8"/>
  <c r="G975" i="8"/>
  <c r="F975" i="8"/>
  <c r="E975" i="8"/>
  <c r="G974" i="8"/>
  <c r="F974" i="8"/>
  <c r="E974" i="8"/>
  <c r="G973" i="8"/>
  <c r="F973" i="8"/>
  <c r="E973" i="8"/>
  <c r="G972" i="8"/>
  <c r="F972" i="8"/>
  <c r="E972" i="8"/>
  <c r="G971" i="8"/>
  <c r="F971" i="8"/>
  <c r="E971" i="8"/>
  <c r="G970" i="8"/>
  <c r="F970" i="8"/>
  <c r="E970" i="8"/>
  <c r="G969" i="8"/>
  <c r="F969" i="8"/>
  <c r="E969" i="8"/>
  <c r="G968" i="8"/>
  <c r="F968" i="8"/>
  <c r="E968" i="8"/>
  <c r="G967" i="8"/>
  <c r="F967" i="8"/>
  <c r="E967" i="8"/>
  <c r="G966" i="8"/>
  <c r="F966" i="8"/>
  <c r="E966" i="8"/>
  <c r="G965" i="8"/>
  <c r="F965" i="8"/>
  <c r="E965" i="8"/>
  <c r="G964" i="8"/>
  <c r="F964" i="8"/>
  <c r="E964" i="8"/>
  <c r="G963" i="8"/>
  <c r="F963" i="8"/>
  <c r="E963" i="8"/>
  <c r="G962" i="8"/>
  <c r="F962" i="8"/>
  <c r="E962" i="8"/>
  <c r="G961" i="8"/>
  <c r="F961" i="8"/>
  <c r="E961" i="8"/>
  <c r="G960" i="8"/>
  <c r="F960" i="8"/>
  <c r="E960" i="8"/>
  <c r="G959" i="8"/>
  <c r="F959" i="8"/>
  <c r="E959" i="8"/>
  <c r="G958" i="8"/>
  <c r="F958" i="8"/>
  <c r="E958" i="8"/>
  <c r="G957" i="8"/>
  <c r="F957" i="8"/>
  <c r="E957" i="8"/>
  <c r="G956" i="8"/>
  <c r="F956" i="8"/>
  <c r="E956" i="8"/>
  <c r="G955" i="8"/>
  <c r="F955" i="8"/>
  <c r="E955" i="8"/>
  <c r="G954" i="8"/>
  <c r="F954" i="8"/>
  <c r="E954" i="8"/>
  <c r="G953" i="8"/>
  <c r="F953" i="8"/>
  <c r="E953" i="8"/>
  <c r="G952" i="8"/>
  <c r="F952" i="8"/>
  <c r="E952" i="8"/>
  <c r="G951" i="8"/>
  <c r="F951" i="8"/>
  <c r="E951" i="8"/>
  <c r="G950" i="8"/>
  <c r="F950" i="8"/>
  <c r="E950" i="8"/>
  <c r="G949" i="8"/>
  <c r="F949" i="8"/>
  <c r="E949" i="8"/>
  <c r="G948" i="8"/>
  <c r="F948" i="8"/>
  <c r="E948" i="8"/>
  <c r="E947" i="8"/>
  <c r="F946" i="8"/>
  <c r="E946" i="8"/>
  <c r="F945" i="8"/>
  <c r="E945" i="8"/>
  <c r="F944" i="8"/>
  <c r="E944" i="8"/>
  <c r="F943" i="8"/>
  <c r="E943" i="8"/>
  <c r="F942" i="8"/>
  <c r="E942" i="8"/>
  <c r="F941" i="8"/>
  <c r="E941" i="8"/>
  <c r="E940" i="8"/>
  <c r="E939" i="8"/>
  <c r="E938" i="8"/>
  <c r="F937" i="8"/>
  <c r="E937" i="8"/>
  <c r="E936" i="8"/>
  <c r="E935" i="8"/>
  <c r="E934" i="8"/>
  <c r="G933" i="8"/>
  <c r="F933" i="8"/>
  <c r="E933" i="8"/>
  <c r="G932" i="8"/>
  <c r="F932" i="8"/>
  <c r="E932" i="8"/>
  <c r="G931" i="8"/>
  <c r="F931" i="8"/>
  <c r="E931" i="8"/>
  <c r="G930" i="8"/>
  <c r="F930" i="8"/>
  <c r="E930" i="8"/>
  <c r="G929" i="8"/>
  <c r="F929" i="8"/>
  <c r="E929" i="8"/>
  <c r="G928" i="8"/>
  <c r="F928" i="8"/>
  <c r="E928" i="8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Satoshi Kitajima</author>
    <author>T.Ishimura</author>
  </authors>
  <commentList>
    <comment ref="A967" authorId="0" shapeId="0" xr:uid="{B693C8CD-462F-AE43-9922-2EB07E8FEFF0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航海名変更(20201125)</t>
        </r>
      </text>
    </comment>
    <comment ref="I967" authorId="1" shapeId="0" xr:uid="{6D73E00B-55D2-8F46-B5C7-42716F4628CA}">
      <text>
        <r>
          <rPr>
            <b/>
            <sz val="10"/>
            <color rgb="FF000000"/>
            <rFont val="Yu Gothic UI"/>
            <family val="3"/>
            <charset val="128"/>
          </rPr>
          <t>T.Ishimur</t>
        </r>
        <r>
          <rPr>
            <b/>
            <sz val="10"/>
            <color rgb="FF000000"/>
            <rFont val="ＭＳ Ｐゴシック"/>
            <family val="2"/>
            <charset val="128"/>
            <scheme val="minor"/>
          </rPr>
          <t xml:space="preserve">a
</t>
        </r>
        <r>
          <rPr>
            <b/>
            <sz val="10"/>
            <color rgb="FF000000"/>
            <rFont val="Yu Gothic UI"/>
            <family val="3"/>
            <charset val="128"/>
          </rPr>
          <t>緯度経度換算</t>
        </r>
        <r>
          <rPr>
            <b/>
            <sz val="10"/>
            <color rgb="FF000000"/>
            <rFont val="Yu Gothic UI"/>
            <family val="3"/>
            <charset val="128"/>
          </rPr>
          <t xml:space="preserve">
</t>
        </r>
      </text>
    </comment>
    <comment ref="A968" authorId="0" shapeId="0" xr:uid="{008331E5-AC0A-924A-B14E-76F0981B55F8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航海名変更(20201125)</t>
        </r>
      </text>
    </comment>
    <comment ref="A969" authorId="0" shapeId="0" xr:uid="{7D6E5157-A7B2-0143-AC58-BCA4991E6DAD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航海名変更(20201125)</t>
        </r>
      </text>
    </comment>
    <comment ref="A970" authorId="0" shapeId="0" xr:uid="{928279C5-7E18-4647-946A-C8ACBA99DB62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航海名変更(20201125)</t>
        </r>
      </text>
    </comment>
    <comment ref="A971" authorId="0" shapeId="0" xr:uid="{34284AAD-8766-CF46-88C4-535A5C942CAC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航海名変更(20201125)</t>
        </r>
      </text>
    </comment>
    <comment ref="A1059" authorId="0" shapeId="0" xr:uid="{9E72B69C-BE2E-5D46-8E2D-3517630143FC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この行以降は京都移設後の分析結果</t>
        </r>
      </text>
    </comment>
    <comment ref="J1059" authorId="1" shapeId="0" xr:uid="{576F9D96-A04A-DE46-81CE-327411FCED7C}">
      <text>
        <r>
          <rPr>
            <b/>
            <sz val="10"/>
            <color rgb="FF000000"/>
            <rFont val="Yu Gothic UI"/>
            <family val="3"/>
            <charset val="128"/>
          </rPr>
          <t>T.Ishimura:</t>
        </r>
        <r>
          <rPr>
            <sz val="10"/>
            <color rgb="FF000000"/>
            <rFont val="Yu Gothic UI"/>
            <family val="3"/>
            <charset val="128"/>
          </rPr>
          <t xml:space="preserve">
</t>
        </r>
        <r>
          <rPr>
            <sz val="10"/>
            <color rgb="FF000000"/>
            <rFont val="Yu Gothic UI"/>
            <family val="3"/>
            <charset val="128"/>
          </rPr>
          <t>確認と修正済み</t>
        </r>
        <r>
          <rPr>
            <sz val="10"/>
            <color rgb="FF000000"/>
            <rFont val="Yu Gothic UI"/>
            <family val="3"/>
            <charset val="128"/>
          </rPr>
          <t xml:space="preserve">
</t>
        </r>
        <r>
          <rPr>
            <sz val="10"/>
            <color rgb="FF000000"/>
            <rFont val="Yu Gothic UI"/>
            <family val="3"/>
            <charset val="128"/>
          </rPr>
          <t>2020/11/27</t>
        </r>
      </text>
    </comment>
    <comment ref="K1556" authorId="0" shapeId="0" xr:uid="{CCE20DFC-CCA8-594E-ADAB-600E2C7DF8B4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L1556" authorId="0" shapeId="0" xr:uid="{99AD0873-82EE-E249-97B1-AD10BD92A328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K1557" authorId="0" shapeId="0" xr:uid="{FE441325-A735-3644-837A-54D31ED238EC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L1557" authorId="0" shapeId="0" xr:uid="{9EA4190A-B159-9B42-845A-67D410F364F0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K1559" authorId="0" shapeId="0" xr:uid="{3CE5176A-B685-F047-BB66-BC6E3FE797F4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L1559" authorId="0" shapeId="0" xr:uid="{239877DB-1E00-3D40-A2C0-EEC5B1C76180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K1560" authorId="0" shapeId="0" xr:uid="{35E6D723-4C59-064B-B4CA-5C427B5EDA9E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L1560" authorId="0" shapeId="0" xr:uid="{E791F136-177B-6C49-9B95-7E6CD102E16E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K1562" authorId="0" shapeId="0" xr:uid="{475FC51C-B345-9E43-B73B-B093904BBB6E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L1562" authorId="0" shapeId="0" xr:uid="{5CE96B46-538E-7946-AF84-1131C9A21067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K1563" authorId="0" shapeId="0" xr:uid="{1DA19B58-7001-594D-BB76-0D3C3C7D043A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L1563" authorId="0" shapeId="0" xr:uid="{E37E93CB-C9CF-FD46-ADA1-3E856C2D2DA1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K1565" authorId="0" shapeId="0" xr:uid="{A02114F7-8833-4F48-98AF-7BDA23F9C21A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L1565" authorId="0" shapeId="0" xr:uid="{BB7BCF7D-01AF-6549-9779-664A618E3F47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K1566" authorId="0" shapeId="0" xr:uid="{C1437312-EA95-BA48-891B-F5B32262D072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L1566" authorId="0" shapeId="0" xr:uid="{35F41AB1-6C63-6044-A299-718C1615AD80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K1568" authorId="0" shapeId="0" xr:uid="{181296A7-D327-514C-8B5C-17A004B21541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L1568" authorId="0" shapeId="0" xr:uid="{F7F76E4B-4A93-684F-95E3-921E255BAEB4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K1569" authorId="0" shapeId="0" xr:uid="{C76DA67B-FA69-9F4F-B3E7-D500DCEF8DD0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L1569" authorId="0" shapeId="0" xr:uid="{D4EE32D6-694C-E44A-9706-A5FBD3433D9E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K1571" authorId="0" shapeId="0" xr:uid="{3DFE3223-7A86-E546-9223-DE6458E98F05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L1571" authorId="0" shapeId="0" xr:uid="{D398EFD7-A40A-AA4D-98B4-4161AB1E2390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K1572" authorId="0" shapeId="0" xr:uid="{60A18EF2-09AC-BD47-9E20-830AC80B0652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L1572" authorId="0" shapeId="0" xr:uid="{A4D2EDFB-4FCD-1241-8979-1D6E1F107B68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K1574" authorId="0" shapeId="0" xr:uid="{648BC339-CF19-4B44-8972-399CAF9E6E23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L1574" authorId="0" shapeId="0" xr:uid="{86F87D86-6E65-FC42-8984-8FD28B4BD157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K1575" authorId="0" shapeId="0" xr:uid="{F3316CE4-C289-FD46-9B33-4B6396541DA3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L1575" authorId="0" shapeId="0" xr:uid="{B0A8EC9C-1ADD-334D-BB5F-A172DA92D0F8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K1577" authorId="0" shapeId="0" xr:uid="{C3103874-6F31-D646-9E34-1C03C9E6C1BE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L1577" authorId="0" shapeId="0" xr:uid="{264BA7BF-C692-234F-892F-042C418070FB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K1578" authorId="0" shapeId="0" xr:uid="{2F2E16F6-1E27-3345-8E17-CC1A8B38CE14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L1578" authorId="0" shapeId="0" xr:uid="{A6FB02CF-1EFD-BE45-B46A-580097614556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K1580" authorId="0" shapeId="0" xr:uid="{FD91430E-3060-A440-A043-B990B74D7016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L1580" authorId="0" shapeId="0" xr:uid="{C38996DC-9422-754B-A52D-5E1120B460C7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K1581" authorId="0" shapeId="0" xr:uid="{6FF8781C-FF8F-0244-82C7-C9B32201E449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L1581" authorId="0" shapeId="0" xr:uid="{CA941C67-A265-6841-A647-8071C38A06D3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K1655" authorId="0" shapeId="0" xr:uid="{27ADC885-D07F-CD40-8012-CF729A9E2F8D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L1655" authorId="0" shapeId="0" xr:uid="{79743E95-E6ED-7C43-B46F-0FF71CC23D16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K1656" authorId="0" shapeId="0" xr:uid="{2F5E7AF6-7651-FE42-9731-E1A061981F18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L1656" authorId="0" shapeId="0" xr:uid="{50C53C9E-3754-8A42-A0FB-EFB82EFE6E2B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K1658" authorId="0" shapeId="0" xr:uid="{87FEB423-6D3B-CE41-B8D5-E0DCD66E162F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L1658" authorId="0" shapeId="0" xr:uid="{3C62823F-70F4-F840-8E67-54304515EFBB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K1659" authorId="0" shapeId="0" xr:uid="{1818BD21-8C72-6644-BFBC-7E943BF8B7D6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L1659" authorId="0" shapeId="0" xr:uid="{9F23AA73-270B-D84E-AFD6-235DF2FC30E4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K1661" authorId="0" shapeId="0" xr:uid="{EDCFDF83-29E3-F642-B7BC-9BA5BE4B22E9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L1661" authorId="0" shapeId="0" xr:uid="{868FD2D7-E8FE-634A-A954-5D82CF7D3BE9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K1662" authorId="0" shapeId="0" xr:uid="{0C3F6C1D-B995-114D-8424-1C84A8CB6714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L1662" authorId="0" shapeId="0" xr:uid="{CC99DA12-7F37-4845-9FF0-02434D4A6030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K1664" authorId="0" shapeId="0" xr:uid="{B42B03C1-EC40-9640-BB45-923F8C8F97BE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L1664" authorId="0" shapeId="0" xr:uid="{4CA68016-BF29-4F49-971C-0787F88B3A7A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K1665" authorId="0" shapeId="0" xr:uid="{A9062D4C-D617-5D47-9F3C-8CDF8D5F83F2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L1665" authorId="0" shapeId="0" xr:uid="{D907B4B3-DDBD-254E-9AC6-1ABD28F825EE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K1667" authorId="0" shapeId="0" xr:uid="{268DF2B4-1B27-EF48-A195-0C3785111371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L1667" authorId="0" shapeId="0" xr:uid="{04C4476E-E444-C749-BD3F-D9E2F5D8A6E2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K1668" authorId="0" shapeId="0" xr:uid="{BAC21137-2D95-A645-8869-278A32C99BED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L1668" authorId="0" shapeId="0" xr:uid="{34DB4A84-3E87-A946-A9C0-0D37AA80013A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K1670" authorId="0" shapeId="0" xr:uid="{06D0BB8B-50A6-D346-8BEA-2BBEA4FA35A4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L1670" authorId="0" shapeId="0" xr:uid="{470CCCBD-1BDA-CD4F-AD3D-B40DB6529DF8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K1671" authorId="0" shapeId="0" xr:uid="{9D60C114-585F-5447-A277-241D6B8742D6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L1671" authorId="0" shapeId="0" xr:uid="{B1C74AD8-A4F8-EA48-9B0D-B4DA1C30ED41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K1673" authorId="0" shapeId="0" xr:uid="{78D84051-5ABF-B346-A8AC-25D9CCD204AF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L1673" authorId="0" shapeId="0" xr:uid="{6FF4F47F-53B1-0A4E-AA9C-E826FE8E2864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K1674" authorId="0" shapeId="0" xr:uid="{7E88112F-111A-3E47-8E85-3971B4BE2F29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L1674" authorId="0" shapeId="0" xr:uid="{6ECABFF9-3472-9344-A946-3F8602EB1919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K1676" authorId="0" shapeId="0" xr:uid="{9B6C559F-F6B9-9548-8A74-DA2FA8875D36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L1676" authorId="0" shapeId="0" xr:uid="{5DA90FE7-20DB-644A-964D-D4B93929BC0E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K1677" authorId="0" shapeId="0" xr:uid="{8783F005-69C5-1941-AFD6-5B9CB3D5DBA0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L1677" authorId="0" shapeId="0" xr:uid="{ACFBC18D-5A04-E740-B5CC-8610E6EA8ABE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K1679" authorId="0" shapeId="0" xr:uid="{558A198E-B158-F44E-8AED-4FD3EF7F6F05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L1679" authorId="0" shapeId="0" xr:uid="{AE2511AB-5C6A-0745-AFEF-99D8773834DA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K1680" authorId="0" shapeId="0" xr:uid="{22158FC8-AF35-A743-B027-D633AFCEEEC3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L1680" authorId="0" shapeId="0" xr:uid="{C7A412A9-0045-3644-884A-5649FC53ABD7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K1682" authorId="0" shapeId="0" xr:uid="{6F22D300-1AD2-2844-8A96-C99D27EBC17F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L1682" authorId="0" shapeId="0" xr:uid="{CBC748BF-C4E9-264E-8D91-5401F9B79F9D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K1683" authorId="0" shapeId="0" xr:uid="{D0E841B7-9701-2245-A14F-B9F80DA97D35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L1683" authorId="0" shapeId="0" xr:uid="{6D7797DA-63C7-3241-B058-8A4950CD34E2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K1685" authorId="0" shapeId="0" xr:uid="{60FBEBA3-5754-464B-8AC7-F0C35D47B37F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L1685" authorId="0" shapeId="0" xr:uid="{613C387B-55FA-B647-9AE4-94907D57CF72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K1686" authorId="0" shapeId="0" xr:uid="{3BCD572A-6849-FA43-BC07-A411210D59B4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L1686" authorId="0" shapeId="0" xr:uid="{3C2C4092-49A3-1F44-863B-6405C37241AD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K1688" authorId="0" shapeId="0" xr:uid="{8EB753F3-EEFB-1E43-9013-545E170A6A02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L1688" authorId="0" shapeId="0" xr:uid="{60F5E23F-CCE3-DC44-BE31-93E8A698965B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K1689" authorId="0" shapeId="0" xr:uid="{7FE50290-B32A-4942-A840-D0C0D54B13E6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L1689" authorId="0" shapeId="0" xr:uid="{40DDF5A5-187B-1744-9153-E1F6E7DE30AE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K1691" authorId="0" shapeId="0" xr:uid="{0B9E784F-134F-AA48-8FF1-E012C60BEE93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L1691" authorId="0" shapeId="0" xr:uid="{C3829F51-7293-354F-9DA8-870EC28FF433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K1692" authorId="0" shapeId="0" xr:uid="{740C5D36-DF81-B244-A53A-98D798212365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L1692" authorId="0" shapeId="0" xr:uid="{40589FFE-2376-BC41-9175-417BBB5FDD0A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K1694" authorId="0" shapeId="0" xr:uid="{ABB98B43-5645-CE49-A39B-A0F4FC306267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L1694" authorId="0" shapeId="0" xr:uid="{709CA8E7-CF57-F84D-9443-38F24D45A616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K1695" authorId="0" shapeId="0" xr:uid="{B572F02C-0FFA-B648-B607-1AD3C63120C8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L1695" authorId="0" shapeId="0" xr:uid="{0434F299-0816-5049-9402-52ADDBD2FF72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K1697" authorId="0" shapeId="0" xr:uid="{9CE08E7A-056C-C741-A2D8-B4D8822A0364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L1697" authorId="0" shapeId="0" xr:uid="{435E7570-F9BC-2847-8B1C-0D2450383EF1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K1698" authorId="0" shapeId="0" xr:uid="{4C62FF0D-BB8D-BC42-888E-89B78F582E10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L1698" authorId="0" shapeId="0" xr:uid="{20A82EA6-8DDF-D746-80E2-F95C6C976AB7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K1700" authorId="0" shapeId="0" xr:uid="{37EEA9F0-1460-FA4B-9CBA-EF81A1F7CAD9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L1700" authorId="0" shapeId="0" xr:uid="{48006AB2-6D3F-FE4E-BDD1-D8F9E808E021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K1701" authorId="0" shapeId="0" xr:uid="{60303FE1-24C2-9F45-B485-ED8F6F0EBF88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L1701" authorId="0" shapeId="0" xr:uid="{1D45576A-35F0-B541-922A-890DC9A33C65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K1703" authorId="0" shapeId="0" xr:uid="{9BA63C09-F4D1-AB4B-97AC-F8C4ECCAFCE5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L1703" authorId="0" shapeId="0" xr:uid="{3A763CB9-FE16-9342-B97C-32D3E4A363BB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K1704" authorId="0" shapeId="0" xr:uid="{9254082C-DA7A-224C-95F7-4C598752DF45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L1704" authorId="0" shapeId="0" xr:uid="{9DCDD53B-9EE9-1C43-B98A-A9F8368A1496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K1706" authorId="0" shapeId="0" xr:uid="{BA1264ED-734C-0343-9040-CE073696A16A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L1706" authorId="0" shapeId="0" xr:uid="{0B67B4F5-CB8E-B546-B2DA-87B922F8411D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K1707" authorId="0" shapeId="0" xr:uid="{989A2020-6075-0C4A-9EDD-894B20473999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L1707" authorId="0" shapeId="0" xr:uid="{BD1EEB94-87D8-CD47-83CD-6DDFABCA07BE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K1709" authorId="0" shapeId="0" xr:uid="{0AB1FC45-D784-6F4D-8B97-C454F26531BF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L1709" authorId="0" shapeId="0" xr:uid="{950BBA3D-A76D-EC45-949B-E34713BC5104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K1710" authorId="0" shapeId="0" xr:uid="{F86F0703-1102-D74A-B0FB-66BBE822AC7D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L1710" authorId="0" shapeId="0" xr:uid="{86F6414A-619C-CA47-92BE-6F3930F7155E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K1712" authorId="0" shapeId="0" xr:uid="{BC70C748-52B3-694A-9CB9-698873A0F4B6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L1712" authorId="0" shapeId="0" xr:uid="{FA44B880-6EB2-B24E-8A72-DB6166524CFA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K1713" authorId="0" shapeId="0" xr:uid="{5C4C717C-4299-284A-A245-5BBAA59A0787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L1713" authorId="0" shapeId="0" xr:uid="{5B200A38-29D9-D247-B278-5A3D2189921A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K1922" authorId="0" shapeId="0" xr:uid="{4A1D7989-7CC0-BE4A-B030-ED520A96B307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L1922" authorId="0" shapeId="0" xr:uid="{D521AA12-A635-A24B-B4DE-DA14B935E0E0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K1923" authorId="0" shapeId="0" xr:uid="{C2B2C8B2-0D92-2D44-A0BC-274ABF09D172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L1923" authorId="0" shapeId="0" xr:uid="{A8ED4776-EFC3-664F-8730-EB21068DF61E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K1925" authorId="0" shapeId="0" xr:uid="{EE0ECB88-DBCE-9246-AEB9-5E3F8BB56745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L1925" authorId="0" shapeId="0" xr:uid="{0A2324BD-9CD2-7640-8877-93B2A763A4C8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K1926" authorId="0" shapeId="0" xr:uid="{19A42DB2-9C70-A144-86D1-6E18C5225181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L1926" authorId="0" shapeId="0" xr:uid="{CD38E9A5-EEA9-584F-9894-876FC9AB861C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K1928" authorId="0" shapeId="0" xr:uid="{A9334AD1-FC70-2545-9AC8-5DF291F41188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L1928" authorId="0" shapeId="0" xr:uid="{E323D82E-7EC4-9240-BE59-CC83C2B2F283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K1929" authorId="0" shapeId="0" xr:uid="{64B328E0-2A25-D747-B4F5-2AC6687A5F5B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L1929" authorId="0" shapeId="0" xr:uid="{0C4BF3B5-ED97-2446-BEF0-128D11A9E65A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K1931" authorId="0" shapeId="0" xr:uid="{C8EE81D6-38D8-3340-A716-F81949A6D8D8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L1931" authorId="0" shapeId="0" xr:uid="{EB90CA5C-9139-D14D-BE2E-27FAE504D64B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K1932" authorId="0" shapeId="0" xr:uid="{1E3BCAA2-D035-0E40-9F95-D9A08EC9E504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L1932" authorId="0" shapeId="0" xr:uid="{14221D85-D41D-C84B-A144-11E7E873AF93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K1934" authorId="0" shapeId="0" xr:uid="{770D1FE3-F032-3549-985B-CBE47D8091D3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L1934" authorId="0" shapeId="0" xr:uid="{5450AFAF-0760-7149-A4C4-AFBA5115A8CB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K1935" authorId="0" shapeId="0" xr:uid="{669451CF-F80C-4F43-B587-47BE0675C8E7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L1935" authorId="0" shapeId="0" xr:uid="{A1C16E6A-8C19-064A-AD4D-CAD68C9A654B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K1937" authorId="0" shapeId="0" xr:uid="{55EC720E-26E7-CD43-8BC9-57C877C06DD4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L1937" authorId="0" shapeId="0" xr:uid="{73731711-9BBC-D840-9403-3445D7554E10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K1938" authorId="0" shapeId="0" xr:uid="{44312A26-743A-9743-836A-8A5F8C16DC0E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L1938" authorId="0" shapeId="0" xr:uid="{A1CB40DA-336E-E943-A193-001ADAEC04BA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K1940" authorId="0" shapeId="0" xr:uid="{B395C8B4-C106-CE49-B2FD-F8D957723433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L1940" authorId="0" shapeId="0" xr:uid="{1493DF9A-4C45-C54C-8A18-A06B0475E92B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K1941" authorId="0" shapeId="0" xr:uid="{A83A0DE6-6157-DF4E-A93A-9881CC50D114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L1941" authorId="0" shapeId="0" xr:uid="{5F9CCFA2-6D59-B64A-B776-8FE0D0A9505A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K1978" authorId="0" shapeId="0" xr:uid="{686AB536-08F2-AA47-A482-C24FE215B2E3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L1978" authorId="0" shapeId="0" xr:uid="{91C7A4AF-5C25-5A4A-9413-F46CB59219B8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K1979" authorId="0" shapeId="0" xr:uid="{8A6DAF79-05B4-8448-B521-486752234AE9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L1979" authorId="0" shapeId="0" xr:uid="{949A4C5A-8C6D-1E43-9A4C-52492327C4F7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K1981" authorId="0" shapeId="0" xr:uid="{FBA30652-A987-C448-9B7F-0B72611C430B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L1981" authorId="0" shapeId="0" xr:uid="{B857A5CB-998C-B94E-BEFE-59250DFD115E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K1982" authorId="0" shapeId="0" xr:uid="{14D538CE-2352-7448-85E9-C0A3D56BD0CB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L1982" authorId="0" shapeId="0" xr:uid="{831829AB-2E78-2C48-AD21-E72CD0D158DE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K1984" authorId="0" shapeId="0" xr:uid="{C04B46B8-6EFA-9843-A8D0-31A66898D982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L1984" authorId="0" shapeId="0" xr:uid="{14F55B11-8BC1-8A43-BE44-0835B83074B6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K1985" authorId="0" shapeId="0" xr:uid="{D0A62A29-CEB5-D648-9E0D-6FD1E62B6D98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L1985" authorId="0" shapeId="0" xr:uid="{3F363561-452F-FB4B-8324-2B064D41210B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K1987" authorId="0" shapeId="0" xr:uid="{ABC1538D-963A-AF44-918F-406653D69D35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L1987" authorId="0" shapeId="0" xr:uid="{E1A9047A-8619-3949-9007-C71E6CA1ED63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K1988" authorId="0" shapeId="0" xr:uid="{8CEBBC7C-5498-6A49-A0C5-34FC45ABCAA5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L1988" authorId="0" shapeId="0" xr:uid="{2B3D1B77-C747-134C-A752-E4D63524A65B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K1990" authorId="0" shapeId="0" xr:uid="{9EC0D84D-EE56-4B44-A6FC-871477F029A5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L1990" authorId="0" shapeId="0" xr:uid="{379E99D0-979E-D649-9970-CE0F221BAE54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K1991" authorId="0" shapeId="0" xr:uid="{46A4D9C2-617E-B040-9211-5F0BF22C973B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L1991" authorId="0" shapeId="0" xr:uid="{450A78F9-BBE8-9741-A34B-CD8FD3781845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K1993" authorId="0" shapeId="0" xr:uid="{8F9BEE19-4D2B-F44B-91D9-1E560EE8011C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L1993" authorId="0" shapeId="0" xr:uid="{595C0228-E151-0848-BBA6-358D851F3956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K1994" authorId="0" shapeId="0" xr:uid="{B5AF4CD0-80BC-8D4E-93B2-D29B35152583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L1994" authorId="0" shapeId="0" xr:uid="{C1E31E96-4637-194A-B6C2-A1D267F85D4E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K1996" authorId="0" shapeId="0" xr:uid="{59272388-A6A9-3349-99F1-8C6808A04A30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L1996" authorId="0" shapeId="0" xr:uid="{F31E8A4C-7D68-C047-9D4A-73BB0C3BC81A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K1997" authorId="0" shapeId="0" xr:uid="{BD7AF4A2-D342-EE44-B398-0833FFD96A41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L1997" authorId="0" shapeId="0" xr:uid="{36EAF846-C8EB-8F43-A908-815A178AF938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K1999" authorId="0" shapeId="0" xr:uid="{0F82977B-5F2C-1545-9A2B-EB6683647389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L1999" authorId="0" shapeId="0" xr:uid="{E22ED575-B1AB-4847-9190-91BD4D1F343A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K2000" authorId="0" shapeId="0" xr:uid="{C7554DD2-74FA-2A44-925E-3BF56F6B805D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L2000" authorId="0" shapeId="0" xr:uid="{B6C4C2B8-8445-0846-960F-F693F4FF51F0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K2002" authorId="0" shapeId="0" xr:uid="{CFFC29FB-7CCE-2F4C-BDC8-EA64D5DFEC17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L2002" authorId="0" shapeId="0" xr:uid="{75840DBB-5F78-B444-981C-E515E0645317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K2003" authorId="0" shapeId="0" xr:uid="{205E22B8-CA8F-3042-B73C-9AC56A758E54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L2003" authorId="0" shapeId="0" xr:uid="{6ECA087B-6205-9F48-87CC-72253D634F5F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K2005" authorId="0" shapeId="0" xr:uid="{D1B44889-C1AA-1B45-AD56-5B2A611D8EF4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L2005" authorId="0" shapeId="0" xr:uid="{FB1C15F1-1A35-D148-905C-58FAE7DDDB9C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K2006" authorId="0" shapeId="0" xr:uid="{6638F55B-EA78-9647-A404-6BD191F94A43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L2006" authorId="0" shapeId="0" xr:uid="{13AFCD1F-2C55-4D41-B3EE-F36EADE2A253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K2008" authorId="0" shapeId="0" xr:uid="{3EB146CF-7185-A940-8C9E-AA355065F5B4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L2008" authorId="0" shapeId="0" xr:uid="{D807F3A8-A5F3-7945-9908-E4EA6570611A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K2009" authorId="0" shapeId="0" xr:uid="{738536D4-CAD1-D242-96DD-DDD399521954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L2009" authorId="0" shapeId="0" xr:uid="{0704ABC6-DA40-1A44-BE4C-B5D60A1E6B6B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Satoshi Kitajima</author>
  </authors>
  <commentList>
    <comment ref="K330" authorId="0" shapeId="0" xr:uid="{30CB6C70-9A26-7341-A7DE-656D4FD1A8F8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L330" authorId="0" shapeId="0" xr:uid="{E75DF7D0-3EC8-9B49-988C-295B17A966EB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K331" authorId="0" shapeId="0" xr:uid="{CA654ED0-5A3C-A449-8CAE-5F3BE0D02749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L331" authorId="0" shapeId="0" xr:uid="{58C84565-529E-964F-A3FD-906F1DC8446C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K334" authorId="0" shapeId="0" xr:uid="{30295DB0-1098-2E49-8FE1-D5E6FB42482C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L334" authorId="0" shapeId="0" xr:uid="{711ACF70-395C-8546-A6B7-15C69C654F04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K335" authorId="0" shapeId="0" xr:uid="{6F062180-DB7A-6945-96FD-E3DCC00DFF69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L335" authorId="0" shapeId="0" xr:uid="{0137ED1C-CA46-7A4B-B3B4-9D4B7800B766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K338" authorId="0" shapeId="0" xr:uid="{1C618D32-569D-3645-8D24-49056F3C97E7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L338" authorId="0" shapeId="0" xr:uid="{A5496B5F-618B-B645-9222-C3FDA8DFB1A3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K339" authorId="0" shapeId="0" xr:uid="{3BE9D4C7-C9A1-5740-A13A-11BFFF6A9EED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L339" authorId="0" shapeId="0" xr:uid="{967C6A23-F3D5-F448-8536-9EFAB4C29A0B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K342" authorId="0" shapeId="0" xr:uid="{A8590A92-F107-354C-92AA-AAA773373EB0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L342" authorId="0" shapeId="0" xr:uid="{D29C1034-7DC0-914E-8296-999D8E8DDB1C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K343" authorId="0" shapeId="0" xr:uid="{5F87E479-6FAB-EF4A-8A7D-C73C6B5895AD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L343" authorId="0" shapeId="0" xr:uid="{D77628E3-34BF-2440-B133-C5813753A4BE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K346" authorId="0" shapeId="0" xr:uid="{B8D21501-115A-C846-B482-3BB72E11B646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L346" authorId="0" shapeId="0" xr:uid="{8C2BEA19-662C-214C-AB38-81A838EFC8E7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K347" authorId="0" shapeId="0" xr:uid="{DF947E7C-80ED-D64D-90C2-1D7BCDF5434D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L347" authorId="0" shapeId="0" xr:uid="{64DF5C15-EEFD-4343-AF9A-020830C64E69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K350" authorId="0" shapeId="0" xr:uid="{333214AD-C902-2747-951C-40AEF2E55575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L350" authorId="0" shapeId="0" xr:uid="{55ABA770-18DA-3043-865F-27868D548289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K351" authorId="0" shapeId="0" xr:uid="{B0AF875B-A6C9-0E4F-8F99-BD31D1F8602F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L351" authorId="0" shapeId="0" xr:uid="{DFB6782C-5A9B-5345-82DA-128D3B5FBB03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K354" authorId="0" shapeId="0" xr:uid="{DE2588B6-1615-C644-A306-2815E5DBD416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L354" authorId="0" shapeId="0" xr:uid="{0BD9D3F5-BBA4-DA4D-9BDC-AF325D7C5005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K355" authorId="0" shapeId="0" xr:uid="{5847D0D6-B2D5-BC4C-B9BA-83A3675C6B1D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L355" authorId="0" shapeId="0" xr:uid="{AFC75549-1956-2A4B-A423-F418300686D7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K358" authorId="0" shapeId="0" xr:uid="{3D962463-3101-8E45-BF7C-7DE304A6C2C8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L358" authorId="0" shapeId="0" xr:uid="{C9E33C30-0AA6-CF41-834F-BC51D6300E5E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K359" authorId="0" shapeId="0" xr:uid="{6DD9D523-1466-0949-B3D8-AACC52296EA4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L359" authorId="0" shapeId="0" xr:uid="{B330F6C0-286B-6F41-B2C3-9ADFF232E8BB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K362" authorId="0" shapeId="0" xr:uid="{A54921BC-4074-724B-8A0B-EDA195E1F2A3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L362" authorId="0" shapeId="0" xr:uid="{EA2EC966-B3D5-E049-801F-A7E3AD9F65E4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K363" authorId="0" shapeId="0" xr:uid="{A38E3DCB-E2CF-6D4F-8508-D46ACA8C72D1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L363" authorId="0" shapeId="0" xr:uid="{30A26442-BDF2-B64C-A8D0-5853A91573CC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K366" authorId="0" shapeId="0" xr:uid="{6C947438-27A7-054C-B1E2-5394B8E64E46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L366" authorId="0" shapeId="0" xr:uid="{80C2A559-85FD-B744-865F-F947149FA16E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K367" authorId="0" shapeId="0" xr:uid="{A8D8CA0A-1FDC-8847-BF4A-6CBD5C112962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L367" authorId="0" shapeId="0" xr:uid="{A870A255-5C8E-2743-BB73-76B5DEF788E4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K370" authorId="0" shapeId="0" xr:uid="{0EE712F7-D972-7A4A-A578-0D5739178726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L370" authorId="0" shapeId="0" xr:uid="{3DA6304C-7391-FE46-B738-61719F09EFDA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K371" authorId="0" shapeId="0" xr:uid="{F434A251-62FA-5F4D-BD91-DB337362B47D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L371" authorId="0" shapeId="0" xr:uid="{90C7EA0F-311F-B04C-B2C9-53A7B50C40AA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K374" authorId="0" shapeId="0" xr:uid="{5C86C453-D6D8-1141-A659-C0302961BDAC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L374" authorId="0" shapeId="0" xr:uid="{B5BD5724-346F-2249-A315-F2AA6B5BB09E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K375" authorId="0" shapeId="0" xr:uid="{B6334E34-F472-C94D-8F05-70C6967156D4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L375" authorId="0" shapeId="0" xr:uid="{3A734830-B91D-BB41-9DE6-3DA166236765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K378" authorId="0" shapeId="0" xr:uid="{A8349478-6A4E-274B-A20B-5467DA72C245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L378" authorId="0" shapeId="0" xr:uid="{82FF19E0-DACF-3945-B713-978336F26978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K379" authorId="0" shapeId="0" xr:uid="{6890D1EA-55D0-EA4C-9249-3118FC829BE2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L379" authorId="0" shapeId="0" xr:uid="{86B0A85F-6F1B-DD40-B894-1D4B76F14375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K382" authorId="0" shapeId="0" xr:uid="{D2916AEB-E524-3D44-AAD2-7EEF9592AB7D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L382" authorId="0" shapeId="0" xr:uid="{E8BCCB4E-34E9-6041-884C-3D9650124AD3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K383" authorId="0" shapeId="0" xr:uid="{D61E7080-9699-664E-A582-D20F39CE9E03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L383" authorId="0" shapeId="0" xr:uid="{9A809B05-916B-B24A-8739-AE45EC62FE37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K386" authorId="0" shapeId="0" xr:uid="{759B5061-B927-F14E-8144-23203ABBD49A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L386" authorId="0" shapeId="0" xr:uid="{91E0215D-DF57-F643-847F-2BA6E1494EAD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K387" authorId="0" shapeId="0" xr:uid="{32517120-A49B-9246-901B-6510DE9C86CF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L387" authorId="0" shapeId="0" xr:uid="{9CC570F1-5039-F840-8004-2BF3B9836126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K390" authorId="0" shapeId="0" xr:uid="{0A213F86-9BE5-1448-913C-2D55EBB2B75E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L390" authorId="0" shapeId="0" xr:uid="{B03F4AF8-DC5E-5044-B87A-AEE52144CDF0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K391" authorId="0" shapeId="0" xr:uid="{66F479C9-6DE6-6D46-91BA-CFF0047EC4EA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L391" authorId="0" shapeId="0" xr:uid="{B7E26852-A89D-3A45-A411-114C41E6C826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K708" authorId="0" shapeId="0" xr:uid="{B44CC800-E5EC-6744-9904-1D39E25A602B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L708" authorId="0" shapeId="0" xr:uid="{D0F22FD5-EE39-0B41-A26B-686864C8D541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K709" authorId="0" shapeId="0" xr:uid="{449E1264-61CA-9246-AD0E-71CFFF1CE8B6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L709" authorId="0" shapeId="0" xr:uid="{D66D45B5-5A16-EE4B-B217-5E885C2A1558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K712" authorId="0" shapeId="0" xr:uid="{A3373B57-1103-2546-9013-CE3FBD970B7D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L712" authorId="0" shapeId="0" xr:uid="{8977947F-21E0-8341-90A2-44A3ED46A19A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K713" authorId="0" shapeId="0" xr:uid="{D2257518-59CA-E14C-B9C1-B6E78C9BC711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L713" authorId="0" shapeId="0" xr:uid="{813C9C84-8D8C-AB47-8EBC-6B1444B3CFE1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K716" authorId="0" shapeId="0" xr:uid="{4B02D2BB-66A2-394F-B235-787E79CECE75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L716" authorId="0" shapeId="0" xr:uid="{25CCF97D-FA0A-4C42-8265-2B3DF91B6D2A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K717" authorId="0" shapeId="0" xr:uid="{447441FE-319B-974D-947A-8740B67F9191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L717" authorId="0" shapeId="0" xr:uid="{EE3458DC-6CB0-E340-A0AE-CD01D851CD24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K720" authorId="0" shapeId="0" xr:uid="{AE04C1F1-2098-7846-8C6F-42A6F3DC666D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L720" authorId="0" shapeId="0" xr:uid="{BC1C8869-EE63-EE4A-A234-C75067340E16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K721" authorId="0" shapeId="0" xr:uid="{396DEAF8-A79A-974A-8B55-ED48CFC6608B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L721" authorId="0" shapeId="0" xr:uid="{47B50808-4319-0B40-A02D-3193F3D8393A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K724" authorId="0" shapeId="0" xr:uid="{D082D5E6-67F9-4044-B213-55F3BD060F8C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L724" authorId="0" shapeId="0" xr:uid="{22C33CDA-EA39-EE4B-817A-A8A725818B2E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K725" authorId="0" shapeId="0" xr:uid="{648210D8-0903-3945-A678-8297CC63BC83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L725" authorId="0" shapeId="0" xr:uid="{1E5F67D1-D8AB-6340-8E3E-EACFDC887C62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K728" authorId="0" shapeId="0" xr:uid="{3AE60B0E-51BC-B442-9591-B5D17900F9DA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L728" authorId="0" shapeId="0" xr:uid="{D77B835A-6FE7-104D-8639-E2A241112742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K729" authorId="0" shapeId="0" xr:uid="{3C4C933F-A20D-AB41-91DF-FF6972F9D73A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L729" authorId="0" shapeId="0" xr:uid="{947627D4-871E-5648-A4B2-65B1E9988754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K732" authorId="0" shapeId="0" xr:uid="{6D38EF5E-BF96-D84D-8846-1E18D8139F12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L732" authorId="0" shapeId="0" xr:uid="{4D5308B5-CB1C-394D-8C57-66CDA53DD2AD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K733" authorId="0" shapeId="0" xr:uid="{0524A561-8091-3E4F-9114-012D739B0BA3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L733" authorId="0" shapeId="0" xr:uid="{B7B31837-B688-A84C-9FFD-0F6CE1AA36D9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K736" authorId="0" shapeId="0" xr:uid="{139CF82F-0FA1-E74A-A3A0-A1413DF3FF5E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L736" authorId="0" shapeId="0" xr:uid="{DBDBE8E8-B2C2-174A-8701-4871081DD5AE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K737" authorId="0" shapeId="0" xr:uid="{F1C9DED1-C852-484E-B1F6-0C02AAC2BBA5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L737" authorId="0" shapeId="0" xr:uid="{75BE024D-EB7C-7544-8DF7-A5E2B1EFFCFF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K740" authorId="0" shapeId="0" xr:uid="{9921DAE9-F395-1D4A-8FF7-9E4520DAC394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L740" authorId="0" shapeId="0" xr:uid="{98999F8A-2FCC-8C43-93DB-C4644E24C4C3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K741" authorId="0" shapeId="0" xr:uid="{73375049-6450-BC43-9AC8-6E1FECA465EF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L741" authorId="0" shapeId="0" xr:uid="{4758A5BF-CCAC-9A4D-B60C-E1FE55E58382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K744" authorId="0" shapeId="0" xr:uid="{05B86983-34B2-174B-A53F-22CD6F6A5235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L744" authorId="0" shapeId="0" xr:uid="{570F6425-3EF9-EA41-94E8-9F1B045C4324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K745" authorId="0" shapeId="0" xr:uid="{A5C6D816-60BE-6B44-B22A-FAC320D0F9A4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L745" authorId="0" shapeId="0" xr:uid="{7E01B72A-7562-3346-93BF-EBAD6C924B3B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K748" authorId="0" shapeId="0" xr:uid="{52E5D7D1-964C-8649-84AC-9A6001818887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L748" authorId="0" shapeId="0" xr:uid="{9757DD37-3EEB-CF46-9717-B133A42465BA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K749" authorId="0" shapeId="0" xr:uid="{6DBC9E4B-8CC6-A24D-A04B-94E558E160D2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L749" authorId="0" shapeId="0" xr:uid="{7A66BD9C-F411-244C-8D35-4C970FC05391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K752" authorId="0" shapeId="0" xr:uid="{386528F0-8911-834F-9611-BA6A79ECCF2C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L752" authorId="0" shapeId="0" xr:uid="{04670919-8E2A-914E-842F-DFB628C0C125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K753" authorId="0" shapeId="0" xr:uid="{B47789AA-20F0-5B4B-A504-FCA7B01E0DFE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L753" authorId="0" shapeId="0" xr:uid="{65F81DFA-EF50-1D49-B56A-B455FE32E07E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K756" authorId="0" shapeId="0" xr:uid="{FDD6DDA3-52ED-AE49-B7D4-3129F3015CA5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L756" authorId="0" shapeId="0" xr:uid="{8ABF70EF-5360-B14C-B0D2-DDBA2657E38C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K757" authorId="0" shapeId="0" xr:uid="{B991A562-12E3-4C45-B5E5-01860BFBACD5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L757" authorId="0" shapeId="0" xr:uid="{A8C5601B-ADAD-E746-A92A-3549AB8B2050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K760" authorId="0" shapeId="0" xr:uid="{429F65D7-F666-4449-BA00-0469262A21AC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L760" authorId="0" shapeId="0" xr:uid="{AD28AE8A-7BAD-724D-9EBF-04F64DDD9ACA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K761" authorId="0" shapeId="0" xr:uid="{EC275E1D-5368-4246-AAE0-F8A349869468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L761" authorId="0" shapeId="0" xr:uid="{BD9CE30B-7A73-CC44-9F7C-7F417FBA0153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K764" authorId="0" shapeId="0" xr:uid="{F7134839-73D7-B74C-B5A9-EF65A00B31BC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L764" authorId="0" shapeId="0" xr:uid="{96CCF041-4F50-554C-9DD7-AAD471217F68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K765" authorId="0" shapeId="0" xr:uid="{43CC8425-50D0-7646-8EF2-4A7936D15883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L765" authorId="0" shapeId="0" xr:uid="{844FF733-06C7-1F42-B014-71C1B4A98E98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K768" authorId="0" shapeId="0" xr:uid="{6B815C5A-882C-8249-AAFE-85D9E5C28F5E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L768" authorId="0" shapeId="0" xr:uid="{6E3ADCF9-A9CE-F043-BE50-C2D6C328845B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K769" authorId="0" shapeId="0" xr:uid="{C437831A-233C-D245-94CD-FB54C86B42E9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L769" authorId="0" shapeId="0" xr:uid="{9AC7EF14-ABED-5A49-A529-AF80E2759F00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K772" authorId="0" shapeId="0" xr:uid="{783DB998-FCF5-9C4E-AABA-D2CB4CA0E980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L772" authorId="0" shapeId="0" xr:uid="{E0330F64-396E-2345-93F1-1CBB637F0F50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K773" authorId="0" shapeId="0" xr:uid="{99B73D33-D525-1C4E-9D35-D7842FA5B029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L773" authorId="0" shapeId="0" xr:uid="{BA631ACB-E060-7E41-992B-3138637271DD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K776" authorId="0" shapeId="0" xr:uid="{1958D7F5-B5D7-BF43-8B05-1AC89A3E748B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L776" authorId="0" shapeId="0" xr:uid="{C1E8D79D-338F-1741-A63E-F5920C1AB147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K777" authorId="0" shapeId="0" xr:uid="{DB6FE0FE-5F2A-1746-9E2B-D8EA70BEBB36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L777" authorId="0" shapeId="0" xr:uid="{B861AB30-F198-354A-9042-01E21C26971D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K780" authorId="0" shapeId="0" xr:uid="{CF6A7CEB-C8F8-DF48-BFE7-4194D19D88D9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L780" authorId="0" shapeId="0" xr:uid="{4DAD9936-6251-784F-BA77-3D26AEA7FFF5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K781" authorId="0" shapeId="0" xr:uid="{166E00BB-B065-CA4D-A739-FC57F99A80EA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L781" authorId="0" shapeId="0" xr:uid="{7D112A92-0EB1-FD46-9AFF-15114FE6EABD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K784" authorId="0" shapeId="0" xr:uid="{ADA18D5C-3D1A-7641-A013-D491FD86F32E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L784" authorId="0" shapeId="0" xr:uid="{4C215255-6966-374B-8AAF-F3EF3AB541C2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K785" authorId="0" shapeId="0" xr:uid="{A646C210-ABC7-5D46-BE39-4E1EF07F828C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L785" authorId="0" shapeId="0" xr:uid="{EC54BBAB-53A1-5D41-A09A-77DE3F73ECEC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K788" authorId="0" shapeId="0" xr:uid="{E2C1649B-C8E6-A145-9327-D735B917A7F9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L788" authorId="0" shapeId="0" xr:uid="{BE9BD2B6-60CD-0D4B-8E93-044064CF2777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K789" authorId="0" shapeId="0" xr:uid="{85D765AF-CCE7-FD4F-9D25-ED5387CED5E5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L789" authorId="0" shapeId="0" xr:uid="{693C5813-C71C-F443-9E75-5781FD94B2D4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K792" authorId="0" shapeId="0" xr:uid="{F9DC6AA1-F0EA-1440-AD92-0FAB63682985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L792" authorId="0" shapeId="0" xr:uid="{50C4089F-64D7-E442-A8A2-0903820EA3D1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K793" authorId="0" shapeId="0" xr:uid="{BFB656AF-D186-CD4A-97DA-CD3C8092D65F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L793" authorId="0" shapeId="0" xr:uid="{DACC5CB4-2511-544A-8F71-FEBF0FA72C7D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K796" authorId="0" shapeId="0" xr:uid="{D764FB46-0918-CB4B-AF32-9AB58E6B4790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L796" authorId="0" shapeId="0" xr:uid="{875D884F-4E87-3448-B3D1-EBF7E8B352C2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K797" authorId="0" shapeId="0" xr:uid="{9D76D99B-89A4-B642-9B90-24714BB3A48C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L797" authorId="0" shapeId="0" xr:uid="{ED94655D-2706-9846-861A-33554D0B5862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K800" authorId="0" shapeId="0" xr:uid="{C4B0D086-629B-B644-AFBD-ADCD8F6CD992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L800" authorId="0" shapeId="0" xr:uid="{8D53DC25-2DCB-AC4B-89FD-C23E6C6B8767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K801" authorId="0" shapeId="0" xr:uid="{F6815EFB-F010-0B4A-948D-E000C01825B6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L801" authorId="0" shapeId="0" xr:uid="{C115DBF5-B029-A84C-AF0B-152AD15427C0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K804" authorId="0" shapeId="0" xr:uid="{787920E1-3C75-6243-9536-E0EB44B29313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L804" authorId="0" shapeId="0" xr:uid="{C827A30F-8CFC-904F-BF9C-916F572314A2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K805" authorId="0" shapeId="0" xr:uid="{FAE7B215-ADB7-F649-8A28-554B5017D823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L805" authorId="0" shapeId="0" xr:uid="{867EB497-A758-004A-B65F-D50C6125AAA0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K808" authorId="0" shapeId="0" xr:uid="{FD6A0EC5-90B7-DC4F-817E-E77C4D7B8330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L808" authorId="0" shapeId="0" xr:uid="{8385E9F4-C328-5040-AC7C-3C0FCD96A0A7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K809" authorId="0" shapeId="0" xr:uid="{5E5EB34A-323D-014D-B911-596134174EF3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L809" authorId="0" shapeId="0" xr:uid="{31E9548B-42F2-624B-A567-B4F93707FF3D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K812" authorId="0" shapeId="0" xr:uid="{677F5BE7-8796-DF44-8BDB-15352BD1F419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L812" authorId="0" shapeId="0" xr:uid="{A95BC33F-31C4-9542-AE06-DC1A2E9718D7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K813" authorId="0" shapeId="0" xr:uid="{81AD5F06-5996-FF47-99DA-ED0CA0EDB8CB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L813" authorId="0" shapeId="0" xr:uid="{416BEBA9-2DC1-BC4C-B05D-23FFD94BCC37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K816" authorId="0" shapeId="0" xr:uid="{CC733F23-8568-8A4D-8CC2-3BAB5890F38F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L816" authorId="0" shapeId="0" xr:uid="{12F7AB16-EA8A-6244-BD51-9C8CB10F1148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K817" authorId="0" shapeId="0" xr:uid="{118A7BCE-3E90-D64C-BBD4-351CD0CD8DA9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L817" authorId="0" shapeId="0" xr:uid="{886966B3-76F9-1F41-9FFD-04B7E046D61B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K820" authorId="0" shapeId="0" xr:uid="{9AF999DE-3B05-D642-AD03-31975B7D4D8E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L820" authorId="0" shapeId="0" xr:uid="{7F1BBEAE-3B0A-574E-80BC-88AE8123A05E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K821" authorId="0" shapeId="0" xr:uid="{861B9D63-0CB9-504F-B72E-FD7E89EFE155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L821" authorId="0" shapeId="0" xr:uid="{5696950F-A3C0-8C41-A6BB-D1530716A1F2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K824" authorId="0" shapeId="0" xr:uid="{85FF57CA-DD96-F44E-8B5D-BBAB313D7FD7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L824" authorId="0" shapeId="0" xr:uid="{B51A515E-88E3-7D4D-B751-F3E7FD0DE47A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K825" authorId="0" shapeId="0" xr:uid="{D2229BD5-55CB-7B4D-840B-F38E07339C70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L825" authorId="0" shapeId="0" xr:uid="{F06B73E0-5081-174B-BB71-E5F900E93541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K828" authorId="0" shapeId="0" xr:uid="{A974483C-5842-6E4E-8437-BDCD1DD0D483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L828" authorId="0" shapeId="0" xr:uid="{D80AF327-9011-9544-8A34-66AEB331979A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K829" authorId="0" shapeId="0" xr:uid="{82A22BE6-8DDA-C947-8875-A74007481683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L829" authorId="0" shapeId="0" xr:uid="{2E088D40-1708-4A42-B72E-78C694E39354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</commentList>
</comments>
</file>

<file path=xl/sharedStrings.xml><?xml version="1.0" encoding="utf-8"?>
<sst xmlns="http://schemas.openxmlformats.org/spreadsheetml/2006/main" count="15790" uniqueCount="627">
  <si>
    <t>Station</t>
    <phoneticPr fontId="3"/>
  </si>
  <si>
    <t>Salinity</t>
  </si>
  <si>
    <t>dD</t>
    <phoneticPr fontId="3"/>
  </si>
  <si>
    <t>Temperature_degC</t>
    <phoneticPr fontId="3"/>
  </si>
  <si>
    <t>Date</t>
    <phoneticPr fontId="3"/>
  </si>
  <si>
    <t>Depth_m</t>
    <phoneticPr fontId="3"/>
  </si>
  <si>
    <t>Latitude_degN</t>
    <phoneticPr fontId="3"/>
  </si>
  <si>
    <t>Longitude_degE</t>
    <phoneticPr fontId="3"/>
  </si>
  <si>
    <t>d18O</t>
    <phoneticPr fontId="3"/>
  </si>
  <si>
    <t>R2</t>
  </si>
  <si>
    <t>R3</t>
  </si>
  <si>
    <t>R5</t>
  </si>
  <si>
    <t>R6</t>
  </si>
  <si>
    <t>R8</t>
  </si>
  <si>
    <t>R9</t>
  </si>
  <si>
    <t>R11</t>
  </si>
  <si>
    <t>R12</t>
  </si>
  <si>
    <t>NJS-01</t>
  </si>
  <si>
    <t>NJS-02r</t>
  </si>
  <si>
    <t>NJS-03</t>
  </si>
  <si>
    <t>NJS-04</t>
  </si>
  <si>
    <t>NJS-05</t>
  </si>
  <si>
    <t>NJS-06</t>
  </si>
  <si>
    <t>NJS-07</t>
  </si>
  <si>
    <t>NJS-08</t>
  </si>
  <si>
    <t>NJS-09</t>
  </si>
  <si>
    <t>NJS-10</t>
  </si>
  <si>
    <t>NJS-11</t>
  </si>
  <si>
    <t>NJS-12</t>
  </si>
  <si>
    <t>NJS-13</t>
  </si>
  <si>
    <t>NJS-14</t>
  </si>
  <si>
    <t>NJS-15</t>
  </si>
  <si>
    <t>NJS-16</t>
  </si>
  <si>
    <t>NJS-17</t>
  </si>
  <si>
    <t>NJS-18</t>
  </si>
  <si>
    <t>NJS-19</t>
  </si>
  <si>
    <t>NJS-20</t>
  </si>
  <si>
    <t>NJS-21</t>
  </si>
  <si>
    <t>NJS-22</t>
  </si>
  <si>
    <t>NJS-23</t>
  </si>
  <si>
    <t>NJS-24</t>
  </si>
  <si>
    <t>NJS-28</t>
  </si>
  <si>
    <t>NJS-27</t>
  </si>
  <si>
    <t>NJS-26</t>
  </si>
  <si>
    <t>A30</t>
  </si>
  <si>
    <t>A27</t>
  </si>
  <si>
    <t>A19</t>
  </si>
  <si>
    <t>A16</t>
  </si>
  <si>
    <t>A13</t>
  </si>
  <si>
    <t>A12</t>
  </si>
  <si>
    <t>A9</t>
  </si>
  <si>
    <t>A6</t>
  </si>
  <si>
    <t>A3</t>
  </si>
  <si>
    <t>A22</t>
  </si>
  <si>
    <t>B21</t>
  </si>
  <si>
    <t>B31</t>
  </si>
  <si>
    <t>B39</t>
  </si>
  <si>
    <t>B34</t>
  </si>
  <si>
    <t>B45</t>
  </si>
  <si>
    <t>B42</t>
  </si>
  <si>
    <t>B22</t>
  </si>
  <si>
    <t>B25</t>
  </si>
  <si>
    <t>B18</t>
  </si>
  <si>
    <t>B13</t>
  </si>
  <si>
    <t>B1</t>
  </si>
  <si>
    <t>HK1707</t>
  </si>
  <si>
    <t>NJS09</t>
  </si>
  <si>
    <t>NJS10</t>
  </si>
  <si>
    <t>NJS11</t>
  </si>
  <si>
    <t>NJS12</t>
  </si>
  <si>
    <t>NJS13</t>
  </si>
  <si>
    <t>NJS14</t>
  </si>
  <si>
    <t>NJS15</t>
  </si>
  <si>
    <t>NJS16</t>
  </si>
  <si>
    <t>NJS17</t>
  </si>
  <si>
    <t>NJS18</t>
  </si>
  <si>
    <t>NJS19</t>
  </si>
  <si>
    <t>NJS20</t>
  </si>
  <si>
    <t>NJS21</t>
  </si>
  <si>
    <t>NJS22</t>
  </si>
  <si>
    <t>NJS23</t>
  </si>
  <si>
    <t>NJS24</t>
  </si>
  <si>
    <t>NJS25</t>
  </si>
  <si>
    <t>NJS26</t>
  </si>
  <si>
    <t>NJS27</t>
  </si>
  <si>
    <t>NJS28</t>
  </si>
  <si>
    <t>YK1509</t>
  </si>
  <si>
    <t>O1</t>
  </si>
  <si>
    <t>O2</t>
  </si>
  <si>
    <t>O3</t>
  </si>
  <si>
    <t>O4</t>
  </si>
  <si>
    <t>O5</t>
  </si>
  <si>
    <t>O6</t>
  </si>
  <si>
    <t>O7</t>
  </si>
  <si>
    <t>O8</t>
  </si>
  <si>
    <t>O9</t>
  </si>
  <si>
    <t>O10</t>
  </si>
  <si>
    <t>MT3</t>
  </si>
  <si>
    <t>O11</t>
  </si>
  <si>
    <t>O12</t>
  </si>
  <si>
    <t>O13</t>
  </si>
  <si>
    <t>O14</t>
  </si>
  <si>
    <t>O15</t>
  </si>
  <si>
    <t>O16</t>
  </si>
  <si>
    <t>O17</t>
  </si>
  <si>
    <t>MT6</t>
  </si>
  <si>
    <t>O19</t>
  </si>
  <si>
    <t>O20</t>
  </si>
  <si>
    <t>N5</t>
  </si>
  <si>
    <t>MT7</t>
  </si>
  <si>
    <t>MT8</t>
  </si>
  <si>
    <t>O21</t>
  </si>
  <si>
    <t>O22</t>
  </si>
  <si>
    <t>N6</t>
  </si>
  <si>
    <t>MT9</t>
  </si>
  <si>
    <t>MT10</t>
  </si>
  <si>
    <t>O23</t>
  </si>
  <si>
    <t>O24</t>
  </si>
  <si>
    <t>O25</t>
  </si>
  <si>
    <t>O26</t>
  </si>
  <si>
    <t>O27</t>
  </si>
  <si>
    <t>O28</t>
  </si>
  <si>
    <t>O29</t>
  </si>
  <si>
    <t>MT12</t>
  </si>
  <si>
    <t>O30</t>
  </si>
  <si>
    <t>O31</t>
  </si>
  <si>
    <t>N9</t>
  </si>
  <si>
    <t>MT13</t>
  </si>
  <si>
    <t>MT14</t>
  </si>
  <si>
    <t>O32</t>
  </si>
  <si>
    <t>O33</t>
  </si>
  <si>
    <t>N10</t>
  </si>
  <si>
    <t>O34</t>
  </si>
  <si>
    <t>O35</t>
  </si>
  <si>
    <t>MT17</t>
  </si>
  <si>
    <t>O36</t>
  </si>
  <si>
    <t>MT19</t>
  </si>
  <si>
    <t>YK1510</t>
  </si>
  <si>
    <t>YK1513</t>
  </si>
  <si>
    <t>YK1603</t>
  </si>
  <si>
    <t>YK1606</t>
  </si>
  <si>
    <t>YK1608</t>
  </si>
  <si>
    <t>YK1611</t>
  </si>
  <si>
    <t>YK1703</t>
  </si>
  <si>
    <t>YK1705</t>
  </si>
  <si>
    <t>YK1708</t>
  </si>
  <si>
    <t>N13</t>
  </si>
  <si>
    <t>Y2</t>
  </si>
  <si>
    <t>Y3</t>
  </si>
  <si>
    <t>Y5</t>
  </si>
  <si>
    <t>Y6</t>
  </si>
  <si>
    <t>Y8</t>
  </si>
  <si>
    <t>Y9</t>
  </si>
  <si>
    <t>Y11</t>
  </si>
  <si>
    <t>Y12</t>
  </si>
  <si>
    <t>Y15</t>
  </si>
  <si>
    <t>Y35</t>
  </si>
  <si>
    <t>Y17</t>
  </si>
  <si>
    <t>Y18</t>
  </si>
  <si>
    <t>Y20</t>
  </si>
  <si>
    <t>Y21</t>
  </si>
  <si>
    <t>MT4_N3</t>
    <phoneticPr fontId="3"/>
  </si>
  <si>
    <t>O18_MT5</t>
    <phoneticPr fontId="3"/>
  </si>
  <si>
    <t>Cruise</t>
    <phoneticPr fontId="3"/>
  </si>
  <si>
    <t>Tottori1609</t>
    <phoneticPr fontId="3"/>
  </si>
  <si>
    <t>Tottori1611</t>
    <phoneticPr fontId="3"/>
  </si>
  <si>
    <t>Tottori1703</t>
    <phoneticPr fontId="3"/>
  </si>
  <si>
    <t>Tottori1709</t>
    <phoneticPr fontId="3"/>
  </si>
  <si>
    <t>Tottori1706</t>
    <phoneticPr fontId="3"/>
  </si>
  <si>
    <t>Tottori1711</t>
    <phoneticPr fontId="3"/>
  </si>
  <si>
    <t>Shimane1611</t>
    <phoneticPr fontId="3"/>
  </si>
  <si>
    <t>Toyama2016</t>
    <phoneticPr fontId="3"/>
  </si>
  <si>
    <t>Toyama2017</t>
    <phoneticPr fontId="3"/>
  </si>
  <si>
    <t>Shimane1707</t>
    <phoneticPr fontId="3"/>
  </si>
  <si>
    <t>SHU1702L1</t>
  </si>
  <si>
    <t>SHU1702L2</t>
  </si>
  <si>
    <t>SHU1702L3</t>
  </si>
  <si>
    <t>MT19_N12</t>
    <phoneticPr fontId="3"/>
  </si>
  <si>
    <t>MT1_MT2</t>
    <phoneticPr fontId="3"/>
  </si>
  <si>
    <t>14_5</t>
  </si>
  <si>
    <t>15_3</t>
  </si>
  <si>
    <t>15_5</t>
  </si>
  <si>
    <t>16_1</t>
  </si>
  <si>
    <t>X1</t>
  </si>
  <si>
    <t>X2</t>
  </si>
  <si>
    <t>X3</t>
  </si>
  <si>
    <t>X4</t>
  </si>
  <si>
    <t>A8</t>
  </si>
  <si>
    <t>A7</t>
  </si>
  <si>
    <t>A5</t>
  </si>
  <si>
    <t>A4</t>
  </si>
  <si>
    <t>A2</t>
  </si>
  <si>
    <t>B6-a</t>
  </si>
  <si>
    <t>B6-b</t>
  </si>
  <si>
    <t>B9</t>
  </si>
  <si>
    <t>B7</t>
  </si>
  <si>
    <t>B8</t>
  </si>
  <si>
    <t>B5</t>
  </si>
  <si>
    <t>B4</t>
  </si>
  <si>
    <t>B3</t>
  </si>
  <si>
    <t>B2</t>
  </si>
  <si>
    <t>C4</t>
  </si>
  <si>
    <t>C3</t>
  </si>
  <si>
    <t>C2</t>
  </si>
  <si>
    <t>C5</t>
  </si>
  <si>
    <t>D5</t>
  </si>
  <si>
    <t>D4</t>
  </si>
  <si>
    <t>D3</t>
  </si>
  <si>
    <t>D2</t>
  </si>
  <si>
    <t>E5</t>
  </si>
  <si>
    <t>E4</t>
  </si>
  <si>
    <t>E3</t>
  </si>
  <si>
    <t>E2</t>
  </si>
  <si>
    <t>27_3</t>
  </si>
  <si>
    <t>33_1</t>
  </si>
  <si>
    <t>N01</t>
  </si>
  <si>
    <t>MT01</t>
  </si>
  <si>
    <t>MT02</t>
  </si>
  <si>
    <t>MT03</t>
  </si>
  <si>
    <t>MT04</t>
  </si>
  <si>
    <t>N02</t>
  </si>
  <si>
    <t>N03</t>
  </si>
  <si>
    <t>MT07</t>
  </si>
  <si>
    <t>MT08</t>
  </si>
  <si>
    <t>M04</t>
  </si>
  <si>
    <t>N04</t>
  </si>
  <si>
    <t>MT09</t>
  </si>
  <si>
    <t>N05</t>
  </si>
  <si>
    <t>N06</t>
  </si>
  <si>
    <t>MT11</t>
  </si>
  <si>
    <t>N07_MT12</t>
  </si>
  <si>
    <t>N08</t>
  </si>
  <si>
    <t>MT15</t>
  </si>
  <si>
    <t>N09</t>
  </si>
  <si>
    <t>MT16</t>
  </si>
  <si>
    <t>N11</t>
  </si>
  <si>
    <t>MT18</t>
  </si>
  <si>
    <t>N12</t>
  </si>
  <si>
    <t>MT20</t>
  </si>
  <si>
    <t>MT21</t>
  </si>
  <si>
    <t>MT22</t>
  </si>
  <si>
    <t>MT23</t>
  </si>
  <si>
    <t>N14_MT24</t>
  </si>
  <si>
    <t>MT25</t>
  </si>
  <si>
    <t>N15</t>
  </si>
  <si>
    <t>MT26</t>
  </si>
  <si>
    <t>N16</t>
  </si>
  <si>
    <t>C6</t>
  </si>
  <si>
    <t>B3_B4</t>
  </si>
  <si>
    <t>B5_B6</t>
  </si>
  <si>
    <t>A1</t>
  </si>
  <si>
    <t>C1</t>
  </si>
  <si>
    <t>B11_B12</t>
  </si>
  <si>
    <t>B13_B14</t>
  </si>
  <si>
    <t>B15_B16</t>
  </si>
  <si>
    <t>B17_B18</t>
  </si>
  <si>
    <t>B19_B20</t>
  </si>
  <si>
    <t>B21_B22</t>
  </si>
  <si>
    <t>B23_B24</t>
  </si>
  <si>
    <t>N44</t>
  </si>
  <si>
    <t>N43</t>
  </si>
  <si>
    <t>N42</t>
  </si>
  <si>
    <t>N41</t>
  </si>
  <si>
    <t>B6</t>
  </si>
  <si>
    <t>N64</t>
  </si>
  <si>
    <t>N63</t>
  </si>
  <si>
    <t>N62</t>
  </si>
  <si>
    <t>N61</t>
  </si>
  <si>
    <t>25_2</t>
  </si>
  <si>
    <t>31_4</t>
  </si>
  <si>
    <t>MT03_N02</t>
  </si>
  <si>
    <t>MT05_N03</t>
  </si>
  <si>
    <t>MT07_N04</t>
  </si>
  <si>
    <t>MT13_N7</t>
  </si>
  <si>
    <t>MT24_N14</t>
  </si>
  <si>
    <t>Year</t>
    <phoneticPr fontId="3"/>
  </si>
  <si>
    <t>Month</t>
    <phoneticPr fontId="3"/>
  </si>
  <si>
    <t>Day</t>
    <phoneticPr fontId="3"/>
  </si>
  <si>
    <t>PI</t>
    <phoneticPr fontId="3"/>
  </si>
  <si>
    <t>Kodama</t>
    <phoneticPr fontId="3"/>
  </si>
  <si>
    <t>Kitajima</t>
    <phoneticPr fontId="3"/>
  </si>
  <si>
    <t>Ishibashi</t>
    <phoneticPr fontId="3"/>
  </si>
  <si>
    <t>Tanaka</t>
    <phoneticPr fontId="3"/>
  </si>
  <si>
    <t>Shimane</t>
    <phoneticPr fontId="3"/>
  </si>
  <si>
    <t>Nanjo</t>
    <phoneticPr fontId="3"/>
  </si>
  <si>
    <t>YK1712</t>
    <phoneticPr fontId="3"/>
  </si>
  <si>
    <t>Time</t>
    <phoneticPr fontId="3"/>
  </si>
  <si>
    <t>NA</t>
    <phoneticPr fontId="3"/>
  </si>
  <si>
    <t>YK1801</t>
    <phoneticPr fontId="3"/>
  </si>
  <si>
    <t>61_3</t>
    <phoneticPr fontId="3"/>
  </si>
  <si>
    <t>Bottle</t>
    <phoneticPr fontId="3"/>
  </si>
  <si>
    <t>84_2</t>
    <phoneticPr fontId="3"/>
  </si>
  <si>
    <t>Toyama2015</t>
    <phoneticPr fontId="3"/>
  </si>
  <si>
    <t>MT05_MT06</t>
    <phoneticPr fontId="3"/>
  </si>
  <si>
    <t>YK1803</t>
    <phoneticPr fontId="3"/>
  </si>
  <si>
    <t>A2</t>
    <phoneticPr fontId="3"/>
  </si>
  <si>
    <t>A3</t>
    <phoneticPr fontId="3"/>
  </si>
  <si>
    <t>A4</t>
    <phoneticPr fontId="3"/>
  </si>
  <si>
    <t>A5</t>
    <phoneticPr fontId="3"/>
  </si>
  <si>
    <t>A6</t>
    <phoneticPr fontId="3"/>
  </si>
  <si>
    <t>A7</t>
    <phoneticPr fontId="3"/>
  </si>
  <si>
    <t>A8</t>
    <phoneticPr fontId="3"/>
  </si>
  <si>
    <t>A9</t>
    <phoneticPr fontId="3"/>
  </si>
  <si>
    <t>B2</t>
    <phoneticPr fontId="3"/>
  </si>
  <si>
    <t>B3</t>
    <phoneticPr fontId="3"/>
  </si>
  <si>
    <t>B4</t>
    <phoneticPr fontId="3"/>
  </si>
  <si>
    <t>B5</t>
    <phoneticPr fontId="3"/>
  </si>
  <si>
    <t>B6</t>
    <phoneticPr fontId="3"/>
  </si>
  <si>
    <t>B7</t>
    <phoneticPr fontId="3"/>
  </si>
  <si>
    <t>B8</t>
    <phoneticPr fontId="3"/>
  </si>
  <si>
    <t>C2</t>
    <phoneticPr fontId="3"/>
  </si>
  <si>
    <t>C3</t>
    <phoneticPr fontId="3"/>
  </si>
  <si>
    <t>C4</t>
    <phoneticPr fontId="3"/>
  </si>
  <si>
    <t>C4_D5_S</t>
    <phoneticPr fontId="3"/>
  </si>
  <si>
    <t>C5</t>
    <phoneticPr fontId="3"/>
  </si>
  <si>
    <t>D2</t>
    <phoneticPr fontId="3"/>
  </si>
  <si>
    <t>D2_E2_N</t>
    <phoneticPr fontId="3"/>
  </si>
  <si>
    <t>D2_E2_S</t>
    <phoneticPr fontId="3"/>
  </si>
  <si>
    <t>D3</t>
    <phoneticPr fontId="3"/>
  </si>
  <si>
    <t>D4</t>
    <phoneticPr fontId="3"/>
  </si>
  <si>
    <t>D5</t>
    <phoneticPr fontId="3"/>
  </si>
  <si>
    <t>E2</t>
    <phoneticPr fontId="3"/>
  </si>
  <si>
    <t>E3</t>
    <phoneticPr fontId="3"/>
  </si>
  <si>
    <t>E4</t>
    <phoneticPr fontId="3"/>
  </si>
  <si>
    <t>E5</t>
    <phoneticPr fontId="3"/>
  </si>
  <si>
    <t>N41</t>
    <phoneticPr fontId="3"/>
  </si>
  <si>
    <t>N42</t>
    <phoneticPr fontId="3"/>
  </si>
  <si>
    <t>N43</t>
    <phoneticPr fontId="3"/>
  </si>
  <si>
    <t>N44</t>
    <phoneticPr fontId="3"/>
  </si>
  <si>
    <t>N61</t>
    <phoneticPr fontId="3"/>
  </si>
  <si>
    <t>N61_C2_N</t>
    <phoneticPr fontId="3"/>
  </si>
  <si>
    <t>N61_C2_S</t>
    <phoneticPr fontId="3"/>
  </si>
  <si>
    <t>N62</t>
    <phoneticPr fontId="3"/>
  </si>
  <si>
    <t>N63</t>
    <phoneticPr fontId="3"/>
  </si>
  <si>
    <t>N64</t>
    <phoneticPr fontId="3"/>
  </si>
  <si>
    <t>Toyama2018</t>
  </si>
  <si>
    <t>T1</t>
  </si>
  <si>
    <t>T2</t>
  </si>
  <si>
    <t>T3</t>
  </si>
  <si>
    <t>T4</t>
  </si>
  <si>
    <t>T5</t>
  </si>
  <si>
    <t>T6</t>
  </si>
  <si>
    <t>A01</t>
  </si>
  <si>
    <t>A02</t>
  </si>
  <si>
    <t>A03</t>
  </si>
  <si>
    <t>A04</t>
  </si>
  <si>
    <t>A05</t>
  </si>
  <si>
    <t>A06</t>
  </si>
  <si>
    <t>A07</t>
  </si>
  <si>
    <t>A08</t>
  </si>
  <si>
    <t>A09</t>
  </si>
  <si>
    <t>A14</t>
  </si>
  <si>
    <t>A15</t>
  </si>
  <si>
    <t>A17</t>
  </si>
  <si>
    <t>A18</t>
  </si>
  <si>
    <t>A20</t>
  </si>
  <si>
    <t>A21</t>
  </si>
  <si>
    <t>A23</t>
  </si>
  <si>
    <t>A24</t>
  </si>
  <si>
    <t>A25</t>
  </si>
  <si>
    <t>A26</t>
  </si>
  <si>
    <t>A28</t>
  </si>
  <si>
    <t>A29</t>
  </si>
  <si>
    <t>A31</t>
  </si>
  <si>
    <t>C03</t>
  </si>
  <si>
    <t>C04</t>
  </si>
  <si>
    <t>C05</t>
  </si>
  <si>
    <t>C06</t>
  </si>
  <si>
    <t>C09</t>
  </si>
  <si>
    <t>C23</t>
  </si>
  <si>
    <t>C31</t>
  </si>
  <si>
    <t>C32</t>
  </si>
  <si>
    <t>C35</t>
  </si>
  <si>
    <t>C36</t>
  </si>
  <si>
    <t>C37</t>
  </si>
  <si>
    <t>C38</t>
  </si>
  <si>
    <t>C39</t>
  </si>
  <si>
    <t>C40</t>
  </si>
  <si>
    <t>C41</t>
  </si>
  <si>
    <t>C43</t>
  </si>
  <si>
    <t>C44</t>
  </si>
  <si>
    <t>C45</t>
  </si>
  <si>
    <t>C46</t>
  </si>
  <si>
    <t>C47</t>
  </si>
  <si>
    <t>C48</t>
  </si>
  <si>
    <t>C49</t>
  </si>
  <si>
    <t>D11</t>
  </si>
  <si>
    <t>D12</t>
  </si>
  <si>
    <t>D14</t>
  </si>
  <si>
    <t>D15</t>
  </si>
  <si>
    <t>D16</t>
  </si>
  <si>
    <t>D17</t>
  </si>
  <si>
    <t>SHU1803</t>
  </si>
  <si>
    <t>Kodama</t>
  </si>
  <si>
    <t>C07</t>
  </si>
  <si>
    <t>C08</t>
  </si>
  <si>
    <t>C19</t>
  </si>
  <si>
    <t>C21</t>
  </si>
  <si>
    <t>C22</t>
  </si>
  <si>
    <t>C24</t>
  </si>
  <si>
    <t>C28</t>
  </si>
  <si>
    <t>C29</t>
  </si>
  <si>
    <t>C30</t>
  </si>
  <si>
    <t>D01</t>
  </si>
  <si>
    <t>D01E</t>
  </si>
  <si>
    <t>D02</t>
  </si>
  <si>
    <t>D02E</t>
  </si>
  <si>
    <t>D03</t>
  </si>
  <si>
    <t>D03E</t>
  </si>
  <si>
    <t>D04</t>
  </si>
  <si>
    <t>D09E</t>
  </si>
  <si>
    <t>D10</t>
  </si>
  <si>
    <t>D10E</t>
  </si>
  <si>
    <t>D11E</t>
  </si>
  <si>
    <t>D14E</t>
  </si>
  <si>
    <t>D16E</t>
  </si>
  <si>
    <t>D17E</t>
  </si>
  <si>
    <t>HK1806</t>
  </si>
  <si>
    <t>NJS01</t>
  </si>
  <si>
    <t>NJS02</t>
  </si>
  <si>
    <t>NJS03</t>
  </si>
  <si>
    <t>NJS04</t>
  </si>
  <si>
    <t>NJS05</t>
  </si>
  <si>
    <t>NJS06</t>
  </si>
  <si>
    <t>NJS07</t>
  </si>
  <si>
    <t>NJS08</t>
  </si>
  <si>
    <t>D5KY1805</t>
  </si>
  <si>
    <t>J33</t>
  </si>
  <si>
    <t>HK1802</t>
  </si>
  <si>
    <t>S09</t>
  </si>
  <si>
    <t>S08</t>
  </si>
  <si>
    <t>S07</t>
  </si>
  <si>
    <t>S06</t>
  </si>
  <si>
    <t>S05</t>
  </si>
  <si>
    <t>S04</t>
  </si>
  <si>
    <t>S03</t>
  </si>
  <si>
    <t>S02</t>
  </si>
  <si>
    <t>S01</t>
  </si>
  <si>
    <t>YK1805</t>
    <phoneticPr fontId="3"/>
  </si>
  <si>
    <t>YK1808</t>
    <phoneticPr fontId="3"/>
  </si>
  <si>
    <t>N1</t>
  </si>
  <si>
    <t>Kitajima_Yasuda</t>
    <phoneticPr fontId="3"/>
  </si>
  <si>
    <t>N2</t>
  </si>
  <si>
    <t>MT24</t>
  </si>
  <si>
    <t>MT27</t>
  </si>
  <si>
    <t>MT28</t>
  </si>
  <si>
    <t>MT29</t>
  </si>
  <si>
    <t>MT30</t>
  </si>
  <si>
    <t>YK1810</t>
    <phoneticPr fontId="3"/>
  </si>
  <si>
    <t>N3</t>
  </si>
  <si>
    <t>N4</t>
  </si>
  <si>
    <t>O01</t>
    <phoneticPr fontId="3"/>
  </si>
  <si>
    <t>O02</t>
    <phoneticPr fontId="3"/>
  </si>
  <si>
    <t>O03</t>
    <phoneticPr fontId="3"/>
  </si>
  <si>
    <t>O04</t>
    <phoneticPr fontId="3"/>
  </si>
  <si>
    <t>O05</t>
  </si>
  <si>
    <t>O06</t>
  </si>
  <si>
    <t>O07</t>
  </si>
  <si>
    <t>O08</t>
  </si>
  <si>
    <t>O09</t>
  </si>
  <si>
    <t>MT05</t>
  </si>
  <si>
    <t>MT06</t>
  </si>
  <si>
    <t>Toyama2019</t>
    <phoneticPr fontId="3"/>
  </si>
  <si>
    <t>T7</t>
    <phoneticPr fontId="3"/>
  </si>
  <si>
    <t>T6</t>
    <phoneticPr fontId="3"/>
  </si>
  <si>
    <t>T5</t>
    <phoneticPr fontId="3"/>
  </si>
  <si>
    <t>T3</t>
    <phoneticPr fontId="3"/>
  </si>
  <si>
    <t>Seto</t>
    <phoneticPr fontId="3"/>
  </si>
  <si>
    <t>Shimane1905</t>
    <phoneticPr fontId="3"/>
  </si>
  <si>
    <t>YK1812</t>
    <phoneticPr fontId="3"/>
  </si>
  <si>
    <t>YK1812</t>
  </si>
  <si>
    <t>60_2</t>
    <phoneticPr fontId="3"/>
  </si>
  <si>
    <t>81_2</t>
    <phoneticPr fontId="3"/>
  </si>
  <si>
    <t>89_2</t>
    <phoneticPr fontId="3"/>
  </si>
  <si>
    <t>YK1901</t>
    <phoneticPr fontId="3"/>
  </si>
  <si>
    <t>YK1903</t>
    <phoneticPr fontId="3"/>
  </si>
  <si>
    <t>YK1905</t>
    <phoneticPr fontId="3"/>
  </si>
  <si>
    <t>30_3</t>
  </si>
  <si>
    <t>HK1902</t>
  </si>
  <si>
    <t>SI01</t>
  </si>
  <si>
    <t>SI02</t>
  </si>
  <si>
    <t>SI03</t>
  </si>
  <si>
    <t>SI04</t>
  </si>
  <si>
    <t>SI08</t>
  </si>
  <si>
    <t>SI09</t>
  </si>
  <si>
    <t>SI06</t>
  </si>
  <si>
    <t>SI07</t>
  </si>
  <si>
    <t>SHU1901</t>
  </si>
  <si>
    <t>SI05</t>
  </si>
  <si>
    <t>D6KY1906</t>
  </si>
  <si>
    <t>TY1915</t>
  </si>
  <si>
    <t>MT1</t>
  </si>
  <si>
    <t>MT2</t>
  </si>
  <si>
    <t>MT4</t>
  </si>
  <si>
    <t>MT5</t>
  </si>
  <si>
    <t>N7</t>
  </si>
  <si>
    <t>N8</t>
  </si>
  <si>
    <t>N14</t>
  </si>
  <si>
    <t>YK1907</t>
    <phoneticPr fontId="3"/>
  </si>
  <si>
    <t>N5_MT9</t>
    <phoneticPr fontId="3"/>
  </si>
  <si>
    <t>Kitajima_Yasuda</t>
  </si>
  <si>
    <t>NA</t>
  </si>
  <si>
    <t>Transect</t>
    <phoneticPr fontId="3"/>
  </si>
  <si>
    <t>Toyama</t>
    <phoneticPr fontId="3"/>
  </si>
  <si>
    <t>Tsushima</t>
  </si>
  <si>
    <t>Tsushima</t>
    <phoneticPr fontId="3"/>
  </si>
  <si>
    <t>CK</t>
  </si>
  <si>
    <t>CK</t>
    <phoneticPr fontId="3"/>
  </si>
  <si>
    <t>Yamato</t>
  </si>
  <si>
    <t>Yamato</t>
    <phoneticPr fontId="3"/>
  </si>
  <si>
    <t>sECS</t>
  </si>
  <si>
    <t>sECS</t>
    <phoneticPr fontId="3"/>
  </si>
  <si>
    <t>nECS</t>
  </si>
  <si>
    <t>nECS</t>
    <phoneticPr fontId="3"/>
  </si>
  <si>
    <t>SI</t>
    <phoneticPr fontId="3"/>
  </si>
  <si>
    <t>Shimane&amp;Tottori</t>
    <phoneticPr fontId="3"/>
  </si>
  <si>
    <t>SI</t>
  </si>
  <si>
    <t>Pacific</t>
    <phoneticPr fontId="3"/>
  </si>
  <si>
    <t>Nansei</t>
    <phoneticPr fontId="3"/>
  </si>
  <si>
    <t>Pacific_west</t>
    <phoneticPr fontId="3"/>
  </si>
  <si>
    <t>Shimane1806</t>
    <phoneticPr fontId="3"/>
  </si>
  <si>
    <t>Shimane1808</t>
    <phoneticPr fontId="3"/>
  </si>
  <si>
    <t>Kitajima_Takahashi</t>
    <phoneticPr fontId="3"/>
  </si>
  <si>
    <t>Shimane1704</t>
    <phoneticPr fontId="3"/>
  </si>
  <si>
    <t>Shimane1709</t>
    <phoneticPr fontId="3"/>
  </si>
  <si>
    <t>Shimane1711</t>
    <phoneticPr fontId="3"/>
  </si>
  <si>
    <t>Shimane1803</t>
    <phoneticPr fontId="3"/>
  </si>
  <si>
    <t>Shimane1811</t>
    <phoneticPr fontId="3"/>
  </si>
  <si>
    <t>Shimane1903</t>
    <phoneticPr fontId="3"/>
  </si>
  <si>
    <t>Shimane1906</t>
    <phoneticPr fontId="3"/>
  </si>
  <si>
    <t>Shimane1908</t>
    <phoneticPr fontId="3"/>
  </si>
  <si>
    <t>Shimane1909</t>
    <phoneticPr fontId="3"/>
  </si>
  <si>
    <t>Shimane1910</t>
    <phoneticPr fontId="3"/>
  </si>
  <si>
    <t>Shimane1911</t>
    <phoneticPr fontId="3"/>
  </si>
  <si>
    <t>Shimane1912</t>
    <phoneticPr fontId="3"/>
  </si>
  <si>
    <t>Shimane2004</t>
    <phoneticPr fontId="3"/>
  </si>
  <si>
    <t>Shimane2005</t>
    <phoneticPr fontId="3"/>
  </si>
  <si>
    <t>Shimane2006</t>
    <phoneticPr fontId="3"/>
  </si>
  <si>
    <t>Shimane2008</t>
    <phoneticPr fontId="3"/>
  </si>
  <si>
    <t>Shimane2009</t>
    <phoneticPr fontId="3"/>
  </si>
  <si>
    <t>Tottori1802</t>
    <phoneticPr fontId="3"/>
  </si>
  <si>
    <t>2018/ 2 /27</t>
  </si>
  <si>
    <t>Tottori</t>
    <phoneticPr fontId="3"/>
  </si>
  <si>
    <t>Tottori1803</t>
    <phoneticPr fontId="3"/>
  </si>
  <si>
    <t>2018/ 3 /12</t>
  </si>
  <si>
    <t>Tottori1806</t>
    <phoneticPr fontId="3"/>
  </si>
  <si>
    <t>2018/ 5 /29</t>
  </si>
  <si>
    <t>2018/ 5 /30</t>
  </si>
  <si>
    <t>Tottori1809</t>
    <phoneticPr fontId="3"/>
  </si>
  <si>
    <t>2018/ 9 /12</t>
  </si>
  <si>
    <t>2018/ 9 /13</t>
  </si>
  <si>
    <t>2018/ 9 /14</t>
  </si>
  <si>
    <t>Tottori1811</t>
    <phoneticPr fontId="3"/>
  </si>
  <si>
    <t>2018/ 11 /6</t>
  </si>
  <si>
    <t>2018/ 11 /7</t>
  </si>
  <si>
    <t>Tottori1903</t>
    <phoneticPr fontId="3"/>
  </si>
  <si>
    <t>2019/ 2 /26</t>
  </si>
  <si>
    <t>2019/ 2 /27</t>
  </si>
  <si>
    <t>Tottori1906</t>
    <phoneticPr fontId="3"/>
  </si>
  <si>
    <t>2019/ 5 /30</t>
  </si>
  <si>
    <t>2019/ 5 /31</t>
  </si>
  <si>
    <t>Tottori1909</t>
    <phoneticPr fontId="3"/>
  </si>
  <si>
    <t>2019/ 9 /3</t>
  </si>
  <si>
    <t>Tottori1911</t>
    <phoneticPr fontId="3"/>
  </si>
  <si>
    <t>2019/ 10 /30</t>
  </si>
  <si>
    <t>2019/ 10 /31</t>
  </si>
  <si>
    <t>Tottori2003</t>
    <phoneticPr fontId="3"/>
  </si>
  <si>
    <t>2020/ 2 /26</t>
  </si>
  <si>
    <t>Tottori2009</t>
    <phoneticPr fontId="3"/>
  </si>
  <si>
    <t>2020/ 9 /1</t>
  </si>
  <si>
    <t>MZ-16(NG2016)</t>
  </si>
  <si>
    <t>Noto</t>
  </si>
  <si>
    <t>Goto</t>
  </si>
  <si>
    <t>MZ-17(NG2017)</t>
  </si>
  <si>
    <t>D5KY16</t>
  </si>
  <si>
    <t>Iguchi</t>
  </si>
  <si>
    <t>YK1903L1</t>
  </si>
  <si>
    <t>Vertical</t>
    <phoneticPr fontId="3"/>
  </si>
  <si>
    <t>TargetDepth_m</t>
    <phoneticPr fontId="3"/>
  </si>
  <si>
    <t>s</t>
    <phoneticPr fontId="3"/>
  </si>
  <si>
    <t>NA2</t>
    <phoneticPr fontId="3"/>
  </si>
  <si>
    <t>2021/2/16</t>
  </si>
  <si>
    <t>2021/2/17</t>
  </si>
  <si>
    <t>2021/2/19</t>
  </si>
  <si>
    <t>2021/2/20</t>
  </si>
  <si>
    <t>2021/2/21</t>
  </si>
  <si>
    <t>2021/2/22</t>
  </si>
  <si>
    <t>2021/2/23</t>
  </si>
  <si>
    <t>2021/2/24</t>
  </si>
  <si>
    <t>2021/2/25</t>
  </si>
  <si>
    <t>2021/2/26</t>
  </si>
  <si>
    <t xml:space="preserve">YK2014  </t>
  </si>
  <si>
    <t>2021/2/28</t>
  </si>
  <si>
    <t>2021/3/1</t>
  </si>
  <si>
    <t>2021/3/4</t>
  </si>
  <si>
    <t>2021/3/5</t>
  </si>
  <si>
    <t>2021/3/6</t>
  </si>
  <si>
    <t>2021/3/7</t>
  </si>
  <si>
    <t>2021/3/8</t>
  </si>
  <si>
    <t>2021/4/26</t>
  </si>
  <si>
    <t>2021/4/27</t>
  </si>
  <si>
    <t>2021/4/28</t>
  </si>
  <si>
    <t>2021/4/29</t>
  </si>
  <si>
    <t xml:space="preserve">YK2101 </t>
  </si>
  <si>
    <t>2021/4/25</t>
  </si>
  <si>
    <t>2021/4/30</t>
  </si>
  <si>
    <t>YK2014</t>
  </si>
  <si>
    <t>ECS2021</t>
  </si>
  <si>
    <t>Kitajima</t>
  </si>
  <si>
    <t>60</t>
  </si>
  <si>
    <t>66</t>
  </si>
  <si>
    <t>68-1</t>
  </si>
  <si>
    <t>72</t>
  </si>
  <si>
    <t>81</t>
  </si>
  <si>
    <t>86</t>
  </si>
  <si>
    <t>88</t>
  </si>
  <si>
    <t>89-1</t>
  </si>
  <si>
    <t>90</t>
  </si>
  <si>
    <t>91</t>
  </si>
  <si>
    <t>92</t>
  </si>
  <si>
    <t>YK2101</t>
  </si>
  <si>
    <t>49</t>
  </si>
  <si>
    <t>64</t>
  </si>
  <si>
    <t>70</t>
  </si>
  <si>
    <t>77</t>
  </si>
  <si>
    <t>reference</t>
    <phoneticPr fontId="3"/>
  </si>
  <si>
    <t>Kodama et al. (2024)</t>
    <phoneticPr fontId="3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</si>
</sst>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76" formatCode="0.000_);[Red]\(0.000\)"/>
    <numFmt numFmtId="177" formatCode="0_);[Red]\(0\)"/>
    <numFmt numFmtId="178" formatCode="0.00_);[Red]\(0.00\)"/>
    <numFmt numFmtId="179" formatCode="[$-F400]h:mm:ss\ AM/PM"/>
    <numFmt numFmtId="180" formatCode="0.0_);[Red]\(0.0\)"/>
    <numFmt numFmtId="181" formatCode="0.000"/>
    <numFmt numFmtId="182" formatCode="0_ "/>
  </numFmts>
  <fonts count="24">
    <font>
      <sz val="12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6"/>
      <name val="ＭＳ Ｐゴシック"/>
      <family val="2"/>
      <charset val="128"/>
      <scheme val="minor"/>
    </font>
    <font>
      <u/>
      <sz val="12"/>
      <color theme="10"/>
      <name val="ＭＳ Ｐゴシック"/>
      <family val="2"/>
      <charset val="128"/>
      <scheme val="minor"/>
    </font>
    <font>
      <u/>
      <sz val="12"/>
      <color theme="11"/>
      <name val="ＭＳ Ｐゴシック"/>
      <family val="2"/>
      <charset val="128"/>
      <scheme val="minor"/>
    </font>
    <font>
      <sz val="11"/>
      <color theme="1"/>
      <name val="Arial"/>
      <family val="2"/>
    </font>
    <font>
      <sz val="12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0"/>
      <color theme="1"/>
      <name val="Calibri"/>
      <family val="2"/>
      <charset val="128"/>
    </font>
    <font>
      <sz val="10"/>
      <name val="Calibri"/>
      <family val="2"/>
    </font>
    <font>
      <sz val="10"/>
      <color rgb="FFFF0000"/>
      <name val="Calibri"/>
      <family val="2"/>
    </font>
    <font>
      <sz val="10"/>
      <color theme="1"/>
      <name val="Calibri"/>
      <family val="2"/>
    </font>
    <font>
      <sz val="11"/>
      <name val="ＭＳ Ｐゴシック"/>
      <family val="3"/>
      <charset val="128"/>
    </font>
    <font>
      <b/>
      <sz val="10"/>
      <color rgb="FF000000"/>
      <name val="ＭＳ Ｐゴシック"/>
      <family val="2"/>
      <charset val="128"/>
      <scheme val="minor"/>
    </font>
    <font>
      <b/>
      <sz val="10"/>
      <color rgb="FF000000"/>
      <name val="Yu Gothic UI"/>
      <family val="3"/>
      <charset val="128"/>
    </font>
    <font>
      <b/>
      <sz val="9"/>
      <color indexed="81"/>
      <name val="MS P ゴシック"/>
      <family val="3"/>
      <charset val="128"/>
    </font>
    <font>
      <sz val="9"/>
      <color indexed="81"/>
      <name val="MS P ゴシック"/>
      <family val="3"/>
      <charset val="128"/>
    </font>
    <font>
      <sz val="10"/>
      <name val="Calibri"/>
      <family val="2"/>
      <charset val="128"/>
    </font>
    <font>
      <i/>
      <sz val="10"/>
      <name val="Calibri"/>
      <family val="2"/>
    </font>
    <font>
      <sz val="10"/>
      <color rgb="FF000000"/>
      <name val="Yu Gothic UI"/>
      <family val="3"/>
      <charset val="128"/>
    </font>
    <font>
      <sz val="11"/>
      <color theme="1"/>
      <name val="ＭＳ Ｐゴシック"/>
      <family val="2"/>
      <scheme val="minor"/>
    </font>
    <font>
      <sz val="10"/>
      <color rgb="FF0070C0"/>
      <name val="Calibri"/>
      <family val="2"/>
    </font>
    <font>
      <sz val="10"/>
      <color theme="0" tint="-0.34998626667073579"/>
      <name val="Calibri"/>
      <family val="2"/>
    </font>
  </fonts>
  <fills count="4">
    <fill>
      <patternFill patternType="none"/>
    </fill>
    <fill>
      <patternFill patternType="gray125"/>
    </fill>
    <fill>
      <patternFill patternType="solid">
        <fgColor theme="4" tint="0.79998168889431442"/>
        <bgColor indexed="64"/>
      </patternFill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135">
    <xf numFmtId="0" fontId="0" fillId="0" borderId="0"/>
    <xf numFmtId="0" fontId="4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>
      <alignment vertical="center"/>
    </xf>
    <xf numFmtId="0" fontId="4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8" fillId="0" borderId="0"/>
    <xf numFmtId="0" fontId="7" fillId="0" borderId="0"/>
    <xf numFmtId="0" fontId="9" fillId="0" borderId="0">
      <alignment vertical="center"/>
    </xf>
    <xf numFmtId="0" fontId="13" fillId="0" borderId="0"/>
    <xf numFmtId="0" fontId="8" fillId="0" borderId="0">
      <alignment vertical="center"/>
    </xf>
    <xf numFmtId="0" fontId="6" fillId="0" borderId="0">
      <alignment vertical="center"/>
    </xf>
    <xf numFmtId="0" fontId="21" fillId="0" borderId="0"/>
    <xf numFmtId="0" fontId="2" fillId="0" borderId="0"/>
    <xf numFmtId="0" fontId="2" fillId="0" borderId="0">
      <alignment vertical="center"/>
    </xf>
    <xf numFmtId="0" fontId="2" fillId="0" borderId="0">
      <alignment vertical="center"/>
    </xf>
    <xf numFmtId="0" fontId="1" fillId="0" borderId="0"/>
    <xf numFmtId="0" fontId="1" fillId="0" borderId="0">
      <alignment vertical="center"/>
    </xf>
    <xf numFmtId="0" fontId="7" fillId="0" borderId="0"/>
  </cellStyleXfs>
  <cellXfs count="72">
    <xf numFmtId="0" fontId="0" fillId="0" borderId="0" xfId="0"/>
    <xf numFmtId="0" fontId="10" fillId="0" borderId="0" xfId="0" applyFont="1" applyAlignment="1">
      <alignment horizontal="center" vertical="center"/>
    </xf>
    <xf numFmtId="178" fontId="10" fillId="0" borderId="0" xfId="0" applyNumberFormat="1" applyFont="1" applyAlignment="1">
      <alignment horizontal="center" vertical="center"/>
    </xf>
    <xf numFmtId="176" fontId="10" fillId="0" borderId="0" xfId="0" applyNumberFormat="1" applyFont="1" applyAlignment="1">
      <alignment horizontal="center" vertical="center"/>
    </xf>
    <xf numFmtId="177" fontId="10" fillId="0" borderId="0" xfId="0" applyNumberFormat="1" applyFont="1" applyAlignment="1">
      <alignment horizontal="center" vertical="center"/>
    </xf>
    <xf numFmtId="14" fontId="10" fillId="0" borderId="0" xfId="0" applyNumberFormat="1" applyFont="1" applyAlignment="1">
      <alignment horizontal="center" vertical="center"/>
    </xf>
    <xf numFmtId="179" fontId="12" fillId="0" borderId="0" xfId="0" applyNumberFormat="1" applyFont="1" applyAlignment="1">
      <alignment horizontal="center" vertical="center"/>
    </xf>
    <xf numFmtId="0" fontId="10" fillId="0" borderId="0" xfId="0" applyFont="1" applyAlignment="1">
      <alignment vertical="center"/>
    </xf>
    <xf numFmtId="179" fontId="10" fillId="0" borderId="0" xfId="0" applyNumberFormat="1" applyFont="1" applyAlignment="1">
      <alignment horizontal="center" vertical="center"/>
    </xf>
    <xf numFmtId="177" fontId="10" fillId="0" borderId="0" xfId="0" applyNumberFormat="1" applyFont="1" applyAlignment="1">
      <alignment horizontal="right" vertical="center"/>
    </xf>
    <xf numFmtId="179" fontId="10" fillId="0" borderId="0" xfId="125" applyNumberFormat="1" applyFont="1" applyAlignment="1">
      <alignment horizontal="center" vertical="center" wrapText="1"/>
    </xf>
    <xf numFmtId="176" fontId="10" fillId="0" borderId="0" xfId="0" applyNumberFormat="1" applyFont="1" applyAlignment="1">
      <alignment horizontal="right" vertical="center"/>
    </xf>
    <xf numFmtId="178" fontId="10" fillId="0" borderId="0" xfId="0" applyNumberFormat="1" applyFont="1" applyAlignment="1">
      <alignment horizontal="right" vertical="center"/>
    </xf>
    <xf numFmtId="176" fontId="19" fillId="0" borderId="0" xfId="0" applyNumberFormat="1" applyFont="1" applyAlignment="1">
      <alignment horizontal="right" vertical="center"/>
    </xf>
    <xf numFmtId="0" fontId="10" fillId="2" borderId="0" xfId="0" applyFont="1" applyFill="1"/>
    <xf numFmtId="2" fontId="11" fillId="0" borderId="0" xfId="0" applyNumberFormat="1" applyFont="1" applyAlignment="1">
      <alignment vertical="center"/>
    </xf>
    <xf numFmtId="2" fontId="12" fillId="0" borderId="0" xfId="0" applyNumberFormat="1" applyFont="1" applyAlignment="1">
      <alignment vertical="center"/>
    </xf>
    <xf numFmtId="0" fontId="10" fillId="0" borderId="0" xfId="0" applyFont="1"/>
    <xf numFmtId="0" fontId="10" fillId="0" borderId="0" xfId="122" applyFont="1" applyAlignment="1">
      <alignment horizontal="center" vertical="center"/>
    </xf>
    <xf numFmtId="0" fontId="10" fillId="0" borderId="0" xfId="0" applyFont="1" applyAlignment="1">
      <alignment horizontal="center"/>
    </xf>
    <xf numFmtId="2" fontId="10" fillId="0" borderId="0" xfId="0" applyNumberFormat="1" applyFont="1"/>
    <xf numFmtId="178" fontId="10" fillId="0" borderId="0" xfId="15" applyNumberFormat="1" applyFont="1" applyAlignment="1">
      <alignment horizontal="right" vertical="center"/>
    </xf>
    <xf numFmtId="176" fontId="10" fillId="0" borderId="0" xfId="15" applyNumberFormat="1" applyFont="1" applyAlignment="1">
      <alignment horizontal="right" vertical="center"/>
    </xf>
    <xf numFmtId="2" fontId="10" fillId="0" borderId="0" xfId="15" applyNumberFormat="1" applyFont="1">
      <alignment vertical="center"/>
    </xf>
    <xf numFmtId="176" fontId="10" fillId="0" borderId="0" xfId="15" applyNumberFormat="1" applyFont="1">
      <alignment vertical="center"/>
    </xf>
    <xf numFmtId="14" fontId="10" fillId="0" borderId="0" xfId="15" applyNumberFormat="1" applyFont="1" applyAlignment="1">
      <alignment horizontal="center" vertical="center"/>
    </xf>
    <xf numFmtId="0" fontId="10" fillId="0" borderId="0" xfId="15" applyFont="1" applyAlignment="1">
      <alignment horizontal="center" vertical="center"/>
    </xf>
    <xf numFmtId="177" fontId="10" fillId="0" borderId="0" xfId="15" applyNumberFormat="1" applyFont="1" applyAlignment="1">
      <alignment horizontal="right" vertical="center"/>
    </xf>
    <xf numFmtId="177" fontId="10" fillId="0" borderId="0" xfId="0" applyNumberFormat="1" applyFont="1" applyAlignment="1">
      <alignment horizontal="right"/>
    </xf>
    <xf numFmtId="179" fontId="10" fillId="0" borderId="0" xfId="0" applyNumberFormat="1" applyFont="1" applyAlignment="1">
      <alignment horizontal="center"/>
    </xf>
    <xf numFmtId="177" fontId="10" fillId="0" borderId="0" xfId="0" applyNumberFormat="1" applyFont="1" applyAlignment="1">
      <alignment horizontal="center"/>
    </xf>
    <xf numFmtId="2" fontId="10" fillId="0" borderId="0" xfId="0" applyNumberFormat="1" applyFont="1" applyAlignment="1">
      <alignment vertical="center"/>
    </xf>
    <xf numFmtId="180" fontId="10" fillId="0" borderId="0" xfId="0" applyNumberFormat="1" applyFont="1" applyAlignment="1">
      <alignment horizontal="right" vertical="center"/>
    </xf>
    <xf numFmtId="2" fontId="10" fillId="0" borderId="0" xfId="0" applyNumberFormat="1" applyFont="1" applyAlignment="1">
      <alignment horizontal="right" vertical="center"/>
    </xf>
    <xf numFmtId="14" fontId="10" fillId="0" borderId="0" xfId="0" applyNumberFormat="1" applyFont="1" applyAlignment="1">
      <alignment horizontal="center"/>
    </xf>
    <xf numFmtId="176" fontId="10" fillId="0" borderId="0" xfId="0" applyNumberFormat="1" applyFont="1" applyAlignment="1">
      <alignment horizontal="right"/>
    </xf>
    <xf numFmtId="178" fontId="10" fillId="0" borderId="0" xfId="0" applyNumberFormat="1" applyFont="1" applyAlignment="1">
      <alignment horizontal="right"/>
    </xf>
    <xf numFmtId="2" fontId="18" fillId="0" borderId="0" xfId="124" applyNumberFormat="1" applyFont="1">
      <alignment vertical="center"/>
    </xf>
    <xf numFmtId="2" fontId="10" fillId="0" borderId="0" xfId="124" applyNumberFormat="1" applyFont="1">
      <alignment vertical="center"/>
    </xf>
    <xf numFmtId="0" fontId="10" fillId="0" borderId="0" xfId="127" applyFont="1" applyAlignment="1">
      <alignment horizontal="center" vertical="center"/>
    </xf>
    <xf numFmtId="14" fontId="10" fillId="0" borderId="0" xfId="127" applyNumberFormat="1" applyFont="1" applyAlignment="1">
      <alignment horizontal="center" vertical="center"/>
    </xf>
    <xf numFmtId="176" fontId="10" fillId="0" borderId="0" xfId="127" applyNumberFormat="1" applyFont="1" applyAlignment="1">
      <alignment horizontal="right" vertical="center"/>
    </xf>
    <xf numFmtId="177" fontId="10" fillId="0" borderId="0" xfId="127" applyNumberFormat="1" applyFont="1" applyAlignment="1">
      <alignment horizontal="right" vertical="center"/>
    </xf>
    <xf numFmtId="178" fontId="10" fillId="0" borderId="0" xfId="127" applyNumberFormat="1" applyFont="1" applyAlignment="1">
      <alignment horizontal="right" vertical="center"/>
    </xf>
    <xf numFmtId="176" fontId="10" fillId="0" borderId="0" xfId="127" applyNumberFormat="1" applyFont="1">
      <alignment vertical="center"/>
    </xf>
    <xf numFmtId="2" fontId="10" fillId="0" borderId="0" xfId="0" applyNumberFormat="1" applyFont="1" applyAlignment="1">
      <alignment horizontal="right"/>
    </xf>
    <xf numFmtId="181" fontId="10" fillId="0" borderId="0" xfId="0" applyNumberFormat="1" applyFont="1"/>
    <xf numFmtId="0" fontId="22" fillId="0" borderId="0" xfId="0" applyFont="1" applyAlignment="1">
      <alignment horizontal="center" vertical="center"/>
    </xf>
    <xf numFmtId="14" fontId="22" fillId="0" borderId="0" xfId="0" applyNumberFormat="1" applyFont="1" applyAlignment="1">
      <alignment horizontal="center" vertical="center"/>
    </xf>
    <xf numFmtId="177" fontId="22" fillId="0" borderId="0" xfId="0" applyNumberFormat="1" applyFont="1" applyAlignment="1">
      <alignment horizontal="center" vertical="center"/>
    </xf>
    <xf numFmtId="179" fontId="22" fillId="0" borderId="0" xfId="0" applyNumberFormat="1" applyFont="1" applyAlignment="1">
      <alignment horizontal="center" vertical="center"/>
    </xf>
    <xf numFmtId="176" fontId="22" fillId="0" borderId="0" xfId="0" applyNumberFormat="1" applyFont="1" applyAlignment="1">
      <alignment horizontal="right" vertical="center"/>
    </xf>
    <xf numFmtId="177" fontId="22" fillId="0" borderId="0" xfId="0" applyNumberFormat="1" applyFont="1" applyAlignment="1">
      <alignment horizontal="right" vertical="center"/>
    </xf>
    <xf numFmtId="178" fontId="22" fillId="0" borderId="0" xfId="0" applyNumberFormat="1" applyFont="1" applyAlignment="1">
      <alignment horizontal="right" vertical="center"/>
    </xf>
    <xf numFmtId="2" fontId="22" fillId="0" borderId="0" xfId="0" applyNumberFormat="1" applyFont="1" applyAlignment="1">
      <alignment vertical="center"/>
    </xf>
    <xf numFmtId="0" fontId="22" fillId="0" borderId="0" xfId="0" applyFont="1" applyAlignment="1">
      <alignment vertical="center"/>
    </xf>
    <xf numFmtId="176" fontId="22" fillId="3" borderId="0" xfId="0" applyNumberFormat="1" applyFont="1" applyFill="1" applyAlignment="1">
      <alignment horizontal="right" vertical="center"/>
    </xf>
    <xf numFmtId="182" fontId="0" fillId="0" borderId="0" xfId="0" applyNumberFormat="1"/>
    <xf numFmtId="0" fontId="10" fillId="3" borderId="0" xfId="0" applyFont="1" applyFill="1" applyAlignment="1">
      <alignment horizontal="center"/>
    </xf>
    <xf numFmtId="14" fontId="10" fillId="3" borderId="0" xfId="0" applyNumberFormat="1" applyFont="1" applyFill="1" applyAlignment="1">
      <alignment horizontal="center"/>
    </xf>
    <xf numFmtId="177" fontId="10" fillId="3" borderId="0" xfId="0" applyNumberFormat="1" applyFont="1" applyFill="1" applyAlignment="1">
      <alignment horizontal="center"/>
    </xf>
    <xf numFmtId="179" fontId="10" fillId="3" borderId="0" xfId="0" applyNumberFormat="1" applyFont="1" applyFill="1" applyAlignment="1">
      <alignment horizontal="center"/>
    </xf>
    <xf numFmtId="176" fontId="10" fillId="3" borderId="0" xfId="0" applyNumberFormat="1" applyFont="1" applyFill="1" applyAlignment="1">
      <alignment horizontal="right"/>
    </xf>
    <xf numFmtId="177" fontId="10" fillId="3" borderId="0" xfId="0" applyNumberFormat="1" applyFont="1" applyFill="1" applyAlignment="1">
      <alignment horizontal="right"/>
    </xf>
    <xf numFmtId="2" fontId="10" fillId="3" borderId="0" xfId="0" applyNumberFormat="1" applyFont="1" applyFill="1"/>
    <xf numFmtId="0" fontId="10" fillId="3" borderId="0" xfId="15" applyFont="1" applyFill="1" applyAlignment="1">
      <alignment horizontal="center" vertical="center"/>
    </xf>
    <xf numFmtId="0" fontId="10" fillId="3" borderId="0" xfId="0" applyFont="1" applyFill="1"/>
    <xf numFmtId="177" fontId="11" fillId="3" borderId="0" xfId="0" applyNumberFormat="1" applyFont="1" applyFill="1" applyAlignment="1">
      <alignment horizontal="right"/>
    </xf>
    <xf numFmtId="178" fontId="11" fillId="3" borderId="0" xfId="0" applyNumberFormat="1" applyFont="1" applyFill="1" applyAlignment="1">
      <alignment horizontal="right"/>
    </xf>
    <xf numFmtId="176" fontId="11" fillId="3" borderId="0" xfId="0" applyNumberFormat="1" applyFont="1" applyFill="1" applyAlignment="1">
      <alignment horizontal="right"/>
    </xf>
    <xf numFmtId="0" fontId="11" fillId="3" borderId="0" xfId="0" applyFont="1" applyFill="1" applyAlignment="1">
      <alignment horizontal="center" vertical="center"/>
    </xf>
    <xf numFmtId="0" fontId="23" fillId="0" borderId="0" xfId="15" applyFont="1" applyAlignment="1">
      <alignment horizontal="center" vertical="center"/>
    </xf>
  </cellXfs>
  <cellStyles count="135">
    <cellStyle name="ハイパーリンク" xfId="1" builtinId="8" hidden="1"/>
    <cellStyle name="ハイパーリンク" xfId="3" builtinId="8" hidden="1"/>
    <cellStyle name="ハイパーリンク" xfId="5" builtinId="8" hidden="1"/>
    <cellStyle name="ハイパーリンク" xfId="7" builtinId="8" hidden="1"/>
    <cellStyle name="ハイパーリンク" xfId="9" builtinId="8" hidden="1"/>
    <cellStyle name="ハイパーリンク" xfId="11" builtinId="8" hidden="1"/>
    <cellStyle name="ハイパーリンク" xfId="13" builtinId="8" hidden="1"/>
    <cellStyle name="ハイパーリンク" xfId="16" builtinId="8" hidden="1"/>
    <cellStyle name="ハイパーリンク" xfId="18" builtinId="8" hidden="1"/>
    <cellStyle name="ハイパーリンク" xfId="20" builtinId="8" hidden="1"/>
    <cellStyle name="ハイパーリンク" xfId="22" builtinId="8" hidden="1"/>
    <cellStyle name="ハイパーリンク" xfId="24" builtinId="8" hidden="1"/>
    <cellStyle name="ハイパーリンク" xfId="26" builtinId="8" hidden="1"/>
    <cellStyle name="ハイパーリンク" xfId="28" builtinId="8" hidden="1"/>
    <cellStyle name="ハイパーリンク" xfId="30" builtinId="8" hidden="1"/>
    <cellStyle name="ハイパーリンク" xfId="32" builtinId="8" hidden="1"/>
    <cellStyle name="ハイパーリンク" xfId="34" builtinId="8" hidden="1"/>
    <cellStyle name="ハイパーリンク" xfId="36" builtinId="8" hidden="1"/>
    <cellStyle name="ハイパーリンク" xfId="38" builtinId="8" hidden="1"/>
    <cellStyle name="ハイパーリンク" xfId="40" builtinId="8" hidden="1"/>
    <cellStyle name="ハイパーリンク" xfId="42" builtinId="8" hidden="1"/>
    <cellStyle name="ハイパーリンク" xfId="44" builtinId="8" hidden="1"/>
    <cellStyle name="ハイパーリンク" xfId="46" builtinId="8" hidden="1"/>
    <cellStyle name="ハイパーリンク" xfId="48" builtinId="8" hidden="1"/>
    <cellStyle name="ハイパーリンク" xfId="50" builtinId="8" hidden="1"/>
    <cellStyle name="ハイパーリンク" xfId="52" builtinId="8" hidden="1"/>
    <cellStyle name="ハイパーリンク" xfId="54" builtinId="8" hidden="1"/>
    <cellStyle name="ハイパーリンク" xfId="56" builtinId="8" hidden="1"/>
    <cellStyle name="ハイパーリンク" xfId="58" builtinId="8" hidden="1"/>
    <cellStyle name="ハイパーリンク" xfId="60" builtinId="8" hidden="1"/>
    <cellStyle name="ハイパーリンク" xfId="62" builtinId="8" hidden="1"/>
    <cellStyle name="ハイパーリンク" xfId="64" builtinId="8" hidden="1"/>
    <cellStyle name="ハイパーリンク" xfId="66" builtinId="8" hidden="1"/>
    <cellStyle name="ハイパーリンク" xfId="68" builtinId="8" hidden="1"/>
    <cellStyle name="ハイパーリンク" xfId="70" builtinId="8" hidden="1"/>
    <cellStyle name="ハイパーリンク" xfId="72" builtinId="8" hidden="1"/>
    <cellStyle name="ハイパーリンク" xfId="74" builtinId="8" hidden="1"/>
    <cellStyle name="ハイパーリンク" xfId="76" builtinId="8" hidden="1"/>
    <cellStyle name="ハイパーリンク" xfId="78" builtinId="8" hidden="1"/>
    <cellStyle name="ハイパーリンク" xfId="80" builtinId="8" hidden="1"/>
    <cellStyle name="ハイパーリンク" xfId="82" builtinId="8" hidden="1"/>
    <cellStyle name="ハイパーリンク" xfId="84" builtinId="8" hidden="1"/>
    <cellStyle name="ハイパーリンク" xfId="86" builtinId="8" hidden="1"/>
    <cellStyle name="ハイパーリンク" xfId="88" builtinId="8" hidden="1"/>
    <cellStyle name="ハイパーリンク" xfId="90" builtinId="8" hidden="1"/>
    <cellStyle name="ハイパーリンク" xfId="92" builtinId="8" hidden="1"/>
    <cellStyle name="ハイパーリンク" xfId="94" builtinId="8" hidden="1"/>
    <cellStyle name="ハイパーリンク" xfId="96" builtinId="8" hidden="1"/>
    <cellStyle name="ハイパーリンク" xfId="98" builtinId="8" hidden="1"/>
    <cellStyle name="ハイパーリンク" xfId="100" builtinId="8" hidden="1"/>
    <cellStyle name="ハイパーリンク" xfId="102" builtinId="8" hidden="1"/>
    <cellStyle name="ハイパーリンク" xfId="104" builtinId="8" hidden="1"/>
    <cellStyle name="ハイパーリンク" xfId="106" builtinId="8" hidden="1"/>
    <cellStyle name="ハイパーリンク" xfId="108" builtinId="8" hidden="1"/>
    <cellStyle name="ハイパーリンク" xfId="110" builtinId="8" hidden="1"/>
    <cellStyle name="ハイパーリンク" xfId="112" builtinId="8" hidden="1"/>
    <cellStyle name="ハイパーリンク" xfId="114" builtinId="8" hidden="1"/>
    <cellStyle name="ハイパーリンク" xfId="116" builtinId="8" hidden="1"/>
    <cellStyle name="ハイパーリンク" xfId="118" builtinId="8" hidden="1"/>
    <cellStyle name="ハイパーリンク" xfId="120" builtinId="8" hidden="1"/>
    <cellStyle name="標準" xfId="0" builtinId="0"/>
    <cellStyle name="標準 2" xfId="15" xr:uid="{00000000-0005-0000-0000-00003D000000}"/>
    <cellStyle name="標準 2 2" xfId="126" xr:uid="{AE2238DA-2DAD-7448-963F-35C7BA21847C}"/>
    <cellStyle name="標準 2 2 2" xfId="130" xr:uid="{9CB48C45-1CE6-4D4F-BA55-A17E3CE257A4}"/>
    <cellStyle name="標準 2 2 3" xfId="133" xr:uid="{4A09D914-2DB1-4484-BC45-9E1D07A88FFF}"/>
    <cellStyle name="標準 2 3" xfId="123" xr:uid="{00000000-0005-0000-0000-00003E000000}"/>
    <cellStyle name="標準 2 6" xfId="127" xr:uid="{3E36BA54-3D40-B444-99DF-AD9BCE033FF0}"/>
    <cellStyle name="標準 3" xfId="134" xr:uid="{7858FDF1-4829-F540-BCE3-2413B3FB063B}"/>
    <cellStyle name="標準 4" xfId="122" xr:uid="{00000000-0005-0000-0000-00003F000000}"/>
    <cellStyle name="標準 4 2" xfId="129" xr:uid="{F8DE4226-B8CA-40DE-9DFE-D8B21B8FFCFA}"/>
    <cellStyle name="標準 4 3" xfId="132" xr:uid="{1A6CC49A-A821-430D-94DC-B1A964C1BBF9}"/>
    <cellStyle name="標準 5" xfId="124" xr:uid="{00000000-0005-0000-0000-000040000000}"/>
    <cellStyle name="標準 6" xfId="131" xr:uid="{75A264A0-5ECE-4D9E-90FA-E2FCABB1C605}"/>
    <cellStyle name="標準 7" xfId="128" xr:uid="{E8C1C11C-3FA5-E24E-B3A4-1D6DEBDA2AC4}"/>
    <cellStyle name="標準_YK0311採水瓶野帳表.xls" xfId="125" xr:uid="{00000000-0005-0000-0000-000041000000}"/>
    <cellStyle name="表示済みのハイパーリンク" xfId="2" builtinId="9" hidden="1"/>
    <cellStyle name="表示済みのハイパーリンク" xfId="4" builtinId="9" hidden="1"/>
    <cellStyle name="表示済みのハイパーリンク" xfId="6" builtinId="9" hidden="1"/>
    <cellStyle name="表示済みのハイパーリンク" xfId="8" builtinId="9" hidden="1"/>
    <cellStyle name="表示済みのハイパーリンク" xfId="10" builtinId="9" hidden="1"/>
    <cellStyle name="表示済みのハイパーリンク" xfId="12" builtinId="9" hidden="1"/>
    <cellStyle name="表示済みのハイパーリンク" xfId="14" builtinId="9" hidden="1"/>
    <cellStyle name="表示済みのハイパーリンク" xfId="17" builtinId="9" hidden="1"/>
    <cellStyle name="表示済みのハイパーリンク" xfId="19" builtinId="9" hidden="1"/>
    <cellStyle name="表示済みのハイパーリンク" xfId="21" builtinId="9" hidden="1"/>
    <cellStyle name="表示済みのハイパーリンク" xfId="23" builtinId="9" hidden="1"/>
    <cellStyle name="表示済みのハイパーリンク" xfId="25" builtinId="9" hidden="1"/>
    <cellStyle name="表示済みのハイパーリンク" xfId="27" builtinId="9" hidden="1"/>
    <cellStyle name="表示済みのハイパーリンク" xfId="29" builtinId="9" hidden="1"/>
    <cellStyle name="表示済みのハイパーリンク" xfId="31" builtinId="9" hidden="1"/>
    <cellStyle name="表示済みのハイパーリンク" xfId="33" builtinId="9" hidden="1"/>
    <cellStyle name="表示済みのハイパーリンク" xfId="35" builtinId="9" hidden="1"/>
    <cellStyle name="表示済みのハイパーリンク" xfId="37" builtinId="9" hidden="1"/>
    <cellStyle name="表示済みのハイパーリンク" xfId="39" builtinId="9" hidden="1"/>
    <cellStyle name="表示済みのハイパーリンク" xfId="41" builtinId="9" hidden="1"/>
    <cellStyle name="表示済みのハイパーリンク" xfId="43" builtinId="9" hidden="1"/>
    <cellStyle name="表示済みのハイパーリンク" xfId="45" builtinId="9" hidden="1"/>
    <cellStyle name="表示済みのハイパーリンク" xfId="47" builtinId="9" hidden="1"/>
    <cellStyle name="表示済みのハイパーリンク" xfId="49" builtinId="9" hidden="1"/>
    <cellStyle name="表示済みのハイパーリンク" xfId="51" builtinId="9" hidden="1"/>
    <cellStyle name="表示済みのハイパーリンク" xfId="53" builtinId="9" hidden="1"/>
    <cellStyle name="表示済みのハイパーリンク" xfId="55" builtinId="9" hidden="1"/>
    <cellStyle name="表示済みのハイパーリンク" xfId="57" builtinId="9" hidden="1"/>
    <cellStyle name="表示済みのハイパーリンク" xfId="59" builtinId="9" hidden="1"/>
    <cellStyle name="表示済みのハイパーリンク" xfId="61" builtinId="9" hidden="1"/>
    <cellStyle name="表示済みのハイパーリンク" xfId="63" builtinId="9" hidden="1"/>
    <cellStyle name="表示済みのハイパーリンク" xfId="65" builtinId="9" hidden="1"/>
    <cellStyle name="表示済みのハイパーリンク" xfId="67" builtinId="9" hidden="1"/>
    <cellStyle name="表示済みのハイパーリンク" xfId="69" builtinId="9" hidden="1"/>
    <cellStyle name="表示済みのハイパーリンク" xfId="71" builtinId="9" hidden="1"/>
    <cellStyle name="表示済みのハイパーリンク" xfId="73" builtinId="9" hidden="1"/>
    <cellStyle name="表示済みのハイパーリンク" xfId="75" builtinId="9" hidden="1"/>
    <cellStyle name="表示済みのハイパーリンク" xfId="77" builtinId="9" hidden="1"/>
    <cellStyle name="表示済みのハイパーリンク" xfId="79" builtinId="9" hidden="1"/>
    <cellStyle name="表示済みのハイパーリンク" xfId="81" builtinId="9" hidden="1"/>
    <cellStyle name="表示済みのハイパーリンク" xfId="83" builtinId="9" hidden="1"/>
    <cellStyle name="表示済みのハイパーリンク" xfId="85" builtinId="9" hidden="1"/>
    <cellStyle name="表示済みのハイパーリンク" xfId="87" builtinId="9" hidden="1"/>
    <cellStyle name="表示済みのハイパーリンク" xfId="89" builtinId="9" hidden="1"/>
    <cellStyle name="表示済みのハイパーリンク" xfId="91" builtinId="9" hidden="1"/>
    <cellStyle name="表示済みのハイパーリンク" xfId="93" builtinId="9" hidden="1"/>
    <cellStyle name="表示済みのハイパーリンク" xfId="95" builtinId="9" hidden="1"/>
    <cellStyle name="表示済みのハイパーリンク" xfId="97" builtinId="9" hidden="1"/>
    <cellStyle name="表示済みのハイパーリンク" xfId="99" builtinId="9" hidden="1"/>
    <cellStyle name="表示済みのハイパーリンク" xfId="101" builtinId="9" hidden="1"/>
    <cellStyle name="表示済みのハイパーリンク" xfId="103" builtinId="9" hidden="1"/>
    <cellStyle name="表示済みのハイパーリンク" xfId="105" builtinId="9" hidden="1"/>
    <cellStyle name="表示済みのハイパーリンク" xfId="107" builtinId="9" hidden="1"/>
    <cellStyle name="表示済みのハイパーリンク" xfId="109" builtinId="9" hidden="1"/>
    <cellStyle name="表示済みのハイパーリンク" xfId="111" builtinId="9" hidden="1"/>
    <cellStyle name="表示済みのハイパーリンク" xfId="113" builtinId="9" hidden="1"/>
    <cellStyle name="表示済みのハイパーリンク" xfId="115" builtinId="9" hidden="1"/>
    <cellStyle name="表示済みのハイパーリンク" xfId="117" builtinId="9" hidden="1"/>
    <cellStyle name="表示済みのハイパーリンク" xfId="119" builtinId="9" hidden="1"/>
    <cellStyle name="表示済みのハイパーリンク" xfId="121" builtinId="9" hidden="1"/>
  </cellStyles>
  <dxfs count="0"/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ホワイト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2250"/>
  <sheetViews>
    <sheetView tabSelected="1" workbookViewId="0">
      <pane ySplit="1" topLeftCell="A2" activePane="bottomLeft" state="frozen"/>
      <selection pane="bottomLeft" activeCell="I27" sqref="I27"/>
    </sheetView>
  </sheetViews>
  <sheetFormatPr baseColWidth="10" defaultColWidth="12.83203125" defaultRowHeight="14"/>
  <cols>
    <col min="1" max="16384" width="12.83203125" style="7"/>
  </cols>
  <sheetData>
    <row r="1" s="1" customFormat="1"/>
    <row r="2" s="17" customFormat="1"/>
    <row r="3" s="17" customFormat="1"/>
    <row r="4" s="17" customFormat="1"/>
    <row r="5" s="17" customFormat="1"/>
    <row r="6" s="17" customFormat="1"/>
    <row r="7" s="17" customFormat="1"/>
    <row r="8" s="17" customFormat="1"/>
    <row r="9" s="17" customFormat="1"/>
    <row r="10" s="17" customFormat="1"/>
    <row r="11" s="17" customFormat="1"/>
    <row r="12" s="17" customFormat="1"/>
    <row r="13" s="17" customFormat="1"/>
    <row r="14" s="17" customFormat="1"/>
    <row r="15" s="17" customFormat="1"/>
    <row r="16" s="17" customFormat="1"/>
    <row r="17" s="17" customFormat="1"/>
    <row r="18" s="17" customFormat="1"/>
    <row r="19" s="17" customFormat="1"/>
    <row r="20" s="17" customFormat="1"/>
    <row r="21" s="17" customFormat="1"/>
    <row r="22" s="14" customFormat="1"/>
    <row r="23" s="14" customFormat="1"/>
    <row r="24" s="14" customFormat="1"/>
    <row r="25" s="14" customFormat="1"/>
    <row r="26" s="14" customFormat="1"/>
    <row r="27" s="14" customFormat="1"/>
    <row r="28" s="14" customFormat="1"/>
    <row r="29" s="14" customFormat="1"/>
    <row r="30" s="14" customFormat="1"/>
    <row r="31" s="14" customFormat="1"/>
    <row r="32" s="14" customFormat="1"/>
    <row r="33" s="14" customFormat="1"/>
    <row r="34" s="14" customFormat="1"/>
    <row r="35" s="14" customFormat="1"/>
    <row r="36" s="14" customFormat="1"/>
    <row r="37" s="14" customFormat="1"/>
    <row r="38" s="14" customFormat="1"/>
    <row r="39" s="14" customFormat="1"/>
    <row r="40" s="14" customFormat="1"/>
    <row r="41" s="14" customFormat="1"/>
    <row r="42" s="14" customFormat="1"/>
    <row r="43" s="14" customFormat="1"/>
    <row r="44" s="14" customFormat="1"/>
    <row r="45" s="14" customFormat="1"/>
    <row r="46" s="14" customFormat="1"/>
    <row r="47" s="14" customFormat="1"/>
    <row r="48" s="14" customFormat="1"/>
    <row r="49" s="14" customFormat="1"/>
    <row r="50" s="14" customFormat="1"/>
    <row r="51" s="14" customFormat="1"/>
    <row r="52" s="14" customFormat="1"/>
    <row r="53" s="14" customFormat="1"/>
    <row r="54" s="14" customFormat="1"/>
    <row r="55" s="14" customFormat="1"/>
    <row r="56" s="14" customFormat="1"/>
    <row r="57" s="14" customFormat="1"/>
    <row r="58" s="14" customFormat="1"/>
    <row r="59" s="14" customFormat="1"/>
    <row r="60" s="14" customFormat="1"/>
    <row r="61" s="14" customFormat="1"/>
    <row r="62" s="14" customFormat="1"/>
    <row r="63" s="14" customFormat="1"/>
    <row r="64" s="14" customFormat="1"/>
    <row r="65" s="14" customFormat="1"/>
    <row r="66" s="14" customFormat="1"/>
    <row r="67" s="14" customFormat="1"/>
    <row r="68" s="14" customFormat="1"/>
    <row r="69" s="14" customFormat="1"/>
    <row r="70" s="14" customFormat="1"/>
    <row r="71" s="14" customFormat="1"/>
    <row r="72" s="14" customFormat="1"/>
    <row r="73" s="14" customFormat="1"/>
    <row r="74" s="14" customFormat="1"/>
    <row r="75" s="14" customFormat="1"/>
    <row r="76" s="14" customFormat="1"/>
    <row r="77" s="14" customFormat="1"/>
    <row r="78" s="14" customFormat="1"/>
    <row r="79" s="14" customFormat="1"/>
    <row r="80" s="14" customFormat="1"/>
    <row r="81" s="14" customFormat="1"/>
    <row r="82" s="14" customFormat="1"/>
    <row r="83" s="14" customFormat="1"/>
    <row r="84" s="14" customFormat="1"/>
    <row r="85" s="14" customFormat="1"/>
    <row r="86" s="14" customFormat="1"/>
    <row r="87" s="14" customFormat="1"/>
    <row r="88" s="14" customFormat="1"/>
    <row r="89" s="14" customFormat="1"/>
    <row r="90" s="14" customFormat="1"/>
    <row r="91" s="14" customFormat="1"/>
    <row r="92" s="14" customFormat="1"/>
    <row r="93" s="14" customFormat="1"/>
    <row r="94" s="14" customFormat="1"/>
    <row r="95" s="14" customFormat="1"/>
    <row r="96" s="14" customFormat="1"/>
    <row r="97" s="14" customFormat="1"/>
    <row r="98" s="14" customFormat="1"/>
    <row r="99" s="14" customFormat="1"/>
    <row r="100" s="14" customFormat="1"/>
    <row r="101" s="14" customFormat="1"/>
    <row r="102" s="14" customFormat="1"/>
    <row r="103" s="14" customFormat="1"/>
    <row r="104" s="14" customFormat="1"/>
    <row r="105" s="14" customFormat="1"/>
    <row r="106" s="14" customFormat="1"/>
    <row r="107" s="14" customFormat="1"/>
    <row r="108" s="14" customFormat="1"/>
    <row r="109" s="14" customFormat="1"/>
    <row r="110" s="14" customFormat="1"/>
    <row r="111" s="14" customFormat="1"/>
    <row r="112" s="14" customFormat="1"/>
    <row r="113" s="14" customFormat="1"/>
    <row r="114" s="14" customFormat="1"/>
    <row r="115" s="14" customFormat="1"/>
    <row r="116" s="14" customFormat="1"/>
    <row r="117" s="14" customFormat="1"/>
    <row r="118" s="14" customFormat="1"/>
    <row r="119" s="14" customFormat="1"/>
    <row r="120" s="14" customFormat="1"/>
    <row r="121" s="14" customFormat="1"/>
    <row r="122" s="14" customFormat="1"/>
    <row r="123" s="14" customFormat="1"/>
    <row r="124" s="14" customFormat="1"/>
    <row r="125" s="14" customFormat="1"/>
    <row r="126" s="14" customFormat="1"/>
    <row r="127" s="14" customFormat="1"/>
    <row r="128" s="14" customFormat="1"/>
    <row r="129" s="14" customFormat="1"/>
    <row r="130" s="14" customFormat="1"/>
    <row r="131" s="14" customFormat="1"/>
    <row r="132" s="14" customFormat="1"/>
    <row r="133" s="14" customFormat="1"/>
    <row r="134" s="14" customFormat="1"/>
    <row r="135" s="14" customFormat="1"/>
    <row r="136" s="14" customFormat="1"/>
    <row r="137" s="14" customFormat="1"/>
    <row r="138" s="14" customFormat="1"/>
    <row r="139" s="14" customFormat="1"/>
    <row r="140" s="14" customFormat="1"/>
    <row r="141" s="14" customFormat="1"/>
    <row r="142" s="14" customFormat="1"/>
    <row r="143" s="14" customFormat="1"/>
    <row r="144" s="14" customFormat="1"/>
    <row r="145" s="14" customFormat="1"/>
    <row r="146" s="14" customFormat="1"/>
    <row r="147" s="14" customFormat="1"/>
    <row r="148" s="14" customFormat="1"/>
    <row r="149" s="14" customFormat="1"/>
    <row r="150" s="14" customFormat="1"/>
    <row r="151" s="14" customFormat="1"/>
    <row r="152" s="14" customFormat="1"/>
    <row r="153" s="14" customFormat="1"/>
    <row r="154" s="14" customFormat="1"/>
    <row r="155" s="14" customFormat="1"/>
    <row r="156" s="14" customFormat="1"/>
    <row r="157" s="14" customFormat="1"/>
    <row r="158" s="14" customFormat="1"/>
    <row r="159" s="14" customFormat="1"/>
    <row r="160" s="14" customFormat="1"/>
    <row r="161" s="14" customFormat="1"/>
    <row r="162" s="14" customFormat="1"/>
    <row r="163" s="14" customFormat="1"/>
    <row r="164" s="14" customFormat="1"/>
    <row r="165" s="14" customFormat="1"/>
    <row r="166" s="14" customFormat="1"/>
    <row r="167" s="14" customFormat="1"/>
    <row r="168" s="14" customFormat="1"/>
    <row r="169" s="14" customFormat="1"/>
    <row r="170" s="14" customFormat="1"/>
    <row r="171" s="14" customFormat="1"/>
    <row r="172" s="14" customFormat="1"/>
    <row r="173" s="14" customFormat="1"/>
    <row r="174" s="14" customFormat="1"/>
    <row r="175" s="14" customFormat="1"/>
    <row r="176" s="14" customFormat="1"/>
    <row r="177" s="14" customFormat="1"/>
    <row r="178" s="14" customFormat="1"/>
    <row r="179" s="14" customFormat="1"/>
    <row r="180" s="14" customFormat="1"/>
    <row r="181" s="14" customFormat="1"/>
    <row r="182" s="14" customFormat="1"/>
    <row r="183" s="14" customFormat="1"/>
    <row r="184" s="14" customFormat="1"/>
    <row r="185" s="14" customFormat="1"/>
    <row r="186" s="14" customFormat="1"/>
    <row r="187" s="14" customFormat="1"/>
    <row r="188" s="14" customFormat="1"/>
    <row r="189" s="14" customFormat="1"/>
    <row r="190" s="14" customFormat="1"/>
    <row r="191" s="14" customFormat="1"/>
    <row r="192" s="14" customFormat="1"/>
    <row r="193" s="14" customFormat="1"/>
    <row r="194" s="14" customFormat="1"/>
    <row r="195" s="14" customFormat="1"/>
    <row r="196" s="14" customFormat="1"/>
    <row r="197" s="14" customFormat="1"/>
    <row r="198" s="14" customFormat="1"/>
    <row r="199" s="14" customFormat="1"/>
    <row r="200" s="14" customFormat="1"/>
    <row r="201" s="14" customFormat="1"/>
    <row r="202" s="14" customFormat="1"/>
    <row r="203" s="14" customFormat="1"/>
    <row r="204" s="14" customFormat="1"/>
    <row r="205" s="14" customFormat="1"/>
    <row r="206" s="14" customFormat="1"/>
    <row r="207" s="14" customFormat="1"/>
    <row r="208" s="14" customFormat="1"/>
    <row r="209" s="14" customFormat="1"/>
    <row r="210" s="14" customFormat="1"/>
    <row r="211" s="14" customFormat="1"/>
    <row r="212" s="14" customFormat="1"/>
    <row r="213" s="17" customFormat="1"/>
    <row r="214" s="17" customFormat="1"/>
    <row r="215" s="17" customFormat="1"/>
    <row r="216" s="17" customFormat="1"/>
    <row r="217" s="17" customFormat="1"/>
    <row r="218" s="17" customFormat="1"/>
    <row r="219" s="17" customFormat="1"/>
    <row r="220" s="17" customFormat="1"/>
    <row r="221" s="17" customFormat="1"/>
    <row r="222" s="17" customFormat="1"/>
    <row r="223" s="17" customFormat="1"/>
    <row r="224" s="17" customFormat="1"/>
    <row r="225" s="17" customFormat="1"/>
    <row r="226" s="17" customFormat="1"/>
    <row r="227" s="17" customFormat="1"/>
    <row r="228" s="17" customFormat="1"/>
    <row r="229" s="17" customFormat="1"/>
    <row r="805" ht="12.75" customHeight="1"/>
    <row r="806" ht="12.75" customHeight="1"/>
    <row r="807" ht="12.75" customHeight="1"/>
    <row r="808" ht="12.75" customHeight="1"/>
    <row r="809" ht="12.75" customHeight="1"/>
    <row r="810" ht="12.75" customHeight="1"/>
    <row r="811" ht="12.75" customHeight="1"/>
    <row r="812" ht="12.75" customHeight="1"/>
    <row r="813" ht="12.75" customHeight="1"/>
    <row r="814" ht="12.75" customHeight="1"/>
    <row r="815" ht="12.75" customHeight="1"/>
    <row r="816" ht="12.75" customHeight="1"/>
    <row r="817" ht="12.75" customHeight="1"/>
    <row r="818" ht="12.75" customHeight="1"/>
    <row r="819" ht="12.75" customHeight="1"/>
    <row r="820" ht="12.75" customHeight="1"/>
    <row r="821" ht="12.75" customHeight="1"/>
    <row r="822" ht="12.75" customHeight="1"/>
    <row r="823" ht="12.75" customHeight="1"/>
    <row r="824" ht="12.75" customHeight="1"/>
    <row r="825" ht="12.75" customHeight="1"/>
    <row r="826" ht="12.75" customHeight="1"/>
    <row r="827" ht="12.75" customHeight="1"/>
    <row r="828" ht="12.75" customHeight="1"/>
    <row r="829" ht="12.75" customHeight="1"/>
    <row r="830" ht="12.75" customHeight="1"/>
    <row r="831" ht="12.75" customHeight="1"/>
    <row r="832" ht="12.75" customHeight="1"/>
    <row r="833" ht="12.75" customHeight="1"/>
    <row r="834" ht="12.75" customHeight="1"/>
    <row r="835" ht="12.75" customHeight="1"/>
    <row r="836" ht="12.75" customHeight="1"/>
    <row r="837" ht="12.75" customHeight="1"/>
    <row r="838" ht="12.75" customHeight="1"/>
    <row r="839" ht="12.75" customHeight="1"/>
    <row r="840" ht="12.75" customHeight="1"/>
    <row r="841" ht="12.75" customHeight="1"/>
    <row r="842" ht="12.75" customHeight="1"/>
    <row r="843" ht="12.75" customHeight="1"/>
    <row r="844" ht="12.75" customHeight="1"/>
    <row r="845" ht="12.75" customHeight="1"/>
    <row r="846" ht="12.75" customHeight="1"/>
    <row r="847" ht="12.75" customHeight="1"/>
    <row r="848" ht="12.75" customHeight="1"/>
    <row r="849" ht="12.75" customHeight="1"/>
    <row r="850" ht="12.75" customHeight="1"/>
    <row r="851" ht="12.75" customHeight="1"/>
    <row r="852" ht="12.75" customHeight="1"/>
    <row r="853" ht="12.75" customHeight="1"/>
    <row r="854" ht="12.75" customHeight="1"/>
    <row r="855" ht="12.75" customHeight="1"/>
    <row r="856" ht="12.75" customHeight="1"/>
    <row r="857" ht="12.75" customHeight="1"/>
    <row r="858" ht="12.75" customHeight="1"/>
    <row r="859" ht="12.75" customHeight="1"/>
    <row r="860" ht="12.75" customHeight="1"/>
    <row r="861" ht="12.75" customHeight="1"/>
    <row r="862" ht="12.75" customHeight="1"/>
    <row r="863" ht="12.75" customHeight="1"/>
    <row r="864" ht="12.75" customHeight="1"/>
    <row r="865" ht="12.75" customHeight="1"/>
    <row r="866" ht="12.75" customHeight="1"/>
    <row r="867" ht="12.75" customHeight="1"/>
    <row r="868" ht="12.75" customHeight="1"/>
    <row r="869" ht="12.75" customHeight="1"/>
    <row r="870" ht="12.75" customHeight="1"/>
    <row r="871" ht="12.75" customHeight="1"/>
    <row r="872" ht="12.75" customHeight="1"/>
    <row r="873" ht="12.75" customHeight="1"/>
    <row r="874" ht="12.75" customHeight="1"/>
    <row r="875" ht="12.75" customHeight="1"/>
    <row r="876" ht="12.75" customHeight="1"/>
    <row r="877" ht="12.75" customHeight="1"/>
    <row r="878" ht="12.75" customHeight="1"/>
    <row r="879" ht="12.75" customHeight="1"/>
    <row r="880" ht="12.75" customHeight="1"/>
    <row r="881" ht="12.75" customHeight="1"/>
    <row r="882" ht="12.75" customHeight="1"/>
    <row r="883" ht="12.75" customHeight="1"/>
    <row r="884" ht="12.75" customHeight="1"/>
    <row r="885" ht="12.75" customHeight="1"/>
    <row r="886" ht="12.75" customHeight="1"/>
    <row r="887" ht="12.75" customHeight="1"/>
    <row r="888" ht="12.75" customHeight="1"/>
    <row r="889" ht="12.75" customHeight="1"/>
    <row r="890" ht="12.75" customHeight="1"/>
    <row r="891" ht="12.75" customHeight="1"/>
    <row r="892" ht="12.75" customHeight="1"/>
    <row r="893" ht="12.75" customHeight="1"/>
    <row r="894" ht="12.75" customHeight="1"/>
    <row r="895" ht="12.75" customHeight="1"/>
    <row r="896" ht="12.75" customHeight="1"/>
    <row r="897" ht="12.75" customHeight="1"/>
    <row r="898" ht="12.75" customHeight="1"/>
    <row r="899" ht="12.75" customHeight="1"/>
    <row r="900" ht="12.75" customHeight="1"/>
    <row r="901" ht="12.75" customHeight="1"/>
    <row r="902" ht="12.75" customHeight="1"/>
    <row r="903" ht="12.75" customHeight="1"/>
    <row r="904" ht="12.75" customHeight="1"/>
    <row r="905" ht="12.75" customHeight="1"/>
    <row r="906" ht="12.75" customHeight="1"/>
    <row r="907" ht="12.75" customHeight="1"/>
    <row r="908" ht="12.75" customHeight="1"/>
    <row r="909" ht="12.75" customHeight="1"/>
    <row r="910" ht="12.75" customHeight="1"/>
    <row r="911" ht="12.75" customHeight="1"/>
    <row r="912" ht="12.75" customHeight="1"/>
    <row r="913" ht="12.75" customHeight="1"/>
    <row r="914" ht="12.75" customHeight="1"/>
    <row r="915" ht="12.75" customHeight="1"/>
    <row r="916" ht="12.75" customHeight="1"/>
    <row r="917" ht="12.75" customHeight="1"/>
    <row r="918" ht="12.75" customHeight="1"/>
    <row r="919" ht="12.75" customHeight="1"/>
    <row r="920" ht="12.75" customHeight="1"/>
    <row r="921" ht="12.75" customHeight="1"/>
    <row r="922" ht="12.75" customHeight="1"/>
    <row r="923" ht="12.75" customHeight="1"/>
    <row r="924" ht="12.75" customHeight="1"/>
    <row r="925" ht="12.75" customHeight="1"/>
    <row r="926" ht="12.75" customHeight="1"/>
    <row r="927" ht="12.75" customHeight="1"/>
    <row r="928" ht="12.75" customHeight="1"/>
    <row r="929" ht="12.75" customHeight="1"/>
    <row r="930" ht="12.75" customHeight="1"/>
    <row r="931" ht="12.75" customHeight="1"/>
    <row r="932" ht="12.75" customHeight="1"/>
    <row r="933" ht="12.75" customHeight="1"/>
    <row r="934" ht="12.75" customHeight="1"/>
    <row r="935" ht="12.75" customHeight="1"/>
    <row r="936" ht="12.75" customHeight="1"/>
    <row r="937" ht="12.75" customHeight="1"/>
    <row r="938" ht="12.75" customHeight="1"/>
    <row r="939" ht="12.75" customHeight="1"/>
    <row r="940" ht="12.75" customHeight="1"/>
    <row r="941" ht="12.75" customHeight="1"/>
    <row r="942" ht="12.75" customHeight="1"/>
    <row r="943" ht="12.75" customHeight="1"/>
    <row r="944" ht="12.75" customHeight="1"/>
    <row r="945" ht="12.75" customHeight="1"/>
    <row r="946" ht="12.75" customHeight="1"/>
    <row r="947" ht="12.75" customHeight="1"/>
    <row r="948" ht="12.75" customHeight="1"/>
    <row r="949" ht="12.75" customHeight="1"/>
    <row r="950" ht="12.75" customHeight="1"/>
    <row r="951" ht="12.75" customHeight="1"/>
    <row r="952" ht="12.75" customHeight="1"/>
    <row r="953" ht="12.75" customHeight="1"/>
    <row r="954" ht="12.75" customHeight="1"/>
    <row r="955" ht="12.75" customHeight="1"/>
    <row r="956" ht="12.75" customHeight="1"/>
    <row r="957" ht="12.75" customHeight="1"/>
    <row r="958" ht="12.75" customHeight="1"/>
    <row r="959" ht="12.75" customHeight="1"/>
    <row r="960" ht="12.75" customHeight="1"/>
    <row r="961" ht="12.75" customHeight="1"/>
    <row r="962" ht="12.75" customHeight="1"/>
    <row r="963" ht="12.75" customHeight="1"/>
    <row r="964" ht="12.75" customHeight="1"/>
    <row r="965" ht="12.75" customHeight="1"/>
    <row r="966" ht="12.75" customHeight="1"/>
    <row r="967" ht="12.75" customHeight="1"/>
    <row r="968" ht="12.75" customHeight="1"/>
    <row r="969" ht="12.75" customHeight="1"/>
    <row r="970" ht="12.75" customHeight="1"/>
    <row r="971" ht="12.75" customHeight="1"/>
    <row r="972" ht="12.75" customHeight="1"/>
    <row r="973" ht="12.75" customHeight="1"/>
    <row r="974" ht="12.75" customHeight="1"/>
    <row r="975" ht="12.75" customHeight="1"/>
    <row r="976" ht="12.75" customHeight="1"/>
    <row r="977" ht="12.75" customHeight="1"/>
    <row r="978" ht="12.75" customHeight="1"/>
    <row r="979" ht="12.75" customHeight="1"/>
    <row r="980" ht="12.75" customHeight="1"/>
    <row r="981" ht="12.75" customHeight="1"/>
    <row r="982" ht="12.75" customHeight="1"/>
    <row r="983" ht="12.75" customHeight="1"/>
    <row r="984" ht="12.75" customHeight="1"/>
    <row r="985" ht="12.75" customHeight="1"/>
    <row r="986" ht="12.75" customHeight="1"/>
    <row r="987" ht="12.75" customHeight="1"/>
    <row r="988" ht="12.75" customHeight="1"/>
    <row r="989" ht="12.75" customHeight="1"/>
    <row r="990" ht="12.75" customHeight="1"/>
    <row r="991" ht="12.75" customHeight="1"/>
    <row r="992" ht="12.75" customHeight="1"/>
    <row r="993" ht="12.75" customHeight="1"/>
    <row r="994" ht="12.75" customHeight="1"/>
    <row r="995" ht="12.75" customHeight="1"/>
    <row r="996" ht="12.75" customHeight="1"/>
    <row r="997" ht="12.75" customHeight="1"/>
    <row r="998" ht="12.75" customHeight="1"/>
    <row r="999" ht="12.75" customHeight="1"/>
    <row r="1000" ht="12.75" customHeight="1"/>
    <row r="1001" ht="12.75" customHeight="1"/>
    <row r="1002" ht="12.75" customHeight="1"/>
    <row r="1003" ht="12.75" customHeight="1"/>
    <row r="1004" ht="12.75" customHeight="1"/>
    <row r="1005" ht="12.75" customHeight="1"/>
    <row r="1006" ht="12.75" customHeight="1"/>
    <row r="1007" ht="12.75" customHeight="1"/>
    <row r="1008" ht="12.75" customHeight="1"/>
    <row r="1009" ht="12.75" customHeight="1"/>
    <row r="1010" ht="12.75" customHeight="1"/>
    <row r="1011" ht="12.75" customHeight="1"/>
    <row r="1012" ht="12.75" customHeight="1"/>
    <row r="1013" ht="12.75" customHeight="1"/>
    <row r="1014" ht="12.75" customHeight="1"/>
    <row r="1015" ht="12.75" customHeight="1"/>
    <row r="1016" ht="12.75" customHeight="1"/>
    <row r="1017" ht="12.75" customHeight="1"/>
    <row r="1018" ht="12.75" customHeight="1"/>
    <row r="1019" ht="12.75" customHeight="1"/>
    <row r="1020" ht="12.75" customHeight="1"/>
    <row r="1021" ht="12.75" customHeight="1"/>
    <row r="1022" ht="12.75" customHeight="1"/>
    <row r="1023" ht="12.75" customHeight="1"/>
    <row r="1024" ht="12.75" customHeight="1"/>
    <row r="1025" ht="12.75" customHeight="1"/>
    <row r="1026" ht="12.75" customHeight="1"/>
    <row r="1027" ht="12.75" customHeight="1"/>
    <row r="1028" ht="12.75" customHeight="1"/>
    <row r="1029" ht="12.75" customHeight="1"/>
    <row r="1030" ht="12.75" customHeight="1"/>
    <row r="1031" ht="12.75" customHeight="1"/>
    <row r="1032" ht="12.75" customHeight="1"/>
    <row r="1033" ht="12.75" customHeight="1"/>
    <row r="1034" ht="12.75" customHeight="1"/>
    <row r="1035" ht="12.75" customHeight="1"/>
    <row r="1036" ht="12.75" customHeight="1"/>
    <row r="1037" ht="12.75" customHeight="1"/>
    <row r="1038" ht="12.75" customHeight="1"/>
    <row r="1039" ht="12.75" customHeight="1"/>
    <row r="1040" ht="12.75" customHeight="1"/>
    <row r="1041" ht="12.75" customHeight="1"/>
    <row r="1042" ht="12.75" customHeight="1"/>
    <row r="1043" ht="12.75" customHeight="1"/>
    <row r="1044" ht="12.75" customHeight="1"/>
    <row r="1045" ht="12.75" customHeight="1"/>
    <row r="1046" ht="12.75" customHeight="1"/>
    <row r="1047" ht="12.75" customHeight="1"/>
    <row r="1048" ht="12.75" customHeight="1"/>
    <row r="1049" ht="12.75" customHeight="1"/>
    <row r="1050" ht="12.75" customHeight="1"/>
    <row r="1051" ht="12.75" customHeight="1"/>
    <row r="1052" ht="12.75" customHeight="1"/>
    <row r="1053" ht="12.75" customHeight="1"/>
    <row r="1054" ht="12.75" customHeight="1"/>
    <row r="1055" ht="12.75" customHeight="1"/>
    <row r="1056" ht="12.75" customHeight="1"/>
    <row r="1057" ht="12.75" customHeight="1"/>
    <row r="1058" ht="12.75" customHeight="1"/>
    <row r="1059" ht="12.75" customHeight="1"/>
    <row r="1060" ht="12.75" customHeight="1"/>
    <row r="1061" ht="12.75" customHeight="1"/>
    <row r="1062" ht="12.75" customHeight="1"/>
    <row r="1063" ht="12.75" customHeight="1"/>
    <row r="1064" ht="12.75" customHeight="1"/>
    <row r="1065" ht="12.75" customHeight="1"/>
    <row r="1066" ht="12.75" customHeight="1"/>
    <row r="1067" ht="12.75" customHeight="1"/>
    <row r="1068" ht="12.75" customHeight="1"/>
    <row r="1069" ht="12.75" customHeight="1"/>
    <row r="1070" ht="12.75" customHeight="1"/>
    <row r="1071" ht="12.75" customHeight="1"/>
    <row r="1072" ht="12.75" customHeight="1"/>
    <row r="1073" ht="12.75" customHeight="1"/>
    <row r="1074" ht="12.75" customHeight="1"/>
    <row r="1075" ht="12.75" customHeight="1"/>
    <row r="1076" ht="12.75" customHeight="1"/>
    <row r="1077" ht="12.75" customHeight="1"/>
    <row r="1078" ht="12.75" customHeight="1"/>
    <row r="1079" ht="12.75" customHeight="1"/>
    <row r="1080" ht="12.75" customHeight="1"/>
    <row r="1081" ht="12.75" customHeight="1"/>
    <row r="1082" ht="12.75" customHeight="1"/>
    <row r="1083" ht="12.75" customHeight="1"/>
    <row r="1084" ht="12.75" customHeight="1"/>
    <row r="1085" ht="12.75" customHeight="1"/>
    <row r="1086" ht="12.75" customHeight="1"/>
    <row r="1087" ht="12.75" customHeight="1"/>
    <row r="1088" ht="12.75" customHeight="1"/>
    <row r="1089" ht="12.75" customHeight="1"/>
    <row r="1090" ht="12.75" customHeight="1"/>
    <row r="1091" ht="12.75" customHeight="1"/>
    <row r="1092" ht="12.75" customHeight="1"/>
    <row r="1093" s="14" customFormat="1" ht="12.75" customHeight="1"/>
    <row r="1094" s="14" customFormat="1" ht="12.75" customHeight="1"/>
    <row r="1095" s="14" customFormat="1" ht="12.75" customHeight="1"/>
    <row r="1096" s="14" customFormat="1" ht="12.75" customHeight="1"/>
    <row r="1097" s="14" customFormat="1" ht="12.75" customHeight="1"/>
    <row r="1098" s="14" customFormat="1" ht="12.75" customHeight="1"/>
    <row r="1099" s="14" customFormat="1" ht="12.75" customHeight="1"/>
    <row r="1100" s="14" customFormat="1" ht="12.75" customHeight="1"/>
    <row r="1101" s="14" customFormat="1" ht="12.75" customHeight="1"/>
    <row r="1102" s="14" customFormat="1" ht="12.75" customHeight="1"/>
    <row r="1103" s="14" customFormat="1" ht="12.75" customHeight="1"/>
    <row r="1104" s="14" customFormat="1" ht="12.75" customHeight="1"/>
    <row r="1105" s="14" customFormat="1" ht="12.75" customHeight="1"/>
    <row r="1106" s="14" customFormat="1" ht="12.75" customHeight="1"/>
    <row r="1107" s="14" customFormat="1" ht="12.75" customHeight="1"/>
    <row r="1108" s="14" customFormat="1" ht="12.75" customHeight="1"/>
    <row r="1109" s="14" customFormat="1" ht="12.75" customHeight="1"/>
    <row r="1110" s="14" customFormat="1" ht="12.75" customHeight="1"/>
    <row r="1111" s="14" customFormat="1" ht="12.75" customHeight="1"/>
    <row r="1112" s="14" customFormat="1" ht="12.75" customHeight="1"/>
    <row r="1113" s="14" customFormat="1" ht="12.75" customHeight="1"/>
    <row r="1114" s="14" customFormat="1" ht="12.75" customHeight="1"/>
    <row r="1115" s="14" customFormat="1" ht="12.75" customHeight="1"/>
    <row r="1116" s="14" customFormat="1" ht="12.75" customHeight="1"/>
    <row r="1117" s="14" customFormat="1" ht="12.75" customHeight="1"/>
    <row r="1118" s="14" customFormat="1" ht="12.75" customHeight="1"/>
    <row r="1119" s="14" customFormat="1" ht="12.75" customHeight="1"/>
    <row r="1120" s="14" customFormat="1" ht="12.75" customHeight="1"/>
    <row r="1121" s="14" customFormat="1" ht="12.75" customHeight="1"/>
    <row r="1122" s="14" customFormat="1" ht="12.75" customHeight="1"/>
    <row r="1123" s="14" customFormat="1" ht="12.75" customHeight="1"/>
    <row r="1124" s="14" customFormat="1" ht="12.75" customHeight="1"/>
    <row r="1125" s="14" customFormat="1" ht="12.75" customHeight="1"/>
    <row r="1126" s="14" customFormat="1" ht="12.75" customHeight="1"/>
    <row r="1127" s="14" customFormat="1" ht="12.75" customHeight="1"/>
    <row r="1128" s="14" customFormat="1" ht="12.75" customHeight="1"/>
    <row r="1129" s="14" customFormat="1" ht="12.75" customHeight="1"/>
    <row r="1130" s="14" customFormat="1" ht="12.75" customHeight="1"/>
    <row r="1131" s="14" customFormat="1" ht="12.75" customHeight="1"/>
    <row r="1132" s="14" customFormat="1" ht="12.75" customHeight="1"/>
    <row r="1133" s="14" customFormat="1" ht="12.75" customHeight="1"/>
    <row r="1134" s="14" customFormat="1" ht="12.75" customHeight="1"/>
    <row r="1135" s="14" customFormat="1" ht="12.75" customHeight="1"/>
    <row r="1136" s="14" customFormat="1" ht="12.75" customHeight="1"/>
    <row r="1137" s="14" customFormat="1" ht="12.75" customHeight="1"/>
    <row r="1138" s="14" customFormat="1" ht="12.75" customHeight="1"/>
    <row r="1139" s="14" customFormat="1" ht="12.75" customHeight="1"/>
    <row r="1140" s="14" customFormat="1" ht="12.75" customHeight="1"/>
    <row r="1141" s="14" customFormat="1" ht="12.75" customHeight="1"/>
    <row r="1142" s="14" customFormat="1" ht="12.75" customHeight="1"/>
    <row r="1143" s="14" customFormat="1" ht="12.75" customHeight="1"/>
    <row r="1144" s="14" customFormat="1" ht="12.75" customHeight="1"/>
    <row r="1145" s="14" customFormat="1" ht="12.75" customHeight="1"/>
    <row r="1146" s="14" customFormat="1" ht="12.75" customHeight="1"/>
    <row r="1147" s="14" customFormat="1" ht="12.75" customHeight="1"/>
    <row r="1148" s="14" customFormat="1" ht="12.75" customHeight="1"/>
    <row r="1149" s="14" customFormat="1" ht="12.75" customHeight="1"/>
    <row r="1150" s="14" customFormat="1" ht="12.75" customHeight="1"/>
    <row r="1151" s="14" customFormat="1" ht="12.75" customHeight="1"/>
    <row r="1152" s="14" customFormat="1" ht="12.75" customHeight="1"/>
    <row r="1153" s="14" customFormat="1" ht="12.75" customHeight="1"/>
    <row r="1154" s="14" customFormat="1" ht="12.75" customHeight="1"/>
    <row r="1155" s="14" customFormat="1" ht="12.75" customHeight="1"/>
    <row r="1156" s="14" customFormat="1" ht="12.75" customHeight="1"/>
    <row r="1157" s="14" customFormat="1" ht="12.75" customHeight="1"/>
    <row r="1158" s="14" customFormat="1" ht="12.75" customHeight="1"/>
    <row r="1159" s="14" customFormat="1" ht="12.75" customHeight="1"/>
    <row r="1160" s="14" customFormat="1" ht="12.75" customHeight="1"/>
    <row r="1161" s="14" customFormat="1" ht="12.75" customHeight="1"/>
    <row r="1162" s="14" customFormat="1" ht="12.75" customHeight="1"/>
    <row r="1163" s="14" customFormat="1" ht="12.75" customHeight="1"/>
    <row r="1164" s="14" customFormat="1" ht="12.75" customHeight="1"/>
    <row r="1165" s="14" customFormat="1" ht="12.75" customHeight="1"/>
    <row r="1166" s="14" customFormat="1" ht="12.75" customHeight="1"/>
    <row r="1167" s="14" customFormat="1" ht="12.75" customHeight="1"/>
    <row r="1168" s="14" customFormat="1" ht="12.75" customHeight="1"/>
    <row r="1169" s="14" customFormat="1" ht="12.75" customHeight="1"/>
    <row r="1170" s="14" customFormat="1" ht="12.75" customHeight="1"/>
    <row r="1171" s="14" customFormat="1" ht="12.75" customHeight="1"/>
    <row r="1172" s="14" customFormat="1" ht="12.75" customHeight="1"/>
    <row r="1173" s="14" customFormat="1" ht="12.75" customHeight="1"/>
    <row r="1174" s="14" customFormat="1" ht="12.75" customHeight="1"/>
    <row r="1175" s="14" customFormat="1" ht="12.75" customHeight="1"/>
    <row r="1176" s="14" customFormat="1" ht="12.75" customHeight="1"/>
    <row r="1177" s="14" customFormat="1" ht="12.75" customHeight="1"/>
    <row r="1178" s="14" customFormat="1" ht="12.75" customHeight="1"/>
    <row r="1179" s="14" customFormat="1" ht="12.75" customHeight="1"/>
    <row r="1180" s="14" customFormat="1" ht="12.75" customHeight="1"/>
    <row r="1181" s="14" customFormat="1" ht="12.75" customHeight="1"/>
    <row r="1182" s="14" customFormat="1" ht="12.75" customHeight="1"/>
    <row r="1183" s="14" customFormat="1" ht="12.75" customHeight="1"/>
    <row r="1184" s="14" customFormat="1" ht="12.75" customHeight="1"/>
    <row r="1185" s="14" customFormat="1" ht="12.75" customHeight="1"/>
    <row r="1186" s="14" customFormat="1" ht="12.75" customHeight="1"/>
    <row r="1187" s="14" customFormat="1" ht="12.75" customHeight="1"/>
    <row r="1188" s="14" customFormat="1" ht="12.75" customHeight="1"/>
    <row r="1189" s="14" customFormat="1" ht="12.75" customHeight="1"/>
    <row r="1190" s="14" customFormat="1" ht="12.75" customHeight="1"/>
    <row r="1191" s="14" customFormat="1" ht="12.75" customHeight="1"/>
    <row r="1192" s="14" customFormat="1" ht="12.75" customHeight="1"/>
    <row r="1193" s="14" customFormat="1" ht="12.75" customHeight="1"/>
    <row r="1194" s="14" customFormat="1" ht="12.75" customHeight="1"/>
    <row r="1195" s="14" customFormat="1" ht="12.75" customHeight="1"/>
    <row r="1196" s="14" customFormat="1" ht="12.75" customHeight="1"/>
    <row r="1197" s="14" customFormat="1" ht="12.75" customHeight="1"/>
    <row r="1198" s="14" customFormat="1" ht="12.75" customHeight="1"/>
    <row r="1199" s="14" customFormat="1" ht="12.75" customHeight="1"/>
    <row r="1200" s="14" customFormat="1" ht="12.75" customHeight="1"/>
    <row r="1201" s="14" customFormat="1" ht="12.75" customHeight="1"/>
    <row r="1202" s="14" customFormat="1" ht="12.75" customHeight="1"/>
    <row r="1203" s="14" customFormat="1" ht="12.75" customHeight="1"/>
    <row r="1204" s="14" customFormat="1" ht="12.75" customHeight="1"/>
    <row r="1205" s="14" customFormat="1" ht="12.75" customHeight="1"/>
    <row r="1206" s="14" customFormat="1" ht="12.75" customHeight="1"/>
    <row r="1207" s="14" customFormat="1" ht="12.75" customHeight="1"/>
    <row r="1208" s="14" customFormat="1" ht="12.75" customHeight="1"/>
    <row r="1209" s="14" customFormat="1" ht="12.75" customHeight="1"/>
    <row r="1210" s="14" customFormat="1" ht="12.75" customHeight="1"/>
    <row r="1211" s="14" customFormat="1" ht="12.75" customHeight="1"/>
    <row r="1212" s="14" customFormat="1" ht="12.75" customHeight="1"/>
    <row r="1213" s="14" customFormat="1" ht="12.75" customHeight="1"/>
    <row r="1214" s="14" customFormat="1" ht="12.75" customHeight="1"/>
    <row r="1215" s="14" customFormat="1" ht="12.75" customHeight="1"/>
    <row r="1216" s="14" customFormat="1" ht="12.75" customHeight="1"/>
    <row r="1217" s="14" customFormat="1" ht="12.75" customHeight="1"/>
    <row r="1218" s="14" customFormat="1" ht="12.75" customHeight="1"/>
    <row r="1219" s="14" customFormat="1" ht="12.75" customHeight="1"/>
    <row r="1220" s="14" customFormat="1" ht="12.75" customHeight="1"/>
    <row r="1221" s="14" customFormat="1" ht="12.75" customHeight="1"/>
    <row r="1222" s="14" customFormat="1" ht="12.75" customHeight="1"/>
    <row r="1223" s="14" customFormat="1" ht="12.75" customHeight="1"/>
    <row r="1224" s="14" customFormat="1" ht="12.75" customHeight="1"/>
    <row r="1225" s="14" customFormat="1" ht="12.75" customHeight="1"/>
    <row r="1226" s="14" customFormat="1" ht="12.75" customHeight="1"/>
    <row r="1227" s="14" customFormat="1" ht="12.75" customHeight="1"/>
    <row r="1228" s="14" customFormat="1" ht="12.75" customHeight="1"/>
    <row r="1229" s="14" customFormat="1" ht="12.75" customHeight="1"/>
    <row r="1230" s="14" customFormat="1" ht="12.75" customHeight="1"/>
    <row r="1231" s="14" customFormat="1" ht="12.75" customHeight="1"/>
    <row r="1232" s="14" customFormat="1" ht="12.75" customHeight="1"/>
    <row r="1233" s="14" customFormat="1" ht="12.75" customHeight="1"/>
    <row r="1234" s="14" customFormat="1" ht="12.75" customHeight="1"/>
    <row r="1235" s="14" customFormat="1" ht="12.75" customHeight="1"/>
    <row r="1236" s="14" customFormat="1" ht="12.75" customHeight="1"/>
    <row r="1237" s="14" customFormat="1" ht="12.75" customHeight="1"/>
    <row r="1238" s="14" customFormat="1" ht="12.75" customHeight="1"/>
    <row r="1239" s="14" customFormat="1" ht="12.75" customHeight="1"/>
    <row r="1240" s="14" customFormat="1" ht="12.75" customHeight="1"/>
    <row r="1241" s="14" customFormat="1" ht="12.75" customHeight="1"/>
    <row r="1242" s="14" customFormat="1" ht="12.75" customHeight="1"/>
    <row r="1243" s="14" customFormat="1" ht="12.75" customHeight="1"/>
    <row r="1244" s="14" customFormat="1" ht="12.75" customHeight="1"/>
    <row r="1245" s="14" customFormat="1" ht="12.75" customHeight="1"/>
    <row r="1246" s="14" customFormat="1" ht="12.75" customHeight="1"/>
    <row r="1247" s="14" customFormat="1" ht="12.75" customHeight="1"/>
    <row r="1248" s="14" customFormat="1" ht="12.75" customHeight="1"/>
    <row r="1249" s="14" customFormat="1" ht="12.75" customHeight="1"/>
    <row r="1250" s="66" customFormat="1" ht="12.75" customHeight="1"/>
    <row r="1251" s="14" customFormat="1" ht="12.75" customHeight="1"/>
    <row r="1252" s="14" customFormat="1" ht="12.75" customHeight="1"/>
    <row r="1253" s="14" customFormat="1" ht="12.75" customHeight="1"/>
    <row r="1254" s="14" customFormat="1" ht="12.75" customHeight="1"/>
    <row r="1255" s="14" customFormat="1" ht="12.75" customHeight="1"/>
    <row r="1256" s="14" customFormat="1" ht="12.75" customHeight="1"/>
    <row r="1257" s="14" customFormat="1" ht="12.75" customHeight="1"/>
    <row r="1258" s="14" customFormat="1" ht="12.75" customHeight="1"/>
    <row r="1259" s="14" customFormat="1" ht="12.75" customHeight="1"/>
    <row r="1260" s="14" customFormat="1" ht="12.75" customHeight="1"/>
    <row r="1261" s="14" customFormat="1" ht="12.75" customHeight="1"/>
    <row r="1262" s="14" customFormat="1" ht="12.75" customHeight="1"/>
    <row r="1263" s="14" customFormat="1" ht="12.75" customHeight="1"/>
    <row r="1264" s="14" customFormat="1" ht="12.75" customHeight="1"/>
    <row r="1265" s="14" customFormat="1" ht="12.75" customHeight="1"/>
    <row r="1266" s="14" customFormat="1" ht="12.75" customHeight="1"/>
    <row r="1267" s="14" customFormat="1" ht="12.75" customHeight="1"/>
    <row r="1268" s="14" customFormat="1" ht="12.75" customHeight="1"/>
    <row r="1269" s="14" customFormat="1" ht="12.75" customHeight="1"/>
    <row r="1270" s="14" customFormat="1" ht="12.75" customHeight="1"/>
    <row r="1271" s="14" customFormat="1" ht="12.75" customHeight="1"/>
    <row r="1272" s="14" customFormat="1" ht="12.75" customHeight="1"/>
    <row r="1273" s="14" customFormat="1" ht="12.75" customHeight="1"/>
    <row r="1274" s="14" customFormat="1" ht="12.75" customHeight="1"/>
    <row r="1275" s="14" customFormat="1" ht="12.75" customHeight="1"/>
    <row r="1276" s="14" customFormat="1" ht="12.75" customHeight="1"/>
    <row r="1277" s="14" customFormat="1" ht="12.75" customHeight="1"/>
    <row r="1278" s="14" customFormat="1" ht="12.75" customHeight="1"/>
    <row r="1279" s="14" customFormat="1" ht="12.75" customHeight="1"/>
    <row r="1280" s="14" customFormat="1" ht="12.75" customHeight="1"/>
    <row r="1281" s="14" customFormat="1" ht="12.75" customHeight="1"/>
    <row r="1282" s="14" customFormat="1" ht="12.75" customHeight="1"/>
    <row r="1283" s="14" customFormat="1" ht="12.75" customHeight="1"/>
    <row r="1284" s="14" customFormat="1" ht="12.75" customHeight="1"/>
    <row r="1285" s="14" customFormat="1" ht="12.75" customHeight="1"/>
    <row r="1286" s="14" customFormat="1" ht="12.75" customHeight="1"/>
    <row r="1287" s="14" customFormat="1" ht="12.75" customHeight="1"/>
    <row r="1288" s="14" customFormat="1" ht="12.75" customHeight="1"/>
    <row r="1289" s="14" customFormat="1" ht="12.75" customHeight="1"/>
    <row r="1290" s="14" customFormat="1" ht="12.75" customHeight="1"/>
    <row r="1291" s="14" customFormat="1" ht="12.75" customHeight="1"/>
    <row r="1292" s="14" customFormat="1" ht="12.75" customHeight="1"/>
    <row r="1293" s="14" customFormat="1" ht="12.75" customHeight="1"/>
    <row r="1294" s="14" customFormat="1" ht="12.75" customHeight="1"/>
    <row r="1295" s="14" customFormat="1" ht="12.75" customHeight="1"/>
    <row r="1296" s="14" customFormat="1" ht="12.75" customHeight="1"/>
    <row r="1297" s="14" customFormat="1" ht="12.75" customHeight="1"/>
    <row r="1298" s="14" customFormat="1" ht="12.75" customHeight="1"/>
    <row r="1299" s="14" customFormat="1" ht="12.75" customHeight="1"/>
    <row r="1300" s="14" customFormat="1" ht="12.75" customHeight="1"/>
    <row r="1301" s="14" customFormat="1" ht="12.75" customHeight="1"/>
    <row r="1302" s="14" customFormat="1" ht="12.75" customHeight="1"/>
    <row r="1303" s="14" customFormat="1" ht="12.75" customHeight="1"/>
    <row r="1304" s="14" customFormat="1" ht="12.75" customHeight="1"/>
    <row r="1305" s="14" customFormat="1" ht="12.75" customHeight="1"/>
    <row r="1306" s="14" customFormat="1" ht="12.75" customHeight="1"/>
    <row r="1307" s="14" customFormat="1" ht="12.75" customHeight="1"/>
    <row r="1308" s="14" customFormat="1" ht="12.75" customHeight="1"/>
    <row r="1309" s="14" customFormat="1" ht="12.75" customHeight="1"/>
    <row r="1310" s="14" customFormat="1" ht="12.75" customHeight="1"/>
    <row r="1311" s="14" customFormat="1" ht="12.75" customHeight="1"/>
    <row r="1312" s="14" customFormat="1" ht="12.75" customHeight="1"/>
    <row r="1313" s="14" customFormat="1" ht="12.75" customHeight="1"/>
    <row r="1314" s="14" customFormat="1" ht="12.75" customHeight="1"/>
    <row r="1315" s="14" customFormat="1" ht="12.75" customHeight="1"/>
    <row r="1316" s="14" customFormat="1" ht="12.75" customHeight="1"/>
    <row r="1317" s="14" customFormat="1" ht="12.75" customHeight="1"/>
    <row r="1318" s="14" customFormat="1" ht="12.75" customHeight="1"/>
    <row r="1319" s="14" customFormat="1" ht="12.75" customHeight="1"/>
    <row r="1320" s="14" customFormat="1" ht="12.75" customHeight="1"/>
    <row r="1321" s="14" customFormat="1" ht="12.75" customHeight="1"/>
    <row r="1322" s="14" customFormat="1" ht="12.75" customHeight="1"/>
    <row r="1323" s="14" customFormat="1" ht="12.75" customHeight="1"/>
    <row r="1324" s="14" customFormat="1" ht="12.75" customHeight="1"/>
    <row r="1325" s="14" customFormat="1" ht="12.75" customHeight="1"/>
    <row r="1326" s="14" customFormat="1" ht="12.75" customHeight="1"/>
    <row r="1327" s="14" customFormat="1" ht="12.75" customHeight="1"/>
    <row r="1328" s="14" customFormat="1" ht="12.75" customHeight="1"/>
    <row r="1329" s="14" customFormat="1" ht="12.75" customHeight="1"/>
    <row r="1330" s="14" customFormat="1" ht="12.75" customHeight="1"/>
    <row r="1331" s="14" customFormat="1" ht="12.75" customHeight="1"/>
    <row r="1332" s="14" customFormat="1" ht="12.75" customHeight="1"/>
    <row r="1333" s="14" customFormat="1" ht="12.75" customHeight="1"/>
    <row r="1334" s="14" customFormat="1" ht="12.75" customHeight="1"/>
    <row r="1335" s="14" customFormat="1" ht="12.75" customHeight="1"/>
    <row r="1336" s="14" customFormat="1" ht="12.75" customHeight="1"/>
    <row r="1337" s="14" customFormat="1" ht="12.75" customHeight="1"/>
    <row r="1338" s="14" customFormat="1" ht="12.75" customHeight="1"/>
    <row r="1339" s="14" customFormat="1" ht="12.75" customHeight="1"/>
    <row r="1340" s="14" customFormat="1" ht="12.75" customHeight="1"/>
    <row r="1341" s="14" customFormat="1" ht="12.75" customHeight="1"/>
    <row r="1342" s="14" customFormat="1" ht="12.75" customHeight="1"/>
    <row r="1343" s="14" customFormat="1" ht="12.75" customHeight="1"/>
    <row r="1344" s="14" customFormat="1" ht="12.75" customHeight="1"/>
    <row r="1345" s="14" customFormat="1" ht="12.75" customHeight="1"/>
    <row r="1346" s="14" customFormat="1" ht="12.75" customHeight="1"/>
    <row r="1347" s="14" customFormat="1" ht="12.75" customHeight="1"/>
    <row r="1348" s="14" customFormat="1" ht="12.75" customHeight="1"/>
    <row r="1349" s="14" customFormat="1" ht="12.75" customHeight="1"/>
    <row r="1350" s="14" customFormat="1" ht="12.75" customHeight="1"/>
    <row r="1351" s="14" customFormat="1" ht="12.75" customHeight="1"/>
    <row r="1352" s="14" customFormat="1" ht="12.75" customHeight="1"/>
    <row r="1353" s="14" customFormat="1" ht="12.75" customHeight="1"/>
    <row r="1354" s="17" customFormat="1" ht="12.75" customHeight="1"/>
    <row r="1355" s="17" customFormat="1" ht="12.75" customHeight="1"/>
    <row r="1356" s="17" customFormat="1" ht="12.75" customHeight="1"/>
    <row r="1357" s="17" customFormat="1" ht="12.75" customHeight="1"/>
    <row r="1358" s="17" customFormat="1" ht="12.75" customHeight="1"/>
    <row r="1359" s="17" customFormat="1" ht="12.75" customHeight="1"/>
    <row r="1360" s="17" customFormat="1" ht="12.75" customHeight="1"/>
    <row r="1361" s="17" customFormat="1" ht="12.75" customHeight="1"/>
    <row r="1362" s="17" customFormat="1" ht="12.75" customHeight="1"/>
    <row r="1363" s="17" customFormat="1" ht="12.75" customHeight="1"/>
    <row r="1364" s="17" customFormat="1" ht="12.75" customHeight="1"/>
    <row r="1365" s="17" customFormat="1" ht="12.75" customHeight="1"/>
    <row r="1366" s="17" customFormat="1" ht="12.75" customHeight="1"/>
    <row r="1367" s="17" customFormat="1" ht="12.75" customHeight="1"/>
    <row r="1368" s="17" customFormat="1" ht="12.75" customHeight="1"/>
    <row r="1369" s="17" customFormat="1" ht="12.75" customHeight="1"/>
    <row r="1370" s="17" customFormat="1" ht="12.75" customHeight="1"/>
    <row r="1371" s="17" customFormat="1" ht="12.75" customHeight="1"/>
    <row r="1372" s="17" customFormat="1" ht="12.75" customHeight="1"/>
    <row r="1373" s="17" customFormat="1" ht="12.75" customHeight="1"/>
    <row r="1374" s="17" customFormat="1" ht="12.75" customHeight="1"/>
    <row r="1375" s="17" customFormat="1" ht="12.75" customHeight="1"/>
    <row r="1376" s="17" customFormat="1" ht="12.75" customHeight="1"/>
    <row r="1377" s="17" customFormat="1" ht="12.75" customHeight="1"/>
    <row r="1378" s="17" customFormat="1" ht="12.75" customHeight="1"/>
    <row r="1379" s="17" customFormat="1" ht="12.75" customHeight="1"/>
    <row r="1380" s="17" customFormat="1" ht="12.75" customHeight="1"/>
    <row r="1381" s="17" customFormat="1" ht="12.75" customHeight="1"/>
    <row r="1382" s="17" customFormat="1" ht="12.75" customHeight="1"/>
    <row r="1383" s="17" customFormat="1" ht="12.75" customHeight="1"/>
    <row r="1384" s="17" customFormat="1" ht="12.75" customHeight="1"/>
    <row r="1385" s="17" customFormat="1" ht="12.75" customHeight="1"/>
    <row r="1386" s="17" customFormat="1" ht="12.75" customHeight="1"/>
    <row r="1387" s="17" customFormat="1" ht="12.75" customHeight="1"/>
    <row r="1388" s="17" customFormat="1" ht="12.75" customHeight="1"/>
    <row r="1389" s="17" customFormat="1" ht="12.75" customHeight="1"/>
    <row r="1390" ht="12.75" customHeight="1"/>
    <row r="1391" ht="12.75" customHeight="1"/>
    <row r="1392" ht="12.75" customHeight="1"/>
    <row r="1393" ht="12.75" customHeight="1"/>
    <row r="1394" ht="12.75" customHeight="1"/>
    <row r="1395" ht="12.75" customHeight="1"/>
    <row r="1396" ht="12.75" customHeight="1"/>
    <row r="1397" ht="12.75" customHeight="1"/>
    <row r="1398" ht="12.75" customHeight="1"/>
    <row r="1399" ht="12.75" customHeight="1"/>
    <row r="1400" ht="12.75" customHeight="1"/>
    <row r="1401" ht="12.75" customHeight="1"/>
    <row r="1402" ht="12.75" customHeight="1"/>
    <row r="1403" ht="12.75" customHeight="1"/>
    <row r="1404" ht="12.75" customHeight="1"/>
    <row r="1405" ht="12.75" customHeight="1"/>
    <row r="1406" ht="12.75" customHeight="1"/>
    <row r="1407" ht="12.75" customHeight="1"/>
    <row r="1408" ht="12.75" customHeight="1"/>
    <row r="1409" ht="12.75" customHeight="1"/>
    <row r="1410" ht="12.75" customHeight="1"/>
    <row r="1411" ht="12.75" customHeight="1"/>
    <row r="1412" ht="12.75" customHeight="1"/>
    <row r="1413" ht="12.75" customHeight="1"/>
    <row r="1414" ht="12.75" customHeight="1"/>
    <row r="1415" ht="12.75" customHeight="1"/>
    <row r="1416" ht="12.75" customHeight="1"/>
    <row r="1417" ht="12.75" customHeight="1"/>
    <row r="1418" ht="12.75" customHeight="1"/>
    <row r="1419" ht="12.75" customHeight="1"/>
    <row r="1420" ht="12.75" customHeight="1"/>
    <row r="1421" ht="12.75" customHeight="1"/>
    <row r="1422" ht="12.75" customHeight="1"/>
    <row r="1423" ht="12.75" customHeight="1"/>
    <row r="1424" ht="12.75" customHeight="1"/>
    <row r="1425" ht="12.75" customHeight="1"/>
    <row r="1426" ht="12.75" customHeight="1"/>
    <row r="1427" ht="12.75" customHeight="1"/>
    <row r="1428" ht="12.75" customHeight="1"/>
    <row r="1429" ht="12.75" customHeight="1"/>
    <row r="1430" ht="12.75" customHeight="1"/>
    <row r="1431" ht="12.75" customHeight="1"/>
    <row r="1432" ht="12.75" customHeight="1"/>
    <row r="1433" ht="12.75" customHeight="1"/>
    <row r="1434" ht="12.75" customHeight="1"/>
    <row r="1435" ht="12.75" customHeight="1"/>
    <row r="1436" ht="12.75" customHeight="1"/>
    <row r="1437" ht="12.75" customHeight="1"/>
    <row r="1438" ht="12.75" customHeight="1"/>
    <row r="1439" ht="12.75" customHeight="1"/>
    <row r="1440" ht="12.75" customHeight="1"/>
    <row r="1441" ht="12.75" customHeight="1"/>
    <row r="1442" ht="12.75" customHeight="1"/>
    <row r="1443" ht="12.75" customHeight="1"/>
    <row r="1444" ht="12.75" customHeight="1"/>
    <row r="1445" ht="12.75" customHeight="1"/>
    <row r="1446" ht="12.75" customHeight="1"/>
    <row r="1447" ht="12.75" customHeight="1"/>
    <row r="1448" ht="12.75" customHeight="1"/>
    <row r="1449" ht="12.75" customHeight="1"/>
    <row r="1450" ht="12.75" customHeight="1"/>
    <row r="1451" ht="12.75" customHeight="1"/>
    <row r="1452" ht="12.75" customHeight="1"/>
    <row r="1453" ht="12.75" customHeight="1"/>
    <row r="1454" ht="12.75" customHeight="1"/>
    <row r="1455" ht="12.75" customHeight="1"/>
    <row r="1456" ht="12.75" customHeight="1"/>
    <row r="1457" ht="12.75" customHeight="1"/>
    <row r="1458" ht="12.75" customHeight="1"/>
    <row r="1459" ht="12.75" customHeight="1"/>
    <row r="1460" ht="12.75" customHeight="1"/>
    <row r="1461" ht="12.75" customHeight="1"/>
    <row r="1462" ht="12.75" customHeight="1"/>
    <row r="1463" ht="12.75" customHeight="1"/>
    <row r="1464" ht="12.75" customHeight="1"/>
    <row r="1465" ht="12.75" customHeight="1"/>
    <row r="1466" ht="12.75" customHeight="1"/>
    <row r="1467" ht="12.75" customHeight="1"/>
    <row r="1468" ht="12.75" customHeight="1"/>
    <row r="1469" ht="12.75" customHeight="1"/>
    <row r="1470" ht="12.75" customHeight="1"/>
    <row r="1471" ht="12.75" customHeight="1"/>
    <row r="1472" ht="12.75" customHeight="1"/>
    <row r="1473" ht="12.75" customHeight="1"/>
    <row r="1474" ht="12.75" customHeight="1"/>
    <row r="1475" ht="12.75" customHeight="1"/>
    <row r="1476" ht="12.75" customHeight="1"/>
    <row r="1477" ht="12.75" customHeight="1"/>
    <row r="1478" ht="12.75" customHeight="1"/>
    <row r="1479" ht="12.75" customHeight="1"/>
    <row r="1480" ht="12.75" customHeight="1"/>
    <row r="1481" ht="12.75" customHeight="1"/>
    <row r="1482" ht="12.75" customHeight="1"/>
    <row r="1483" ht="12.75" customHeight="1"/>
    <row r="1484" ht="12.75" customHeight="1"/>
    <row r="1485" ht="12.75" customHeight="1"/>
    <row r="1486" ht="12.75" customHeight="1"/>
    <row r="1487" ht="12.75" customHeight="1"/>
    <row r="1488" ht="12.75" customHeight="1"/>
    <row r="1489" ht="12.75" customHeight="1"/>
    <row r="1490" ht="12.75" customHeight="1"/>
    <row r="1491" ht="12.75" customHeight="1"/>
    <row r="1492" ht="12.75" customHeight="1"/>
    <row r="1493" ht="12.75" customHeight="1"/>
    <row r="1494" ht="12.75" customHeight="1"/>
    <row r="1495" ht="12.75" customHeight="1"/>
    <row r="1496" ht="12.75" customHeight="1"/>
    <row r="1497" ht="12.75" customHeight="1"/>
    <row r="1498" ht="12.75" customHeight="1"/>
    <row r="1499" ht="12.75" customHeight="1"/>
    <row r="1500" ht="12.75" customHeight="1"/>
    <row r="1501" ht="12.75" customHeight="1"/>
    <row r="1502" ht="12.75" customHeight="1"/>
    <row r="1503" ht="12.75" customHeight="1"/>
    <row r="1504" ht="12.75" customHeight="1"/>
    <row r="1505" ht="12.75" customHeight="1"/>
    <row r="1506" ht="12.75" customHeight="1"/>
    <row r="1507" ht="12.75" customHeight="1"/>
    <row r="1508" ht="12.75" customHeight="1"/>
    <row r="1509" ht="12.75" customHeight="1"/>
    <row r="1510" ht="12.75" customHeight="1"/>
    <row r="1511" ht="12.75" customHeight="1"/>
    <row r="1512" ht="12.75" customHeight="1"/>
    <row r="1513" ht="12.75" customHeight="1"/>
    <row r="1514" ht="12.75" customHeight="1"/>
    <row r="1515" ht="12.75" customHeight="1"/>
    <row r="1516" ht="12.75" customHeight="1"/>
    <row r="1517" ht="12.75" customHeight="1"/>
    <row r="1518" ht="12.75" customHeight="1"/>
    <row r="1519" ht="12.75" customHeight="1"/>
    <row r="1520" ht="12.75" customHeight="1"/>
    <row r="1521" ht="12.75" customHeight="1"/>
    <row r="1522" ht="12.75" customHeight="1"/>
    <row r="1523" ht="12.75" customHeight="1"/>
    <row r="1524" ht="12.75" customHeight="1"/>
    <row r="1525" ht="12.75" customHeight="1"/>
    <row r="1526" ht="12.75" customHeight="1"/>
    <row r="1527" ht="12.75" customHeight="1"/>
    <row r="1528" ht="12.75" customHeight="1"/>
    <row r="1529" ht="12.75" customHeight="1"/>
    <row r="1530" ht="12.75" customHeight="1"/>
    <row r="1531" ht="12.75" customHeight="1"/>
    <row r="1532" ht="12.75" customHeight="1"/>
    <row r="1533" ht="12.75" customHeight="1"/>
    <row r="1534" ht="12.75" customHeight="1"/>
    <row r="1535" ht="12.75" customHeight="1"/>
    <row r="1536" ht="12.75" customHeight="1"/>
    <row r="1537" ht="12.75" customHeight="1"/>
    <row r="1538" ht="12.75" customHeight="1"/>
    <row r="1539" ht="12.75" customHeight="1"/>
    <row r="1540" ht="12.75" customHeight="1"/>
    <row r="1541" ht="12.75" customHeight="1"/>
    <row r="1542" ht="12.75" customHeight="1"/>
    <row r="1543" ht="12.75" customHeight="1"/>
    <row r="1544" ht="12.75" customHeight="1"/>
    <row r="1545" ht="12.75" customHeight="1"/>
    <row r="1546" ht="12.75" customHeight="1"/>
    <row r="1547" ht="12.75" customHeight="1"/>
    <row r="1548" ht="12.75" customHeight="1"/>
    <row r="1549" ht="12.75" customHeight="1"/>
    <row r="1550" ht="12.75" customHeight="1"/>
    <row r="1551" ht="12.75" customHeight="1"/>
    <row r="1552" ht="12.75" customHeight="1"/>
    <row r="1553" ht="12.75" customHeight="1"/>
    <row r="1554" ht="12.75" customHeight="1"/>
    <row r="1555" ht="12.75" customHeight="1"/>
    <row r="1556" ht="12.75" customHeight="1"/>
    <row r="1557" ht="12.75" customHeight="1"/>
    <row r="1558" ht="12.75" customHeight="1"/>
    <row r="1559" ht="12.75" customHeight="1"/>
    <row r="1560" ht="12.75" customHeight="1"/>
    <row r="1561" ht="12.75" customHeight="1"/>
    <row r="1562" ht="12.75" customHeight="1"/>
    <row r="1563" ht="12.75" customHeight="1"/>
    <row r="1564" ht="12.75" customHeight="1"/>
    <row r="1565" ht="12.75" customHeight="1"/>
    <row r="1566" ht="12.75" customHeight="1"/>
    <row r="1567" ht="12.75" customHeight="1"/>
    <row r="1568" ht="12.75" customHeight="1"/>
    <row r="1569" ht="12.75" customHeight="1"/>
    <row r="1570" ht="12.75" customHeight="1"/>
    <row r="1571" ht="12.75" customHeight="1"/>
    <row r="1572" ht="12.75" customHeight="1"/>
    <row r="1573" ht="12.75" customHeight="1"/>
    <row r="1574" ht="12.75" customHeight="1"/>
    <row r="1575" ht="12.75" customHeight="1"/>
    <row r="1576" ht="12.75" customHeight="1"/>
    <row r="1577" ht="12.75" customHeight="1"/>
    <row r="1578" ht="12.75" customHeight="1"/>
    <row r="1579" ht="12.75" customHeight="1"/>
    <row r="1580" ht="12.75" customHeight="1"/>
    <row r="1581" ht="12.75" customHeight="1"/>
    <row r="1582" ht="12.75" customHeight="1"/>
    <row r="1583" ht="12.75" customHeight="1"/>
    <row r="1584" ht="12.75" customHeight="1"/>
    <row r="1585" ht="12.75" customHeight="1"/>
    <row r="1586" ht="12.75" customHeight="1"/>
    <row r="1587" ht="12.75" customHeight="1"/>
    <row r="1588" ht="12.75" customHeight="1"/>
    <row r="1589" ht="12.75" customHeight="1"/>
    <row r="1590" ht="12.75" customHeight="1"/>
    <row r="1591" ht="12.75" customHeight="1"/>
    <row r="1592" ht="12.75" customHeight="1"/>
    <row r="1593" ht="12.75" customHeight="1"/>
    <row r="1594" ht="12.75" customHeight="1"/>
    <row r="1595" ht="12.75" customHeight="1"/>
    <row r="1596" ht="12.75" customHeight="1"/>
    <row r="1597" ht="12.75" customHeight="1"/>
    <row r="1598" ht="12.75" customHeight="1"/>
    <row r="1599" ht="12.75" customHeight="1"/>
    <row r="1600" ht="12.75" customHeight="1"/>
    <row r="1601" ht="12.75" customHeight="1"/>
    <row r="1602" ht="12.75" customHeight="1"/>
    <row r="1603" ht="12.75" customHeight="1"/>
    <row r="1604" ht="12.75" customHeight="1"/>
    <row r="1605" ht="12.75" customHeight="1"/>
    <row r="1606" ht="12.75" customHeight="1"/>
    <row r="1607" ht="12.75" customHeight="1"/>
    <row r="1608" ht="12.75" customHeight="1"/>
    <row r="1609" ht="12.75" customHeight="1"/>
    <row r="1610" ht="12.75" customHeight="1"/>
    <row r="1611" ht="12.75" customHeight="1"/>
    <row r="1612" ht="12.75" customHeight="1"/>
    <row r="1613" ht="12.75" customHeight="1"/>
    <row r="1614" ht="12.75" customHeight="1"/>
    <row r="1615" ht="12.75" customHeight="1"/>
    <row r="1616" ht="12.75" customHeight="1"/>
    <row r="1617" ht="12.75" customHeight="1"/>
    <row r="1618" ht="12.75" customHeight="1"/>
    <row r="1619" ht="12.75" customHeight="1"/>
    <row r="1620" ht="12.75" customHeight="1"/>
    <row r="1621" ht="12.75" customHeight="1"/>
    <row r="1622" ht="12.75" customHeight="1"/>
    <row r="1623" ht="12.75" customHeight="1"/>
    <row r="1624" ht="12.75" customHeight="1"/>
    <row r="1625" ht="12.75" customHeight="1"/>
    <row r="1626" ht="12.75" customHeight="1"/>
    <row r="1627" ht="12.75" customHeight="1"/>
    <row r="1628" ht="12.75" customHeight="1"/>
    <row r="1629" ht="12.75" customHeight="1"/>
    <row r="1630" ht="12.75" customHeight="1"/>
    <row r="1631" ht="12.75" customHeight="1"/>
    <row r="1632" ht="12.75" customHeight="1"/>
    <row r="1633" ht="12.75" customHeight="1"/>
    <row r="1634" ht="12.75" customHeight="1"/>
    <row r="1635" ht="12.75" customHeight="1"/>
    <row r="1636" ht="12.75" customHeight="1"/>
    <row r="1637" ht="12.75" customHeight="1"/>
    <row r="1638" ht="12.75" customHeight="1"/>
    <row r="1639" ht="12.75" customHeight="1"/>
    <row r="1640" ht="12.75" customHeight="1"/>
    <row r="1641" ht="12.75" customHeight="1"/>
    <row r="1642" ht="12.75" customHeight="1"/>
    <row r="1643" ht="12.75" customHeight="1"/>
    <row r="1644" ht="12.75" customHeight="1"/>
    <row r="1645" ht="12.75" customHeight="1"/>
    <row r="1646" ht="12.75" customHeight="1"/>
    <row r="1647" ht="12.75" customHeight="1"/>
    <row r="1648" ht="12.75" customHeight="1"/>
    <row r="1649" ht="12.75" customHeight="1"/>
    <row r="1650" ht="12.75" customHeight="1"/>
    <row r="1651" ht="12.75" customHeight="1"/>
    <row r="1652" ht="12.75" customHeight="1"/>
    <row r="1653" ht="12.75" customHeight="1"/>
    <row r="1654" ht="12.75" customHeight="1"/>
    <row r="1655" ht="12.75" customHeight="1"/>
    <row r="1656" ht="12.75" customHeight="1"/>
    <row r="1657" ht="12.75" customHeight="1"/>
    <row r="1658" ht="12.75" customHeight="1"/>
    <row r="1659" ht="12.75" customHeight="1"/>
    <row r="1660" ht="12.75" customHeight="1"/>
    <row r="1661" ht="12.75" customHeight="1"/>
    <row r="1662" ht="12.75" customHeight="1"/>
    <row r="1663" ht="12.75" customHeight="1"/>
    <row r="1664" ht="12.75" customHeight="1"/>
    <row r="1665" ht="12.75" customHeight="1"/>
    <row r="1666" ht="12.75" customHeight="1"/>
    <row r="1667" ht="12.75" customHeight="1"/>
    <row r="1668" ht="12.75" customHeight="1"/>
    <row r="1669" ht="12.75" customHeight="1"/>
    <row r="1670" ht="12.75" customHeight="1"/>
    <row r="1671" ht="12.75" customHeight="1"/>
    <row r="1672" ht="12.75" customHeight="1"/>
    <row r="1673" ht="12.75" customHeight="1"/>
    <row r="1674" ht="12.75" customHeight="1"/>
    <row r="1675" ht="12.75" customHeight="1"/>
    <row r="1676" ht="12.75" customHeight="1"/>
    <row r="1677" ht="12.75" customHeight="1"/>
    <row r="1678" ht="12.75" customHeight="1"/>
    <row r="1679" ht="12.75" customHeight="1"/>
    <row r="1680" ht="12.75" customHeight="1"/>
    <row r="1681" ht="12.75" customHeight="1"/>
    <row r="1682" ht="12.75" customHeight="1"/>
    <row r="1683" ht="12.75" customHeight="1"/>
    <row r="1684" ht="12.75" customHeight="1"/>
    <row r="1685" ht="12.75" customHeight="1"/>
    <row r="1686" ht="12.75" customHeight="1"/>
    <row r="1687" ht="12.75" customHeight="1"/>
    <row r="1688" ht="12.75" customHeight="1"/>
    <row r="1689" ht="12.75" customHeight="1"/>
    <row r="1690" ht="12.75" customHeight="1"/>
    <row r="1691" ht="12.75" customHeight="1"/>
    <row r="1692" ht="12.75" customHeight="1"/>
    <row r="1693" ht="12.75" customHeight="1"/>
    <row r="1694" ht="12.75" customHeight="1"/>
    <row r="1695" ht="12.75" customHeight="1"/>
    <row r="1696" ht="12.75" customHeight="1"/>
    <row r="1697" ht="12.75" customHeight="1"/>
    <row r="1698" ht="12.75" customHeight="1"/>
    <row r="1699" ht="12.75" customHeight="1"/>
    <row r="1700" ht="12.75" customHeight="1"/>
    <row r="1701" ht="12.75" customHeight="1"/>
    <row r="1702" ht="12.75" customHeight="1"/>
    <row r="1703" ht="12.75" customHeight="1"/>
    <row r="1704" ht="12.75" customHeight="1"/>
    <row r="1705" ht="12.75" customHeight="1"/>
    <row r="1706" ht="12.75" customHeight="1"/>
    <row r="1707" ht="12.75" customHeight="1"/>
    <row r="1708" ht="12.75" customHeight="1"/>
    <row r="1709" ht="12.75" customHeight="1"/>
    <row r="1710" ht="12.75" customHeight="1"/>
    <row r="1711" ht="12.75" customHeight="1"/>
    <row r="1712" ht="12.75" customHeight="1"/>
    <row r="1713" ht="12.75" customHeight="1"/>
    <row r="1714" ht="12.75" customHeight="1"/>
    <row r="1715" ht="12.75" customHeight="1"/>
    <row r="1716" ht="12.75" customHeight="1"/>
    <row r="1717" ht="12.75" customHeight="1"/>
    <row r="1718" ht="12.75" customHeight="1"/>
    <row r="1719" ht="12.75" customHeight="1"/>
    <row r="1720" ht="12.75" customHeight="1"/>
    <row r="1721" ht="12.75" customHeight="1"/>
    <row r="1722" ht="12.75" customHeight="1"/>
    <row r="1723" ht="12.75" customHeight="1"/>
    <row r="1724" ht="12.75" customHeight="1"/>
    <row r="1725" ht="12.75" customHeight="1"/>
    <row r="1726" ht="12.75" customHeight="1"/>
    <row r="1727" ht="12.75" customHeight="1"/>
    <row r="1728" ht="12.75" customHeight="1"/>
    <row r="1729" ht="12.75" customHeight="1"/>
    <row r="1730" ht="12.75" customHeight="1"/>
    <row r="1731" ht="12.75" customHeight="1"/>
    <row r="1732" ht="12.75" customHeight="1"/>
    <row r="1733" ht="12.75" customHeight="1"/>
    <row r="1734" ht="12.75" customHeight="1"/>
    <row r="1735" ht="12.75" customHeight="1"/>
    <row r="1736" ht="12.75" customHeight="1"/>
    <row r="1737" ht="12.75" customHeight="1"/>
    <row r="1738" ht="12.75" customHeight="1"/>
    <row r="1739" ht="12.75" customHeight="1"/>
    <row r="1740" ht="12.75" customHeight="1"/>
    <row r="1741" ht="12.75" customHeight="1"/>
    <row r="1742" ht="12.75" customHeight="1"/>
    <row r="1743" ht="12.75" customHeight="1"/>
    <row r="1744" ht="12.75" customHeight="1"/>
    <row r="1745" ht="12.75" customHeight="1"/>
    <row r="1746" ht="12.75" customHeight="1"/>
    <row r="1747" ht="12.75" customHeight="1"/>
    <row r="1748" ht="12.75" customHeight="1"/>
    <row r="1749" ht="12.75" customHeight="1"/>
    <row r="1750" ht="12.75" customHeight="1"/>
    <row r="1751" ht="12.75" customHeight="1"/>
    <row r="1752" ht="12.75" customHeight="1"/>
    <row r="1753" ht="12.75" customHeight="1"/>
    <row r="1754" ht="12.75" customHeight="1"/>
    <row r="1755" ht="12.75" customHeight="1"/>
    <row r="1756" ht="12.75" customHeight="1"/>
    <row r="1757" ht="12.75" customHeight="1"/>
    <row r="1758" ht="12.75" customHeight="1"/>
    <row r="1759" ht="12.75" customHeight="1"/>
    <row r="1760" ht="12.75" customHeight="1"/>
    <row r="1761" ht="12.75" customHeight="1"/>
    <row r="1762" ht="12.75" customHeight="1"/>
    <row r="1763" ht="12.75" customHeight="1"/>
    <row r="1764" ht="12.75" customHeight="1"/>
    <row r="1765" ht="12.75" customHeight="1"/>
    <row r="1766" ht="12.75" customHeight="1"/>
    <row r="1767" ht="12.75" customHeight="1"/>
    <row r="1768" ht="12.75" customHeight="1"/>
    <row r="1769" ht="12.75" customHeight="1"/>
    <row r="1770" ht="12.75" customHeight="1"/>
    <row r="1771" ht="12.75" customHeight="1"/>
    <row r="1772" ht="12.75" customHeight="1"/>
    <row r="1773" ht="12.75" customHeight="1"/>
    <row r="1774" ht="12.75" customHeight="1"/>
    <row r="1775" ht="12.75" customHeight="1"/>
    <row r="1776" ht="12.75" customHeight="1"/>
    <row r="1777" ht="12.75" customHeight="1"/>
    <row r="1778" ht="12.75" customHeight="1"/>
    <row r="1779" ht="12.75" customHeight="1"/>
    <row r="1780" ht="12.75" customHeight="1"/>
    <row r="1781" ht="12.75" customHeight="1"/>
    <row r="1782" ht="12.75" customHeight="1"/>
    <row r="1783" ht="12.75" customHeight="1"/>
    <row r="1784" ht="12.75" customHeight="1"/>
    <row r="1785" ht="12.75" customHeight="1"/>
    <row r="1786" ht="12.75" customHeight="1"/>
    <row r="1787" ht="12.75" customHeight="1"/>
    <row r="1788" ht="12.75" customHeight="1"/>
    <row r="1789" ht="12.75" customHeight="1"/>
    <row r="1790" ht="12.75" customHeight="1"/>
    <row r="1791" ht="12.75" customHeight="1"/>
    <row r="1792" ht="12.75" customHeight="1"/>
    <row r="1793" ht="12.75" customHeight="1"/>
    <row r="1794" ht="12.75" customHeight="1"/>
    <row r="1795" ht="12.75" customHeight="1"/>
    <row r="1796" ht="12.75" customHeight="1"/>
    <row r="1797" ht="12.75" customHeight="1"/>
    <row r="1798" ht="12.75" customHeight="1"/>
    <row r="1799" ht="12.75" customHeight="1"/>
    <row r="1800" ht="12.75" customHeight="1"/>
    <row r="1801" ht="12.75" customHeight="1"/>
    <row r="1802" ht="12.75" customHeight="1"/>
    <row r="1803" ht="12.75" customHeight="1"/>
    <row r="1804" ht="12.75" customHeight="1"/>
    <row r="1805" ht="12.75" customHeight="1"/>
    <row r="1806" ht="12.75" customHeight="1"/>
    <row r="1807" ht="12.75" customHeight="1"/>
    <row r="1808" ht="12.75" customHeight="1"/>
    <row r="1809" ht="12.75" customHeight="1"/>
    <row r="1810" ht="12.75" customHeight="1"/>
    <row r="1811" ht="12.75" customHeight="1"/>
    <row r="1812" ht="12.75" customHeight="1"/>
    <row r="1813" ht="12.75" customHeight="1"/>
    <row r="1814" ht="12.75" customHeight="1"/>
    <row r="1815" ht="12.75" customHeight="1"/>
    <row r="1816" ht="12.75" customHeight="1"/>
    <row r="1817" ht="12.75" customHeight="1"/>
    <row r="1818" ht="12.75" customHeight="1"/>
    <row r="1819" ht="12.75" customHeight="1"/>
    <row r="1820" ht="12.75" customHeight="1"/>
    <row r="1821" ht="12.75" customHeight="1"/>
    <row r="1822" ht="12.75" customHeight="1"/>
    <row r="1823" ht="12.75" customHeight="1"/>
    <row r="1824" ht="12.75" customHeight="1"/>
    <row r="1825" ht="12.75" customHeight="1"/>
    <row r="1826" ht="12.75" customHeight="1"/>
    <row r="1827" ht="12.75" customHeight="1"/>
    <row r="1828" ht="12.75" customHeight="1"/>
    <row r="1829" ht="12.75" customHeight="1"/>
    <row r="1830" ht="12.75" customHeight="1"/>
    <row r="1831" ht="12.75" customHeight="1"/>
    <row r="1832" ht="12.75" customHeight="1"/>
    <row r="1833" ht="12.75" customHeight="1"/>
    <row r="1834" ht="12.75" customHeight="1"/>
    <row r="1835" ht="12.75" customHeight="1"/>
    <row r="1836" ht="12.75" customHeight="1"/>
    <row r="1837" ht="12.75" customHeight="1"/>
    <row r="1838" ht="12.75" customHeight="1"/>
    <row r="1839" ht="12.75" customHeight="1"/>
    <row r="1840" ht="12.75" customHeight="1"/>
    <row r="1841" ht="12.75" customHeight="1"/>
    <row r="1842" ht="12.75" customHeight="1"/>
    <row r="1843" ht="12.75" customHeight="1"/>
    <row r="1844" ht="12.75" customHeight="1"/>
    <row r="1845" ht="12.75" customHeight="1"/>
    <row r="1846" ht="12.75" customHeight="1"/>
    <row r="1847" ht="12.75" customHeight="1"/>
    <row r="1848" ht="12.75" customHeight="1"/>
    <row r="1849" ht="12.75" customHeight="1"/>
    <row r="1870" s="17" customFormat="1"/>
    <row r="1871" s="17" customFormat="1"/>
    <row r="1872" s="17" customFormat="1"/>
    <row r="1873" s="17" customFormat="1"/>
    <row r="1874" s="17" customFormat="1"/>
    <row r="1875" s="17" customFormat="1"/>
    <row r="1876" s="17" customFormat="1"/>
    <row r="1877" s="17" customFormat="1"/>
    <row r="1878" s="17" customFormat="1"/>
    <row r="1879" s="17" customFormat="1"/>
    <row r="1880" s="17" customFormat="1"/>
    <row r="1881" s="17" customFormat="1"/>
    <row r="1882" s="17" customFormat="1"/>
    <row r="1883" s="17" customFormat="1"/>
    <row r="1884" s="17" customFormat="1"/>
    <row r="1885" s="17" customFormat="1"/>
    <row r="1886" s="17" customFormat="1"/>
    <row r="1887" s="17" customFormat="1"/>
    <row r="1888" s="17" customFormat="1"/>
    <row r="1889" s="17" customFormat="1"/>
    <row r="1890" s="17" customFormat="1"/>
    <row r="1891" s="17" customFormat="1"/>
    <row r="1892" s="17" customFormat="1"/>
    <row r="1893" s="17" customFormat="1"/>
    <row r="1894" s="17" customFormat="1"/>
    <row r="1895" s="17" customFormat="1"/>
    <row r="1896" s="17" customFormat="1"/>
    <row r="1897" s="17" customFormat="1"/>
    <row r="1898" s="17" customFormat="1"/>
    <row r="1899" s="17" customFormat="1"/>
    <row r="1900" s="17" customFormat="1"/>
    <row r="1901" s="17" customFormat="1"/>
    <row r="1902" s="17" customFormat="1"/>
    <row r="1903" s="17" customFormat="1"/>
    <row r="1904" s="17" customFormat="1"/>
    <row r="1905" s="17" customFormat="1"/>
    <row r="1906" s="17" customFormat="1"/>
    <row r="1907" s="17" customFormat="1"/>
    <row r="1908" s="17" customFormat="1"/>
    <row r="1909" s="17" customFormat="1"/>
    <row r="1910" s="17" customFormat="1"/>
    <row r="1911" s="17" customFormat="1"/>
    <row r="1912" s="17" customFormat="1"/>
    <row r="1913" s="17" customFormat="1" ht="12.75" customHeight="1"/>
    <row r="1914" s="17" customFormat="1" ht="12.75" customHeight="1"/>
    <row r="1915" s="17" customFormat="1" ht="12.75" customHeight="1"/>
    <row r="1916" s="17" customFormat="1" ht="12.75" customHeight="1"/>
    <row r="1917" s="17" customFormat="1" ht="12.75" customHeight="1"/>
    <row r="1918" s="17" customFormat="1" ht="12.75" customHeight="1"/>
    <row r="1919" s="17" customFormat="1" ht="12.75" customHeight="1"/>
    <row r="1920" s="17" customFormat="1" ht="12.75" customHeight="1"/>
    <row r="1921" s="17" customFormat="1" ht="12.75" customHeight="1"/>
    <row r="1922" s="17" customFormat="1" ht="12.75" customHeight="1"/>
    <row r="1923" s="17" customFormat="1" ht="12.75" customHeight="1"/>
    <row r="1924" s="17" customFormat="1" ht="12.75" customHeight="1"/>
    <row r="1925" s="17" customFormat="1" ht="12.75" customHeight="1"/>
    <row r="1926" s="17" customFormat="1" ht="12.75" customHeight="1"/>
    <row r="1927" s="17" customFormat="1" ht="12.75" customHeight="1"/>
    <row r="1928" s="17" customFormat="1" ht="12.75" customHeight="1"/>
    <row r="1929" s="17" customFormat="1" ht="12.75" customHeight="1"/>
    <row r="1930" s="17" customFormat="1" ht="12.75" customHeight="1"/>
    <row r="1931" s="17" customFormat="1" ht="12.75" customHeight="1"/>
    <row r="1932" s="17" customFormat="1" ht="12.75" customHeight="1"/>
    <row r="1933" s="17" customFormat="1" ht="12.75" customHeight="1"/>
    <row r="1934" s="17" customFormat="1" ht="12.75" customHeight="1"/>
    <row r="1935" s="17" customFormat="1" ht="12.75" customHeight="1"/>
    <row r="1936" s="17" customFormat="1" ht="12.75" customHeight="1"/>
    <row r="1937" s="17" customFormat="1" ht="12.75" customHeight="1"/>
    <row r="1938" s="17" customFormat="1" ht="12.75" customHeight="1"/>
    <row r="1982" s="14" customFormat="1"/>
    <row r="1983" s="14" customFormat="1"/>
    <row r="1984" s="14" customFormat="1"/>
    <row r="1985" s="14" customFormat="1"/>
    <row r="1986" s="14" customFormat="1"/>
    <row r="1987" s="14" customFormat="1"/>
    <row r="1988" s="14" customFormat="1"/>
    <row r="1989" s="14" customFormat="1"/>
    <row r="1990" s="14" customFormat="1"/>
    <row r="1991" s="14" customFormat="1"/>
    <row r="1992" s="14" customFormat="1"/>
    <row r="1993" s="14" customFormat="1"/>
    <row r="1994" s="14" customFormat="1"/>
    <row r="1995" s="14" customFormat="1"/>
    <row r="1996" s="14" customFormat="1"/>
    <row r="1997" s="17" customFormat="1"/>
    <row r="1998" s="17" customFormat="1"/>
    <row r="1999" s="17" customFormat="1"/>
    <row r="2000" s="17" customFormat="1"/>
    <row r="2001" s="17" customFormat="1"/>
    <row r="2002" s="17" customFormat="1"/>
    <row r="2003" s="17" customFormat="1"/>
    <row r="2004" s="17" customFormat="1"/>
    <row r="2005" s="17" customFormat="1"/>
    <row r="2006" s="17" customFormat="1"/>
    <row r="2007" s="17" customFormat="1"/>
    <row r="2008" s="17" customFormat="1"/>
    <row r="2009" s="17" customFormat="1"/>
    <row r="2010" s="17" customFormat="1"/>
    <row r="2011" s="17" customFormat="1"/>
    <row r="2012" s="17" customFormat="1"/>
    <row r="2013" s="17" customFormat="1"/>
    <row r="2014" s="17" customFormat="1"/>
    <row r="2015" s="17" customFormat="1"/>
    <row r="2016" s="17" customFormat="1"/>
    <row r="2017" s="17" customFormat="1"/>
    <row r="2018" s="17" customFormat="1"/>
    <row r="2019" s="17" customFormat="1"/>
    <row r="2020" s="17" customFormat="1"/>
    <row r="2021" s="17" customFormat="1"/>
    <row r="2022" s="17" customFormat="1"/>
    <row r="2023" s="17" customFormat="1"/>
    <row r="2024" s="17" customFormat="1"/>
    <row r="2025" s="17" customFormat="1"/>
    <row r="2026" s="17" customFormat="1"/>
    <row r="2027" s="17" customFormat="1"/>
    <row r="2028" s="17" customFormat="1"/>
    <row r="2029" s="17" customFormat="1"/>
    <row r="2030" s="17" customFormat="1"/>
    <row r="2031" s="55" customFormat="1"/>
    <row r="2032" s="55" customFormat="1"/>
    <row r="2033" s="55" customFormat="1"/>
    <row r="2034" s="55" customFormat="1"/>
    <row r="2035" s="55" customFormat="1"/>
    <row r="2036" s="55" customFormat="1"/>
    <row r="2037" s="55" customFormat="1"/>
    <row r="2038" s="55" customFormat="1"/>
    <row r="2039" s="55" customFormat="1"/>
    <row r="2040" s="55" customFormat="1"/>
    <row r="2041" s="55" customFormat="1"/>
    <row r="2042" s="55" customFormat="1"/>
    <row r="2043" s="55" customFormat="1"/>
    <row r="2044" s="55" customFormat="1"/>
    <row r="2045" s="55" customFormat="1"/>
    <row r="2046" s="55" customFormat="1"/>
    <row r="2047" s="55" customFormat="1"/>
    <row r="2048" s="55" customFormat="1"/>
    <row r="2049" s="55" customFormat="1"/>
    <row r="2050" s="55" customFormat="1"/>
    <row r="2051" s="55" customFormat="1"/>
    <row r="2052" s="55" customFormat="1"/>
    <row r="2053" s="55" customFormat="1"/>
    <row r="2054" s="55" customFormat="1"/>
    <row r="2055" s="55" customFormat="1"/>
    <row r="2056" s="55" customFormat="1"/>
    <row r="2057" s="55" customFormat="1"/>
    <row r="2058" s="55" customFormat="1"/>
    <row r="2059" s="55" customFormat="1"/>
    <row r="2060" s="55" customFormat="1"/>
    <row r="2061" s="55" customFormat="1"/>
    <row r="2062" s="55" customFormat="1"/>
    <row r="2063" s="55" customFormat="1"/>
    <row r="2064" s="55" customFormat="1"/>
    <row r="2065" s="55" customFormat="1"/>
    <row r="2066" s="55" customFormat="1"/>
    <row r="2067" s="55" customFormat="1"/>
    <row r="2068" s="55" customFormat="1"/>
    <row r="2069" s="55" customFormat="1"/>
    <row r="2070" s="55" customFormat="1"/>
    <row r="2071" s="55" customFormat="1"/>
    <row r="2072" s="55" customFormat="1"/>
    <row r="2073" s="55" customFormat="1"/>
    <row r="2074" s="55" customFormat="1"/>
    <row r="2075" s="55" customFormat="1"/>
    <row r="2076" s="55" customFormat="1"/>
    <row r="2077" s="55" customFormat="1"/>
    <row r="2078" s="55" customFormat="1"/>
    <row r="2079" s="55" customFormat="1"/>
    <row r="2080" s="55" customFormat="1"/>
    <row r="2081" s="55" customFormat="1"/>
    <row r="2082" s="55" customFormat="1"/>
    <row r="2083" s="55" customFormat="1"/>
    <row r="2084" s="55" customFormat="1"/>
    <row r="2085" s="55" customFormat="1"/>
    <row r="2086" s="55" customFormat="1"/>
    <row r="2087" s="55" customFormat="1"/>
    <row r="2088" s="55" customFormat="1"/>
    <row r="2089" s="55" customFormat="1"/>
    <row r="2090" s="55" customFormat="1"/>
    <row r="2091" s="55" customFormat="1"/>
    <row r="2092" s="55" customFormat="1"/>
    <row r="2093" s="55" customFormat="1"/>
    <row r="2094" s="55" customFormat="1"/>
    <row r="2095" s="55" customFormat="1"/>
    <row r="2096" s="55" customFormat="1"/>
    <row r="2097" s="55" customFormat="1"/>
    <row r="2098" s="55" customFormat="1"/>
    <row r="2099" s="55" customFormat="1"/>
    <row r="2100" s="55" customFormat="1"/>
    <row r="2101" s="55" customFormat="1"/>
    <row r="2102" s="55" customFormat="1"/>
    <row r="2103" s="55" customFormat="1"/>
    <row r="2104" s="55" customFormat="1"/>
    <row r="2105" s="55" customFormat="1"/>
    <row r="2106" s="55" customFormat="1"/>
    <row r="2107" s="55" customFormat="1"/>
    <row r="2108" s="55" customFormat="1"/>
    <row r="2109" s="55" customFormat="1"/>
    <row r="2110" s="55" customFormat="1"/>
    <row r="2111" s="55" customFormat="1"/>
    <row r="2112" s="55" customFormat="1"/>
    <row r="2113" s="55" customFormat="1"/>
    <row r="2114" s="55" customFormat="1"/>
    <row r="2115" s="55" customFormat="1"/>
    <row r="2116" s="55" customFormat="1"/>
    <row r="2117" s="55" customFormat="1"/>
    <row r="2118" s="55" customFormat="1"/>
    <row r="2119" s="55" customFormat="1"/>
    <row r="2120" s="55" customFormat="1"/>
    <row r="2121" s="55" customFormat="1"/>
    <row r="2122" s="55" customFormat="1"/>
    <row r="2123" s="55" customFormat="1"/>
    <row r="2124" s="55" customFormat="1"/>
    <row r="2125" s="55" customFormat="1"/>
    <row r="2126" s="55" customFormat="1"/>
    <row r="2127" s="55" customFormat="1"/>
    <row r="2128" s="55" customFormat="1"/>
    <row r="2129" s="55" customFormat="1"/>
    <row r="2130" s="55" customFormat="1"/>
    <row r="2131" s="55" customFormat="1"/>
    <row r="2132" s="55" customFormat="1"/>
    <row r="2133" s="55" customFormat="1"/>
    <row r="2134" s="55" customFormat="1"/>
    <row r="2135" s="55" customFormat="1"/>
    <row r="2136" s="55" customFormat="1"/>
    <row r="2137" s="55" customFormat="1"/>
    <row r="2138" s="55" customFormat="1"/>
    <row r="2139" s="55" customFormat="1"/>
    <row r="2140" s="55" customFormat="1"/>
    <row r="2141" s="55" customFormat="1"/>
    <row r="2142" s="55" customFormat="1"/>
    <row r="2143" s="55" customFormat="1"/>
    <row r="2144" s="55" customFormat="1"/>
    <row r="2145" s="55" customFormat="1"/>
    <row r="2146" s="55" customFormat="1"/>
    <row r="2147" s="55" customFormat="1"/>
    <row r="2148" s="55" customFormat="1"/>
    <row r="2149" s="55" customFormat="1"/>
    <row r="2150" s="55" customFormat="1"/>
    <row r="2151" s="55" customFormat="1"/>
    <row r="2152" s="55" customFormat="1"/>
    <row r="2153" s="55" customFormat="1"/>
    <row r="2154" s="55" customFormat="1"/>
    <row r="2155" s="55" customFormat="1"/>
    <row r="2156" s="55" customFormat="1"/>
    <row r="2157" s="55" customFormat="1"/>
    <row r="2158" s="55" customFormat="1"/>
    <row r="2159" s="55" customFormat="1"/>
    <row r="2160" s="55" customFormat="1"/>
    <row r="2161" s="55" customFormat="1"/>
    <row r="2162" s="55" customFormat="1"/>
    <row r="2163" s="55" customFormat="1"/>
    <row r="2164" s="55" customFormat="1"/>
    <row r="2165" s="55" customFormat="1"/>
    <row r="2166" s="55" customFormat="1"/>
    <row r="2167" s="55" customFormat="1"/>
    <row r="2168" s="55" customFormat="1"/>
    <row r="2169" s="55" customFormat="1"/>
    <row r="2170" s="55" customFormat="1"/>
    <row r="2171" s="55" customFormat="1"/>
    <row r="2172" s="55" customFormat="1"/>
    <row r="2173" s="55" customFormat="1"/>
    <row r="2174" s="55" customFormat="1"/>
    <row r="2175" s="55" customFormat="1"/>
    <row r="2176" s="55" customFormat="1"/>
    <row r="2177" s="55" customFormat="1"/>
    <row r="2178" s="55" customFormat="1"/>
    <row r="2179" s="55" customFormat="1"/>
    <row r="2180" s="55" customFormat="1"/>
    <row r="2181" s="55" customFormat="1"/>
    <row r="2182" s="55" customFormat="1"/>
    <row r="2183" s="55" customFormat="1"/>
    <row r="2184" s="55" customFormat="1"/>
    <row r="2185" s="55" customFormat="1"/>
    <row r="2186" s="55" customFormat="1"/>
    <row r="2187" s="55" customFormat="1"/>
    <row r="2188" s="55" customFormat="1"/>
    <row r="2189" s="55" customFormat="1"/>
    <row r="2190" s="55" customFormat="1"/>
    <row r="2191" s="55" customFormat="1"/>
    <row r="2192" s="55" customFormat="1"/>
    <row r="2193" s="55" customFormat="1"/>
    <row r="2194" s="55" customFormat="1"/>
    <row r="2195" s="55" customFormat="1"/>
    <row r="2196" s="55" customFormat="1"/>
    <row r="2197" s="55" customFormat="1"/>
    <row r="2198" s="55" customFormat="1"/>
    <row r="2199" s="55" customFormat="1"/>
    <row r="2200" s="55" customFormat="1"/>
    <row r="2201" s="55" customFormat="1"/>
    <row r="2202" s="55" customFormat="1"/>
    <row r="2203" s="55" customFormat="1"/>
    <row r="2204" s="55" customFormat="1"/>
    <row r="2205" s="55" customFormat="1"/>
    <row r="2206" s="55" customFormat="1"/>
    <row r="2207" s="55" customFormat="1"/>
    <row r="2208" s="55" customFormat="1"/>
    <row r="2209" s="55" customFormat="1"/>
    <row r="2210" s="55" customFormat="1"/>
    <row r="2211" s="55" customFormat="1"/>
    <row r="2212" s="55" customFormat="1"/>
    <row r="2213" s="55" customFormat="1"/>
    <row r="2214" s="55" customFormat="1"/>
    <row r="2215" s="55" customFormat="1"/>
    <row r="2216" s="55" customFormat="1"/>
    <row r="2217" s="55" customFormat="1"/>
    <row r="2218" s="55" customFormat="1"/>
    <row r="2219" s="55" customFormat="1"/>
    <row r="2220" s="55" customFormat="1"/>
    <row r="2221" s="55" customFormat="1"/>
    <row r="2222" s="55" customFormat="1"/>
    <row r="2223" s="55" customFormat="1"/>
    <row r="2224" s="55" customFormat="1"/>
    <row r="2225" s="55" customFormat="1"/>
    <row r="2226" s="55" customFormat="1"/>
    <row r="2227" s="55" customFormat="1"/>
    <row r="2228" s="55" customFormat="1"/>
    <row r="2229" s="55" customFormat="1"/>
    <row r="2230" s="55" customFormat="1"/>
    <row r="2231" s="55" customFormat="1"/>
    <row r="2232" s="55" customFormat="1"/>
    <row r="2233" s="55" customFormat="1"/>
    <row r="2234" s="55" customFormat="1"/>
    <row r="2235" s="55" customFormat="1"/>
    <row r="2236" s="55" customFormat="1"/>
    <row r="2237" s="55" customFormat="1"/>
    <row r="2238" s="55" customFormat="1"/>
    <row r="2239" s="55" customFormat="1"/>
    <row r="2240" s="55" customFormat="1"/>
    <row r="2241" s="55" customFormat="1"/>
    <row r="2242" s="55" customFormat="1"/>
    <row r="2243" s="55" customFormat="1"/>
    <row r="2244" s="55" customFormat="1"/>
    <row r="2245" s="55" customFormat="1"/>
    <row r="2246" s="55" customFormat="1"/>
    <row r="2247" s="55" customFormat="1"/>
    <row r="2248" s="55" customFormat="1"/>
    <row r="2249" s="55" customFormat="1"/>
    <row r="2250" s="55" customFormat="1"/>
  </sheetData>
  <phoneticPr fontId="3"/>
  <pageMargins left="0.7" right="0.7" top="0.75" bottom="0.75" header="0.3" footer="0.3"/>
  <pageSetup paperSize="9" orientation="portrait" horizontalDpi="4294967292" verticalDpi="4294967292"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E8E13E-78E2-6248-8EFC-B9675F6691E1}">
  <dimension ref="A1:T2223"/>
  <sheetViews>
    <sheetView topLeftCell="J1" workbookViewId="0">
      <pane ySplit="1" topLeftCell="A2" activePane="bottomLeft" state="frozen"/>
      <selection pane="bottomLeft" activeCell="U1" sqref="U1:CH1048576"/>
    </sheetView>
  </sheetViews>
  <sheetFormatPr baseColWidth="10" defaultColWidth="12.83203125" defaultRowHeight="14"/>
  <cols>
    <col min="1" max="1" width="12.6640625" style="1" bestFit="1" customWidth="1"/>
    <col min="2" max="2" width="9.33203125" style="1" bestFit="1" customWidth="1"/>
    <col min="3" max="3" width="13.5" style="1" bestFit="1" customWidth="1"/>
    <col min="4" max="4" width="10.1640625" style="5" bestFit="1" customWidth="1"/>
    <col min="5" max="5" width="5.83203125" style="1" bestFit="1" customWidth="1"/>
    <col min="6" max="6" width="6.6640625" style="1" bestFit="1" customWidth="1"/>
    <col min="7" max="7" width="4.6640625" style="4" bestFit="1" customWidth="1"/>
    <col min="8" max="8" width="8" style="8" bestFit="1" customWidth="1"/>
    <col min="9" max="9" width="12.83203125" style="11" bestFit="1" customWidth="1"/>
    <col min="10" max="10" width="11.83203125" style="11" bestFit="1" customWidth="1"/>
    <col min="11" max="11" width="7.83203125" style="9" bestFit="1" customWidth="1"/>
    <col min="12" max="12" width="7.6640625" style="9" customWidth="1"/>
    <col min="13" max="13" width="7.5" style="9" customWidth="1"/>
    <col min="14" max="14" width="15.1640625" style="12" bestFit="1" customWidth="1"/>
    <col min="15" max="15" width="8.1640625" style="11" bestFit="1" customWidth="1"/>
    <col min="16" max="17" width="10.6640625" style="7" bestFit="1" customWidth="1"/>
    <col min="18" max="18" width="16.1640625" style="1" bestFit="1" customWidth="1"/>
    <col min="19" max="19" width="10.83203125" style="1" bestFit="1" customWidth="1"/>
    <col min="20" max="20" width="10.83203125" style="1" customWidth="1"/>
    <col min="21" max="16384" width="12.83203125" style="7"/>
  </cols>
  <sheetData>
    <row r="1" spans="1:20" s="1" customFormat="1">
      <c r="A1" s="1" t="s">
        <v>163</v>
      </c>
      <c r="B1" s="1" t="s">
        <v>0</v>
      </c>
      <c r="C1" s="1" t="s">
        <v>502</v>
      </c>
      <c r="D1" s="5" t="s">
        <v>4</v>
      </c>
      <c r="E1" s="1" t="s">
        <v>275</v>
      </c>
      <c r="F1" s="1" t="s">
        <v>276</v>
      </c>
      <c r="G1" s="4" t="s">
        <v>277</v>
      </c>
      <c r="H1" s="8" t="s">
        <v>286</v>
      </c>
      <c r="I1" s="3" t="s">
        <v>7</v>
      </c>
      <c r="J1" s="3" t="s">
        <v>6</v>
      </c>
      <c r="K1" s="4" t="s">
        <v>5</v>
      </c>
      <c r="L1" s="4" t="s">
        <v>578</v>
      </c>
      <c r="M1" s="4" t="s">
        <v>290</v>
      </c>
      <c r="N1" s="2" t="s">
        <v>3</v>
      </c>
      <c r="O1" s="3" t="s">
        <v>1</v>
      </c>
      <c r="P1" s="1" t="s">
        <v>8</v>
      </c>
      <c r="Q1" s="1" t="s">
        <v>2</v>
      </c>
      <c r="R1" s="1" t="s">
        <v>278</v>
      </c>
      <c r="S1" s="1" t="s">
        <v>577</v>
      </c>
      <c r="T1" s="70" t="s">
        <v>625</v>
      </c>
    </row>
    <row r="2" spans="1:20" s="17" customFormat="1">
      <c r="A2" s="26" t="s">
        <v>137</v>
      </c>
      <c r="B2" s="26" t="s">
        <v>87</v>
      </c>
      <c r="C2" s="26" t="s">
        <v>507</v>
      </c>
      <c r="D2" s="25">
        <v>42286</v>
      </c>
      <c r="E2" s="1">
        <f t="shared" ref="E2:E65" si="0">YEAR(D2)</f>
        <v>2015</v>
      </c>
      <c r="F2" s="1">
        <f t="shared" ref="F2:F65" si="1">MONTH(D2)</f>
        <v>10</v>
      </c>
      <c r="G2" s="4">
        <f t="shared" ref="G2:G65" si="2">DAY(D2)</f>
        <v>9</v>
      </c>
      <c r="H2" s="8">
        <v>0.70138888888888884</v>
      </c>
      <c r="I2" s="22">
        <v>129.27619999999999</v>
      </c>
      <c r="J2" s="22">
        <v>32.2896</v>
      </c>
      <c r="K2" s="27">
        <v>4.5</v>
      </c>
      <c r="L2" s="27">
        <v>5</v>
      </c>
      <c r="M2" s="9" t="s">
        <v>501</v>
      </c>
      <c r="N2" s="21">
        <v>25.020499999999998</v>
      </c>
      <c r="O2" s="24">
        <v>33.641254901960778</v>
      </c>
      <c r="P2" s="31">
        <v>-0.14000000000000001</v>
      </c>
      <c r="Q2" s="31">
        <v>-1.05</v>
      </c>
      <c r="R2" s="26" t="s">
        <v>280</v>
      </c>
      <c r="S2" s="26"/>
      <c r="T2" s="71" t="s">
        <v>626</v>
      </c>
    </row>
    <row r="3" spans="1:20" s="17" customFormat="1">
      <c r="A3" s="26" t="s">
        <v>137</v>
      </c>
      <c r="B3" s="26" t="s">
        <v>88</v>
      </c>
      <c r="C3" s="26" t="s">
        <v>506</v>
      </c>
      <c r="D3" s="25">
        <v>42287</v>
      </c>
      <c r="E3" s="1">
        <f t="shared" si="0"/>
        <v>2015</v>
      </c>
      <c r="F3" s="1">
        <f t="shared" si="1"/>
        <v>10</v>
      </c>
      <c r="G3" s="4">
        <f t="shared" si="2"/>
        <v>10</v>
      </c>
      <c r="H3" s="8">
        <v>0.26597222222222222</v>
      </c>
      <c r="I3" s="22">
        <v>126.4393</v>
      </c>
      <c r="J3" s="22">
        <v>30.57197</v>
      </c>
      <c r="K3" s="27">
        <v>4.5</v>
      </c>
      <c r="L3" s="27">
        <v>5</v>
      </c>
      <c r="M3" s="9" t="s">
        <v>501</v>
      </c>
      <c r="N3" s="21">
        <v>25.067699999999999</v>
      </c>
      <c r="O3" s="24">
        <v>33.169654901960783</v>
      </c>
      <c r="P3" s="31">
        <v>0.04</v>
      </c>
      <c r="Q3" s="31">
        <v>-0.45</v>
      </c>
      <c r="R3" s="26" t="s">
        <v>280</v>
      </c>
      <c r="S3" s="26"/>
      <c r="T3" s="71" t="s">
        <v>626</v>
      </c>
    </row>
    <row r="4" spans="1:20" s="17" customFormat="1">
      <c r="A4" s="26" t="s">
        <v>137</v>
      </c>
      <c r="B4" s="26">
        <v>1</v>
      </c>
      <c r="C4" s="26" t="s">
        <v>506</v>
      </c>
      <c r="D4" s="25">
        <v>42287</v>
      </c>
      <c r="E4" s="1">
        <f t="shared" si="0"/>
        <v>2015</v>
      </c>
      <c r="F4" s="1">
        <f t="shared" si="1"/>
        <v>10</v>
      </c>
      <c r="G4" s="4">
        <f t="shared" si="2"/>
        <v>10</v>
      </c>
      <c r="H4" s="8">
        <v>0.74652777777777779</v>
      </c>
      <c r="I4" s="22">
        <v>124.24948333333333</v>
      </c>
      <c r="J4" s="22">
        <v>30.500233333333334</v>
      </c>
      <c r="K4" s="27">
        <v>0</v>
      </c>
      <c r="L4" s="27">
        <v>0</v>
      </c>
      <c r="M4" s="27">
        <v>0</v>
      </c>
      <c r="N4" s="21">
        <v>24.1</v>
      </c>
      <c r="O4" s="24">
        <v>32.583624304829542</v>
      </c>
      <c r="P4" s="31">
        <v>-0.22</v>
      </c>
      <c r="Q4" s="31">
        <v>-2.09</v>
      </c>
      <c r="R4" s="26" t="s">
        <v>280</v>
      </c>
      <c r="S4" s="26"/>
      <c r="T4" s="71" t="s">
        <v>626</v>
      </c>
    </row>
    <row r="5" spans="1:20" s="17" customFormat="1">
      <c r="A5" s="26" t="s">
        <v>137</v>
      </c>
      <c r="B5" s="26">
        <v>2</v>
      </c>
      <c r="C5" s="26" t="s">
        <v>506</v>
      </c>
      <c r="D5" s="25">
        <v>42287</v>
      </c>
      <c r="E5" s="1">
        <f t="shared" si="0"/>
        <v>2015</v>
      </c>
      <c r="F5" s="1">
        <f t="shared" si="1"/>
        <v>10</v>
      </c>
      <c r="G5" s="4">
        <f t="shared" si="2"/>
        <v>10</v>
      </c>
      <c r="H5" s="8">
        <v>0.82500000000000007</v>
      </c>
      <c r="I5" s="22">
        <v>124.49886666666667</v>
      </c>
      <c r="J5" s="22">
        <v>30.501799999999999</v>
      </c>
      <c r="K5" s="27">
        <v>0</v>
      </c>
      <c r="L5" s="27">
        <v>0</v>
      </c>
      <c r="M5" s="27">
        <v>0</v>
      </c>
      <c r="N5" s="21">
        <v>24.2</v>
      </c>
      <c r="O5" s="24">
        <v>33.353834089084579</v>
      </c>
      <c r="P5" s="31">
        <v>-0.01</v>
      </c>
      <c r="Q5" s="31">
        <v>-0.89</v>
      </c>
      <c r="R5" s="26" t="s">
        <v>280</v>
      </c>
      <c r="S5" s="26"/>
      <c r="T5" s="71" t="s">
        <v>626</v>
      </c>
    </row>
    <row r="6" spans="1:20" s="17" customFormat="1">
      <c r="A6" s="26" t="s">
        <v>137</v>
      </c>
      <c r="B6" s="26">
        <v>3</v>
      </c>
      <c r="C6" s="26" t="s">
        <v>506</v>
      </c>
      <c r="D6" s="25">
        <v>42287</v>
      </c>
      <c r="E6" s="1">
        <f t="shared" si="0"/>
        <v>2015</v>
      </c>
      <c r="F6" s="1">
        <f t="shared" si="1"/>
        <v>10</v>
      </c>
      <c r="G6" s="4">
        <f t="shared" si="2"/>
        <v>10</v>
      </c>
      <c r="H6" s="8">
        <v>0.94374999999999998</v>
      </c>
      <c r="I6" s="22">
        <v>125.00245</v>
      </c>
      <c r="J6" s="22">
        <v>30.499766666666666</v>
      </c>
      <c r="K6" s="27">
        <v>0</v>
      </c>
      <c r="L6" s="27">
        <v>0</v>
      </c>
      <c r="M6" s="27">
        <v>0</v>
      </c>
      <c r="N6" s="21">
        <v>23.9</v>
      </c>
      <c r="O6" s="24">
        <v>33.63209765799634</v>
      </c>
      <c r="P6" s="31">
        <v>0.05</v>
      </c>
      <c r="Q6" s="31">
        <v>-0.28000000000000003</v>
      </c>
      <c r="R6" s="26" t="s">
        <v>280</v>
      </c>
      <c r="S6" s="26"/>
      <c r="T6" s="71" t="s">
        <v>626</v>
      </c>
    </row>
    <row r="7" spans="1:20" s="17" customFormat="1">
      <c r="A7" s="26" t="s">
        <v>137</v>
      </c>
      <c r="B7" s="26">
        <v>4</v>
      </c>
      <c r="C7" s="26" t="s">
        <v>506</v>
      </c>
      <c r="D7" s="25">
        <v>42288</v>
      </c>
      <c r="E7" s="1">
        <f t="shared" si="0"/>
        <v>2015</v>
      </c>
      <c r="F7" s="1">
        <f t="shared" si="1"/>
        <v>10</v>
      </c>
      <c r="G7" s="4">
        <f t="shared" si="2"/>
        <v>11</v>
      </c>
      <c r="H7" s="8">
        <v>6.7361111111111108E-2</v>
      </c>
      <c r="I7" s="22">
        <v>125.51073333333333</v>
      </c>
      <c r="J7" s="22">
        <v>30.567499999999999</v>
      </c>
      <c r="K7" s="27">
        <v>0</v>
      </c>
      <c r="L7" s="27">
        <v>0</v>
      </c>
      <c r="M7" s="27">
        <v>0</v>
      </c>
      <c r="N7" s="21">
        <v>22.5</v>
      </c>
      <c r="O7" s="24">
        <v>32.383520661732987</v>
      </c>
      <c r="P7" s="31">
        <v>-0.28000000000000003</v>
      </c>
      <c r="Q7" s="31">
        <v>-2.4300000000000002</v>
      </c>
      <c r="R7" s="26" t="s">
        <v>280</v>
      </c>
      <c r="S7" s="26"/>
      <c r="T7" s="71" t="s">
        <v>626</v>
      </c>
    </row>
    <row r="8" spans="1:20" s="17" customFormat="1">
      <c r="A8" s="26" t="s">
        <v>137</v>
      </c>
      <c r="B8" s="26">
        <v>5</v>
      </c>
      <c r="C8" s="26" t="s">
        <v>506</v>
      </c>
      <c r="D8" s="25">
        <v>42288</v>
      </c>
      <c r="E8" s="1">
        <f t="shared" si="0"/>
        <v>2015</v>
      </c>
      <c r="F8" s="1">
        <f t="shared" si="1"/>
        <v>10</v>
      </c>
      <c r="G8" s="4">
        <f t="shared" si="2"/>
        <v>11</v>
      </c>
      <c r="H8" s="8">
        <v>0.25</v>
      </c>
      <c r="I8" s="22">
        <v>125.92536666666666</v>
      </c>
      <c r="J8" s="22">
        <v>30.513549999999999</v>
      </c>
      <c r="K8" s="27">
        <v>0</v>
      </c>
      <c r="L8" s="27">
        <v>0</v>
      </c>
      <c r="M8" s="27">
        <v>0</v>
      </c>
      <c r="N8" s="21">
        <v>23.4</v>
      </c>
      <c r="O8" s="24">
        <v>32.561116468058209</v>
      </c>
      <c r="P8" s="31">
        <v>-0.05</v>
      </c>
      <c r="Q8" s="31">
        <v>-1.56</v>
      </c>
      <c r="R8" s="26" t="s">
        <v>280</v>
      </c>
      <c r="S8" s="26"/>
      <c r="T8" s="71" t="s">
        <v>626</v>
      </c>
    </row>
    <row r="9" spans="1:20" s="17" customFormat="1">
      <c r="A9" s="26" t="s">
        <v>137</v>
      </c>
      <c r="B9" s="26">
        <v>6</v>
      </c>
      <c r="C9" s="26" t="s">
        <v>506</v>
      </c>
      <c r="D9" s="25">
        <v>42288</v>
      </c>
      <c r="E9" s="1">
        <f t="shared" si="0"/>
        <v>2015</v>
      </c>
      <c r="F9" s="1">
        <f t="shared" si="1"/>
        <v>10</v>
      </c>
      <c r="G9" s="4">
        <f t="shared" si="2"/>
        <v>11</v>
      </c>
      <c r="H9" s="8">
        <v>0.49305555555555558</v>
      </c>
      <c r="I9" s="22">
        <v>126.00135</v>
      </c>
      <c r="J9" s="22">
        <v>30.999666666666666</v>
      </c>
      <c r="K9" s="27">
        <v>0</v>
      </c>
      <c r="L9" s="27">
        <v>0</v>
      </c>
      <c r="M9" s="27">
        <v>0</v>
      </c>
      <c r="N9" s="21">
        <v>23.1</v>
      </c>
      <c r="O9" s="24">
        <v>31.841801205928121</v>
      </c>
      <c r="P9" s="31">
        <v>-0.34</v>
      </c>
      <c r="Q9" s="31">
        <v>-3.09</v>
      </c>
      <c r="R9" s="26" t="s">
        <v>280</v>
      </c>
      <c r="S9" s="26"/>
      <c r="T9" s="71" t="s">
        <v>626</v>
      </c>
    </row>
    <row r="10" spans="1:20" s="17" customFormat="1">
      <c r="A10" s="26" t="s">
        <v>137</v>
      </c>
      <c r="B10" s="26">
        <v>7</v>
      </c>
      <c r="C10" s="26" t="s">
        <v>506</v>
      </c>
      <c r="D10" s="25">
        <v>42288</v>
      </c>
      <c r="E10" s="1">
        <f t="shared" si="0"/>
        <v>2015</v>
      </c>
      <c r="F10" s="1">
        <f t="shared" si="1"/>
        <v>10</v>
      </c>
      <c r="G10" s="4">
        <f t="shared" si="2"/>
        <v>11</v>
      </c>
      <c r="H10" s="8">
        <v>0.77638888888888891</v>
      </c>
      <c r="I10" s="22">
        <v>124.8317</v>
      </c>
      <c r="J10" s="22">
        <v>30.832133333333335</v>
      </c>
      <c r="K10" s="27">
        <v>0</v>
      </c>
      <c r="L10" s="27">
        <v>0</v>
      </c>
      <c r="M10" s="27">
        <v>0</v>
      </c>
      <c r="N10" s="21">
        <v>22.7</v>
      </c>
      <c r="O10" s="24">
        <v>33.32466853964209</v>
      </c>
      <c r="P10" s="31">
        <v>0.04</v>
      </c>
      <c r="Q10" s="31">
        <v>-0.77</v>
      </c>
      <c r="R10" s="26" t="s">
        <v>280</v>
      </c>
      <c r="S10" s="26"/>
      <c r="T10" s="71" t="s">
        <v>626</v>
      </c>
    </row>
    <row r="11" spans="1:20" s="17" customFormat="1">
      <c r="A11" s="26" t="s">
        <v>137</v>
      </c>
      <c r="B11" s="26">
        <v>8</v>
      </c>
      <c r="C11" s="26" t="s">
        <v>506</v>
      </c>
      <c r="D11" s="25">
        <v>42288</v>
      </c>
      <c r="E11" s="1">
        <f t="shared" si="0"/>
        <v>2015</v>
      </c>
      <c r="F11" s="1">
        <f t="shared" si="1"/>
        <v>10</v>
      </c>
      <c r="G11" s="4">
        <f t="shared" si="2"/>
        <v>11</v>
      </c>
      <c r="H11" s="8">
        <v>0.89861111111111114</v>
      </c>
      <c r="I11" s="22">
        <v>124.83248333333333</v>
      </c>
      <c r="J11" s="22">
        <v>31.250866666666667</v>
      </c>
      <c r="K11" s="27">
        <v>0</v>
      </c>
      <c r="L11" s="27">
        <v>0</v>
      </c>
      <c r="M11" s="27">
        <v>0</v>
      </c>
      <c r="N11" s="21">
        <v>23.4</v>
      </c>
      <c r="O11" s="24">
        <v>32.687239593104643</v>
      </c>
      <c r="P11" s="31">
        <v>-0.12</v>
      </c>
      <c r="Q11" s="31">
        <v>-1.74</v>
      </c>
      <c r="R11" s="26" t="s">
        <v>280</v>
      </c>
      <c r="S11" s="26"/>
      <c r="T11" s="71" t="s">
        <v>626</v>
      </c>
    </row>
    <row r="12" spans="1:20" s="17" customFormat="1">
      <c r="A12" s="26" t="s">
        <v>137</v>
      </c>
      <c r="B12" s="26">
        <v>9</v>
      </c>
      <c r="C12" s="26" t="s">
        <v>506</v>
      </c>
      <c r="D12" s="25">
        <v>42289</v>
      </c>
      <c r="E12" s="1">
        <f t="shared" si="0"/>
        <v>2015</v>
      </c>
      <c r="F12" s="1">
        <f t="shared" si="1"/>
        <v>10</v>
      </c>
      <c r="G12" s="4">
        <f t="shared" si="2"/>
        <v>12</v>
      </c>
      <c r="H12" s="8">
        <v>2.7777777777777776E-2</v>
      </c>
      <c r="I12" s="22">
        <v>124.83738333333334</v>
      </c>
      <c r="J12" s="22">
        <v>31.751966666666668</v>
      </c>
      <c r="K12" s="27">
        <v>0</v>
      </c>
      <c r="L12" s="27">
        <v>0</v>
      </c>
      <c r="M12" s="27">
        <v>0</v>
      </c>
      <c r="N12" s="21">
        <v>22.2</v>
      </c>
      <c r="O12" s="24">
        <v>31.784647101425687</v>
      </c>
      <c r="P12" s="31">
        <v>-0.3</v>
      </c>
      <c r="Q12" s="31">
        <v>-2.94</v>
      </c>
      <c r="R12" s="26" t="s">
        <v>280</v>
      </c>
      <c r="S12" s="26"/>
      <c r="T12" s="71" t="s">
        <v>626</v>
      </c>
    </row>
    <row r="13" spans="1:20" s="17" customFormat="1">
      <c r="A13" s="26" t="s">
        <v>137</v>
      </c>
      <c r="B13" s="26">
        <v>10</v>
      </c>
      <c r="C13" s="26" t="s">
        <v>506</v>
      </c>
      <c r="D13" s="25">
        <v>42289</v>
      </c>
      <c r="E13" s="1">
        <f t="shared" si="0"/>
        <v>2015</v>
      </c>
      <c r="F13" s="1">
        <f t="shared" si="1"/>
        <v>10</v>
      </c>
      <c r="G13" s="4">
        <f t="shared" si="2"/>
        <v>12</v>
      </c>
      <c r="H13" s="8">
        <v>0.18680555555555556</v>
      </c>
      <c r="I13" s="22">
        <v>124.83799999999999</v>
      </c>
      <c r="J13" s="22">
        <v>32.247</v>
      </c>
      <c r="K13" s="27">
        <v>0</v>
      </c>
      <c r="L13" s="27">
        <v>0</v>
      </c>
      <c r="M13" s="27">
        <v>0</v>
      </c>
      <c r="N13" s="21">
        <v>22.3</v>
      </c>
      <c r="O13" s="24">
        <v>31.042999999999999</v>
      </c>
      <c r="P13" s="31">
        <v>-0.51</v>
      </c>
      <c r="Q13" s="31">
        <v>-4.0599999999999996</v>
      </c>
      <c r="R13" s="26" t="s">
        <v>280</v>
      </c>
      <c r="S13" s="26"/>
      <c r="T13" s="71" t="s">
        <v>626</v>
      </c>
    </row>
    <row r="14" spans="1:20" s="17" customFormat="1">
      <c r="A14" s="26" t="s">
        <v>137</v>
      </c>
      <c r="B14" s="26">
        <v>11</v>
      </c>
      <c r="C14" s="26" t="s">
        <v>506</v>
      </c>
      <c r="D14" s="25">
        <v>42289</v>
      </c>
      <c r="E14" s="1">
        <f t="shared" si="0"/>
        <v>2015</v>
      </c>
      <c r="F14" s="1">
        <f t="shared" si="1"/>
        <v>10</v>
      </c>
      <c r="G14" s="4">
        <f t="shared" si="2"/>
        <v>12</v>
      </c>
      <c r="H14" s="8">
        <v>0.34375</v>
      </c>
      <c r="I14" s="22">
        <v>124.92449999999999</v>
      </c>
      <c r="J14" s="22">
        <v>32.663499999999999</v>
      </c>
      <c r="K14" s="27">
        <v>0</v>
      </c>
      <c r="L14" s="27">
        <v>0</v>
      </c>
      <c r="M14" s="27">
        <v>0</v>
      </c>
      <c r="N14" s="21">
        <v>21.4</v>
      </c>
      <c r="O14" s="24">
        <v>31.147307905744675</v>
      </c>
      <c r="P14" s="31">
        <v>-0.46</v>
      </c>
      <c r="Q14" s="31">
        <v>-4.1500000000000004</v>
      </c>
      <c r="R14" s="26" t="s">
        <v>280</v>
      </c>
      <c r="S14" s="26"/>
      <c r="T14" s="71" t="s">
        <v>626</v>
      </c>
    </row>
    <row r="15" spans="1:20" s="17" customFormat="1">
      <c r="A15" s="26" t="s">
        <v>137</v>
      </c>
      <c r="B15" s="26">
        <v>12</v>
      </c>
      <c r="C15" s="26" t="s">
        <v>506</v>
      </c>
      <c r="D15" s="25">
        <v>42289</v>
      </c>
      <c r="E15" s="1">
        <f t="shared" si="0"/>
        <v>2015</v>
      </c>
      <c r="F15" s="1">
        <f t="shared" si="1"/>
        <v>10</v>
      </c>
      <c r="G15" s="4">
        <f t="shared" si="2"/>
        <v>12</v>
      </c>
      <c r="H15" s="8">
        <v>0.44166666666666665</v>
      </c>
      <c r="I15" s="22">
        <v>125.249</v>
      </c>
      <c r="J15" s="22">
        <v>32.667999999999999</v>
      </c>
      <c r="K15" s="27">
        <v>0</v>
      </c>
      <c r="L15" s="27">
        <v>0</v>
      </c>
      <c r="M15" s="27">
        <v>0</v>
      </c>
      <c r="N15" s="21">
        <v>21.4</v>
      </c>
      <c r="O15" s="24">
        <v>31.029</v>
      </c>
      <c r="P15" s="31">
        <v>-0.56000000000000005</v>
      </c>
      <c r="Q15" s="31">
        <v>-4.91</v>
      </c>
      <c r="R15" s="26" t="s">
        <v>280</v>
      </c>
      <c r="S15" s="26"/>
      <c r="T15" s="71" t="s">
        <v>626</v>
      </c>
    </row>
    <row r="16" spans="1:20" s="17" customFormat="1">
      <c r="A16" s="26" t="s">
        <v>137</v>
      </c>
      <c r="B16" s="26">
        <v>13</v>
      </c>
      <c r="C16" s="26" t="s">
        <v>506</v>
      </c>
      <c r="D16" s="25">
        <v>42289</v>
      </c>
      <c r="E16" s="1">
        <f t="shared" si="0"/>
        <v>2015</v>
      </c>
      <c r="F16" s="1">
        <f t="shared" si="1"/>
        <v>10</v>
      </c>
      <c r="G16" s="4">
        <f t="shared" si="2"/>
        <v>12</v>
      </c>
      <c r="H16" s="8">
        <v>0.57291666666666663</v>
      </c>
      <c r="I16" s="22">
        <v>125.7531</v>
      </c>
      <c r="J16" s="22">
        <v>32.666116666666667</v>
      </c>
      <c r="K16" s="27">
        <v>0</v>
      </c>
      <c r="L16" s="27">
        <v>0</v>
      </c>
      <c r="M16" s="27">
        <v>0</v>
      </c>
      <c r="N16" s="21">
        <v>22</v>
      </c>
      <c r="O16" s="24">
        <v>31.543880096721427</v>
      </c>
      <c r="P16" s="31">
        <v>-0.5</v>
      </c>
      <c r="Q16" s="31">
        <v>-3.78</v>
      </c>
      <c r="R16" s="26" t="s">
        <v>280</v>
      </c>
      <c r="S16" s="26"/>
      <c r="T16" s="71" t="s">
        <v>626</v>
      </c>
    </row>
    <row r="17" spans="1:20" s="17" customFormat="1">
      <c r="A17" s="26" t="s">
        <v>137</v>
      </c>
      <c r="B17" s="26">
        <v>14</v>
      </c>
      <c r="C17" s="26" t="s">
        <v>506</v>
      </c>
      <c r="D17" s="25">
        <v>42289</v>
      </c>
      <c r="E17" s="1">
        <f t="shared" si="0"/>
        <v>2015</v>
      </c>
      <c r="F17" s="1">
        <f t="shared" si="1"/>
        <v>10</v>
      </c>
      <c r="G17" s="4">
        <f t="shared" si="2"/>
        <v>12</v>
      </c>
      <c r="H17" s="8">
        <v>0.86875000000000002</v>
      </c>
      <c r="I17" s="22">
        <v>124.8296</v>
      </c>
      <c r="J17" s="22">
        <v>31.750583333333335</v>
      </c>
      <c r="K17" s="27">
        <v>0</v>
      </c>
      <c r="L17" s="27">
        <v>0</v>
      </c>
      <c r="M17" s="27">
        <v>0</v>
      </c>
      <c r="N17" s="21">
        <v>22</v>
      </c>
      <c r="O17" s="24">
        <v>31.931717620208069</v>
      </c>
      <c r="P17" s="31">
        <v>-0.27</v>
      </c>
      <c r="Q17" s="31">
        <v>-2.71</v>
      </c>
      <c r="R17" s="26" t="s">
        <v>280</v>
      </c>
      <c r="S17" s="26"/>
      <c r="T17" s="71" t="s">
        <v>626</v>
      </c>
    </row>
    <row r="18" spans="1:20" s="17" customFormat="1">
      <c r="A18" s="26" t="s">
        <v>137</v>
      </c>
      <c r="B18" s="26">
        <v>16</v>
      </c>
      <c r="C18" s="26" t="s">
        <v>506</v>
      </c>
      <c r="D18" s="25">
        <v>42289</v>
      </c>
      <c r="E18" s="1">
        <f t="shared" si="0"/>
        <v>2015</v>
      </c>
      <c r="F18" s="1">
        <f t="shared" si="1"/>
        <v>10</v>
      </c>
      <c r="G18" s="4">
        <f t="shared" si="2"/>
        <v>12</v>
      </c>
      <c r="H18" s="8">
        <v>0.99722222222222223</v>
      </c>
      <c r="I18" s="22">
        <v>125.25521666666667</v>
      </c>
      <c r="J18" s="22">
        <v>31.754016666666665</v>
      </c>
      <c r="K18" s="27">
        <v>0</v>
      </c>
      <c r="L18" s="27">
        <v>0</v>
      </c>
      <c r="M18" s="27">
        <v>0</v>
      </c>
      <c r="N18" s="21">
        <v>22.3</v>
      </c>
      <c r="O18" s="24">
        <v>31.178149427791102</v>
      </c>
      <c r="P18" s="31">
        <v>-0.5</v>
      </c>
      <c r="Q18" s="31">
        <v>-4.04</v>
      </c>
      <c r="R18" s="26" t="s">
        <v>280</v>
      </c>
      <c r="S18" s="26">
        <v>1</v>
      </c>
      <c r="T18" s="71" t="s">
        <v>626</v>
      </c>
    </row>
    <row r="19" spans="1:20" s="17" customFormat="1">
      <c r="A19" s="26" t="s">
        <v>137</v>
      </c>
      <c r="B19" s="26">
        <v>16</v>
      </c>
      <c r="C19" s="26" t="s">
        <v>506</v>
      </c>
      <c r="D19" s="25">
        <v>42289</v>
      </c>
      <c r="E19" s="1">
        <f t="shared" si="0"/>
        <v>2015</v>
      </c>
      <c r="F19" s="1">
        <f t="shared" si="1"/>
        <v>10</v>
      </c>
      <c r="G19" s="4">
        <f t="shared" si="2"/>
        <v>12</v>
      </c>
      <c r="H19" s="8">
        <v>0.99722222222222223</v>
      </c>
      <c r="I19" s="22">
        <v>125.25521666666667</v>
      </c>
      <c r="J19" s="22">
        <v>31.754016666666665</v>
      </c>
      <c r="K19" s="27">
        <v>10</v>
      </c>
      <c r="L19" s="27">
        <v>10</v>
      </c>
      <c r="M19" s="27" t="s">
        <v>287</v>
      </c>
      <c r="N19" s="21">
        <v>22.464600000000001</v>
      </c>
      <c r="O19" s="24">
        <v>31.1572</v>
      </c>
      <c r="P19" s="31">
        <v>-0.51</v>
      </c>
      <c r="Q19" s="31">
        <v>-3.99</v>
      </c>
      <c r="R19" s="26" t="s">
        <v>280</v>
      </c>
      <c r="S19" s="26">
        <v>1</v>
      </c>
      <c r="T19" s="71" t="s">
        <v>626</v>
      </c>
    </row>
    <row r="20" spans="1:20" s="17" customFormat="1">
      <c r="A20" s="26" t="s">
        <v>137</v>
      </c>
      <c r="B20" s="26">
        <v>16</v>
      </c>
      <c r="C20" s="26" t="s">
        <v>506</v>
      </c>
      <c r="D20" s="25">
        <v>42289</v>
      </c>
      <c r="E20" s="1">
        <f t="shared" si="0"/>
        <v>2015</v>
      </c>
      <c r="F20" s="1">
        <f t="shared" si="1"/>
        <v>10</v>
      </c>
      <c r="G20" s="4">
        <f t="shared" si="2"/>
        <v>12</v>
      </c>
      <c r="H20" s="8">
        <v>0.99722222222222223</v>
      </c>
      <c r="I20" s="22">
        <v>125.25521666666667</v>
      </c>
      <c r="J20" s="22">
        <v>31.754016666666665</v>
      </c>
      <c r="K20" s="27">
        <v>20</v>
      </c>
      <c r="L20" s="27">
        <v>20</v>
      </c>
      <c r="M20" s="27" t="s">
        <v>287</v>
      </c>
      <c r="N20" s="21">
        <v>22.513000000000002</v>
      </c>
      <c r="O20" s="24">
        <v>31.287099999999999</v>
      </c>
      <c r="P20" s="31">
        <v>-0.5</v>
      </c>
      <c r="Q20" s="31">
        <v>-3.97</v>
      </c>
      <c r="R20" s="26" t="s">
        <v>280</v>
      </c>
      <c r="S20" s="26">
        <v>1</v>
      </c>
      <c r="T20" s="71" t="s">
        <v>626</v>
      </c>
    </row>
    <row r="21" spans="1:20" s="17" customFormat="1">
      <c r="A21" s="26" t="s">
        <v>137</v>
      </c>
      <c r="B21" s="26">
        <v>16</v>
      </c>
      <c r="C21" s="26" t="s">
        <v>506</v>
      </c>
      <c r="D21" s="25">
        <v>42289</v>
      </c>
      <c r="E21" s="1">
        <f t="shared" si="0"/>
        <v>2015</v>
      </c>
      <c r="F21" s="1">
        <f t="shared" si="1"/>
        <v>10</v>
      </c>
      <c r="G21" s="4">
        <f t="shared" si="2"/>
        <v>12</v>
      </c>
      <c r="H21" s="8">
        <v>0.99722222222222223</v>
      </c>
      <c r="I21" s="22">
        <v>125.25521666666667</v>
      </c>
      <c r="J21" s="22">
        <v>31.754016666666665</v>
      </c>
      <c r="K21" s="27">
        <v>30</v>
      </c>
      <c r="L21" s="27">
        <v>30</v>
      </c>
      <c r="M21" s="27" t="s">
        <v>287</v>
      </c>
      <c r="N21" s="21">
        <v>22.820399999999999</v>
      </c>
      <c r="O21" s="24">
        <v>31.843499999999999</v>
      </c>
      <c r="P21" s="31">
        <v>-0.34</v>
      </c>
      <c r="Q21" s="31">
        <v>-3.05</v>
      </c>
      <c r="R21" s="26" t="s">
        <v>280</v>
      </c>
      <c r="S21" s="26">
        <v>1</v>
      </c>
      <c r="T21" s="71" t="s">
        <v>626</v>
      </c>
    </row>
    <row r="22" spans="1:20" s="14" customFormat="1">
      <c r="A22" s="26" t="s">
        <v>137</v>
      </c>
      <c r="B22" s="26">
        <v>16</v>
      </c>
      <c r="C22" s="26" t="s">
        <v>506</v>
      </c>
      <c r="D22" s="25">
        <v>42289</v>
      </c>
      <c r="E22" s="1">
        <f t="shared" si="0"/>
        <v>2015</v>
      </c>
      <c r="F22" s="1">
        <f t="shared" si="1"/>
        <v>10</v>
      </c>
      <c r="G22" s="4">
        <f t="shared" si="2"/>
        <v>12</v>
      </c>
      <c r="H22" s="8">
        <v>0.99722222222222223</v>
      </c>
      <c r="I22" s="22">
        <v>125.25521666666667</v>
      </c>
      <c r="J22" s="22">
        <v>31.754016666666665</v>
      </c>
      <c r="K22" s="27">
        <v>43</v>
      </c>
      <c r="L22" s="27">
        <v>43</v>
      </c>
      <c r="M22" s="27" t="s">
        <v>287</v>
      </c>
      <c r="N22" s="21">
        <v>22.667100000000001</v>
      </c>
      <c r="O22" s="24">
        <v>31.988900000000001</v>
      </c>
      <c r="P22" s="31">
        <v>-0.28999999999999998</v>
      </c>
      <c r="Q22" s="31">
        <v>-2.74</v>
      </c>
      <c r="R22" s="26" t="s">
        <v>280</v>
      </c>
      <c r="S22" s="26">
        <v>1</v>
      </c>
      <c r="T22" s="71" t="s">
        <v>626</v>
      </c>
    </row>
    <row r="23" spans="1:20" s="14" customFormat="1">
      <c r="A23" s="26" t="s">
        <v>137</v>
      </c>
      <c r="B23" s="26">
        <v>18</v>
      </c>
      <c r="C23" s="26" t="s">
        <v>506</v>
      </c>
      <c r="D23" s="25">
        <v>42290</v>
      </c>
      <c r="E23" s="1">
        <f t="shared" si="0"/>
        <v>2015</v>
      </c>
      <c r="F23" s="1">
        <f t="shared" si="1"/>
        <v>10</v>
      </c>
      <c r="G23" s="4">
        <f t="shared" si="2"/>
        <v>13</v>
      </c>
      <c r="H23" s="8">
        <v>0.1388888888888889</v>
      </c>
      <c r="I23" s="22">
        <v>125.69625000000001</v>
      </c>
      <c r="J23" s="22">
        <v>31.756683333333335</v>
      </c>
      <c r="K23" s="27">
        <v>0</v>
      </c>
      <c r="L23" s="27">
        <v>0</v>
      </c>
      <c r="M23" s="27">
        <v>0</v>
      </c>
      <c r="N23" s="21">
        <v>22.5</v>
      </c>
      <c r="O23" s="24">
        <v>31.657118414442998</v>
      </c>
      <c r="P23" s="31">
        <v>-0.39</v>
      </c>
      <c r="Q23" s="31">
        <v>-3.25</v>
      </c>
      <c r="R23" s="26" t="s">
        <v>280</v>
      </c>
      <c r="S23" s="26"/>
      <c r="T23" s="71" t="s">
        <v>626</v>
      </c>
    </row>
    <row r="24" spans="1:20" s="14" customFormat="1">
      <c r="A24" s="26" t="s">
        <v>137</v>
      </c>
      <c r="B24" s="26">
        <v>20</v>
      </c>
      <c r="C24" s="26" t="s">
        <v>506</v>
      </c>
      <c r="D24" s="25">
        <v>42290</v>
      </c>
      <c r="E24" s="1">
        <f t="shared" si="0"/>
        <v>2015</v>
      </c>
      <c r="F24" s="1">
        <f t="shared" si="1"/>
        <v>10</v>
      </c>
      <c r="G24" s="4">
        <f t="shared" si="2"/>
        <v>13</v>
      </c>
      <c r="H24" s="8">
        <v>0.32569444444444445</v>
      </c>
      <c r="I24" s="22">
        <v>126.30276666666667</v>
      </c>
      <c r="J24" s="22">
        <v>31.737533333333332</v>
      </c>
      <c r="K24" s="27">
        <v>0</v>
      </c>
      <c r="L24" s="27">
        <v>0</v>
      </c>
      <c r="M24" s="27">
        <v>0</v>
      </c>
      <c r="N24" s="21">
        <v>21.9</v>
      </c>
      <c r="O24" s="24">
        <v>32.382926702654949</v>
      </c>
      <c r="P24" s="31">
        <v>-0.17</v>
      </c>
      <c r="Q24" s="31">
        <v>-2.08</v>
      </c>
      <c r="R24" s="26" t="s">
        <v>280</v>
      </c>
      <c r="S24" s="26"/>
      <c r="T24" s="71" t="s">
        <v>626</v>
      </c>
    </row>
    <row r="25" spans="1:20" s="14" customFormat="1">
      <c r="A25" s="26" t="s">
        <v>137</v>
      </c>
      <c r="B25" s="26">
        <v>22</v>
      </c>
      <c r="C25" s="26" t="s">
        <v>506</v>
      </c>
      <c r="D25" s="25">
        <v>42290</v>
      </c>
      <c r="E25" s="1">
        <f t="shared" si="0"/>
        <v>2015</v>
      </c>
      <c r="F25" s="1">
        <f t="shared" si="1"/>
        <v>10</v>
      </c>
      <c r="G25" s="4">
        <f t="shared" si="2"/>
        <v>13</v>
      </c>
      <c r="H25" s="8">
        <v>0.5</v>
      </c>
      <c r="I25" s="22">
        <v>126.7989</v>
      </c>
      <c r="J25" s="22">
        <v>31.750316666666667</v>
      </c>
      <c r="K25" s="27">
        <v>0</v>
      </c>
      <c r="L25" s="27">
        <v>0</v>
      </c>
      <c r="M25" s="27">
        <v>0</v>
      </c>
      <c r="N25" s="21">
        <v>23.5</v>
      </c>
      <c r="O25" s="24">
        <v>33.062830176202425</v>
      </c>
      <c r="P25" s="31">
        <v>-0.04</v>
      </c>
      <c r="Q25" s="31">
        <v>-1.06</v>
      </c>
      <c r="R25" s="26" t="s">
        <v>280</v>
      </c>
      <c r="S25" s="26"/>
      <c r="T25" s="71" t="s">
        <v>626</v>
      </c>
    </row>
    <row r="26" spans="1:20" s="14" customFormat="1">
      <c r="A26" s="26" t="s">
        <v>137</v>
      </c>
      <c r="B26" s="26">
        <v>24</v>
      </c>
      <c r="C26" s="26" t="s">
        <v>506</v>
      </c>
      <c r="D26" s="25">
        <v>42290</v>
      </c>
      <c r="E26" s="1">
        <f t="shared" si="0"/>
        <v>2015</v>
      </c>
      <c r="F26" s="1">
        <f t="shared" si="1"/>
        <v>10</v>
      </c>
      <c r="G26" s="4">
        <f t="shared" si="2"/>
        <v>13</v>
      </c>
      <c r="H26" s="8">
        <v>0.65</v>
      </c>
      <c r="I26" s="22">
        <v>127.25136666666667</v>
      </c>
      <c r="J26" s="22">
        <v>31.750166666666665</v>
      </c>
      <c r="K26" s="27">
        <v>0</v>
      </c>
      <c r="L26" s="27">
        <v>0</v>
      </c>
      <c r="M26" s="27">
        <v>0</v>
      </c>
      <c r="N26" s="21">
        <v>24.1</v>
      </c>
      <c r="O26" s="24">
        <v>34.13547244601142</v>
      </c>
      <c r="P26" s="31">
        <v>0.25</v>
      </c>
      <c r="Q26" s="31">
        <v>0.85</v>
      </c>
      <c r="R26" s="26" t="s">
        <v>280</v>
      </c>
      <c r="S26" s="26">
        <v>1</v>
      </c>
      <c r="T26" s="71" t="s">
        <v>626</v>
      </c>
    </row>
    <row r="27" spans="1:20" s="14" customFormat="1">
      <c r="A27" s="26" t="s">
        <v>137</v>
      </c>
      <c r="B27" s="26">
        <v>24</v>
      </c>
      <c r="C27" s="26" t="s">
        <v>506</v>
      </c>
      <c r="D27" s="25">
        <v>42290</v>
      </c>
      <c r="E27" s="1">
        <f t="shared" si="0"/>
        <v>2015</v>
      </c>
      <c r="F27" s="1">
        <f t="shared" si="1"/>
        <v>10</v>
      </c>
      <c r="G27" s="4">
        <f t="shared" si="2"/>
        <v>13</v>
      </c>
      <c r="H27" s="8">
        <v>0.65</v>
      </c>
      <c r="I27" s="22">
        <v>127.25136666666667</v>
      </c>
      <c r="J27" s="22">
        <v>31.750166666666665</v>
      </c>
      <c r="K27" s="27">
        <v>10</v>
      </c>
      <c r="L27" s="27">
        <v>10</v>
      </c>
      <c r="M27" s="27" t="s">
        <v>287</v>
      </c>
      <c r="N27" s="21">
        <v>24.9053</v>
      </c>
      <c r="O27" s="24">
        <v>34.120400000000004</v>
      </c>
      <c r="P27" s="31">
        <v>0.26</v>
      </c>
      <c r="Q27" s="31">
        <v>0.86</v>
      </c>
      <c r="R27" s="26" t="s">
        <v>280</v>
      </c>
      <c r="S27" s="26">
        <v>1</v>
      </c>
      <c r="T27" s="71" t="s">
        <v>626</v>
      </c>
    </row>
    <row r="28" spans="1:20" s="14" customFormat="1">
      <c r="A28" s="26" t="s">
        <v>137</v>
      </c>
      <c r="B28" s="26">
        <v>24</v>
      </c>
      <c r="C28" s="26" t="s">
        <v>506</v>
      </c>
      <c r="D28" s="25">
        <v>42290</v>
      </c>
      <c r="E28" s="1">
        <f t="shared" si="0"/>
        <v>2015</v>
      </c>
      <c r="F28" s="1">
        <f t="shared" si="1"/>
        <v>10</v>
      </c>
      <c r="G28" s="4">
        <f t="shared" si="2"/>
        <v>13</v>
      </c>
      <c r="H28" s="8">
        <v>0.65</v>
      </c>
      <c r="I28" s="22">
        <v>127.25136666666667</v>
      </c>
      <c r="J28" s="22">
        <v>31.750166666666665</v>
      </c>
      <c r="K28" s="27">
        <v>20</v>
      </c>
      <c r="L28" s="27">
        <v>20</v>
      </c>
      <c r="M28" s="27" t="s">
        <v>287</v>
      </c>
      <c r="N28" s="21">
        <v>24.906700000000001</v>
      </c>
      <c r="O28" s="24">
        <v>34.1205</v>
      </c>
      <c r="P28" s="31">
        <v>0.24</v>
      </c>
      <c r="Q28" s="31">
        <v>0.75</v>
      </c>
      <c r="R28" s="26" t="s">
        <v>280</v>
      </c>
      <c r="S28" s="26">
        <v>1</v>
      </c>
      <c r="T28" s="71" t="s">
        <v>626</v>
      </c>
    </row>
    <row r="29" spans="1:20" s="14" customFormat="1">
      <c r="A29" s="26" t="s">
        <v>137</v>
      </c>
      <c r="B29" s="26">
        <v>24</v>
      </c>
      <c r="C29" s="26" t="s">
        <v>506</v>
      </c>
      <c r="D29" s="25">
        <v>42290</v>
      </c>
      <c r="E29" s="1">
        <f t="shared" si="0"/>
        <v>2015</v>
      </c>
      <c r="F29" s="1">
        <f t="shared" si="1"/>
        <v>10</v>
      </c>
      <c r="G29" s="4">
        <f t="shared" si="2"/>
        <v>13</v>
      </c>
      <c r="H29" s="8">
        <v>0.65</v>
      </c>
      <c r="I29" s="22">
        <v>127.25136666666667</v>
      </c>
      <c r="J29" s="22">
        <v>31.750166666666665</v>
      </c>
      <c r="K29" s="27">
        <v>30</v>
      </c>
      <c r="L29" s="27">
        <v>30</v>
      </c>
      <c r="M29" s="27" t="s">
        <v>287</v>
      </c>
      <c r="N29" s="21">
        <v>24.909300000000002</v>
      </c>
      <c r="O29" s="24">
        <v>34.125</v>
      </c>
      <c r="P29" s="31">
        <v>0.27</v>
      </c>
      <c r="Q29" s="31">
        <v>1</v>
      </c>
      <c r="R29" s="26" t="s">
        <v>280</v>
      </c>
      <c r="S29" s="26">
        <v>1</v>
      </c>
      <c r="T29" s="71" t="s">
        <v>626</v>
      </c>
    </row>
    <row r="30" spans="1:20" s="14" customFormat="1">
      <c r="A30" s="26" t="s">
        <v>137</v>
      </c>
      <c r="B30" s="26">
        <v>24</v>
      </c>
      <c r="C30" s="26" t="s">
        <v>506</v>
      </c>
      <c r="D30" s="25">
        <v>42290</v>
      </c>
      <c r="E30" s="1">
        <f t="shared" si="0"/>
        <v>2015</v>
      </c>
      <c r="F30" s="1">
        <f t="shared" si="1"/>
        <v>10</v>
      </c>
      <c r="G30" s="4">
        <f t="shared" si="2"/>
        <v>13</v>
      </c>
      <c r="H30" s="8">
        <v>0.65</v>
      </c>
      <c r="I30" s="22">
        <v>127.25136666666667</v>
      </c>
      <c r="J30" s="22">
        <v>31.750166666666665</v>
      </c>
      <c r="K30" s="27">
        <v>50</v>
      </c>
      <c r="L30" s="27">
        <v>50</v>
      </c>
      <c r="M30" s="27" t="s">
        <v>287</v>
      </c>
      <c r="N30" s="21">
        <v>24.874400000000001</v>
      </c>
      <c r="O30" s="24">
        <v>34.168100000000003</v>
      </c>
      <c r="P30" s="31">
        <v>0.23</v>
      </c>
      <c r="Q30" s="31">
        <v>0.92</v>
      </c>
      <c r="R30" s="26" t="s">
        <v>280</v>
      </c>
      <c r="S30" s="26">
        <v>1</v>
      </c>
      <c r="T30" s="71" t="s">
        <v>626</v>
      </c>
    </row>
    <row r="31" spans="1:20" s="14" customFormat="1">
      <c r="A31" s="26" t="s">
        <v>137</v>
      </c>
      <c r="B31" s="26">
        <v>24</v>
      </c>
      <c r="C31" s="26" t="s">
        <v>506</v>
      </c>
      <c r="D31" s="25">
        <v>42290</v>
      </c>
      <c r="E31" s="1">
        <f t="shared" si="0"/>
        <v>2015</v>
      </c>
      <c r="F31" s="1">
        <f t="shared" si="1"/>
        <v>10</v>
      </c>
      <c r="G31" s="4">
        <f t="shared" si="2"/>
        <v>13</v>
      </c>
      <c r="H31" s="8">
        <v>0.65</v>
      </c>
      <c r="I31" s="22">
        <v>127.25136666666667</v>
      </c>
      <c r="J31" s="22">
        <v>31.750166666666665</v>
      </c>
      <c r="K31" s="27">
        <v>75</v>
      </c>
      <c r="L31" s="27">
        <v>75</v>
      </c>
      <c r="M31" s="27" t="s">
        <v>287</v>
      </c>
      <c r="N31" s="21">
        <v>18.909700000000001</v>
      </c>
      <c r="O31" s="24">
        <v>34.446100000000001</v>
      </c>
      <c r="P31" s="31">
        <v>0.31</v>
      </c>
      <c r="Q31" s="31">
        <v>1.55</v>
      </c>
      <c r="R31" s="26" t="s">
        <v>280</v>
      </c>
      <c r="S31" s="26">
        <v>1</v>
      </c>
      <c r="T31" s="71" t="s">
        <v>626</v>
      </c>
    </row>
    <row r="32" spans="1:20" s="14" customFormat="1">
      <c r="A32" s="26" t="s">
        <v>137</v>
      </c>
      <c r="B32" s="26">
        <v>24</v>
      </c>
      <c r="C32" s="26" t="s">
        <v>506</v>
      </c>
      <c r="D32" s="25">
        <v>42290</v>
      </c>
      <c r="E32" s="1">
        <f t="shared" si="0"/>
        <v>2015</v>
      </c>
      <c r="F32" s="1">
        <f t="shared" si="1"/>
        <v>10</v>
      </c>
      <c r="G32" s="4">
        <f t="shared" si="2"/>
        <v>13</v>
      </c>
      <c r="H32" s="8">
        <v>0.65</v>
      </c>
      <c r="I32" s="22">
        <v>127.25136666666667</v>
      </c>
      <c r="J32" s="22">
        <v>31.750166666666665</v>
      </c>
      <c r="K32" s="27">
        <v>100</v>
      </c>
      <c r="L32" s="27">
        <v>100</v>
      </c>
      <c r="M32" s="27" t="s">
        <v>287</v>
      </c>
      <c r="N32" s="21">
        <v>16.4177</v>
      </c>
      <c r="O32" s="24">
        <v>34.591200000000001</v>
      </c>
      <c r="P32" s="31">
        <v>0.33</v>
      </c>
      <c r="Q32" s="31">
        <v>1.6</v>
      </c>
      <c r="R32" s="26" t="s">
        <v>280</v>
      </c>
      <c r="S32" s="26">
        <v>1</v>
      </c>
      <c r="T32" s="71" t="s">
        <v>626</v>
      </c>
    </row>
    <row r="33" spans="1:20" s="14" customFormat="1">
      <c r="A33" s="26" t="s">
        <v>137</v>
      </c>
      <c r="B33" s="26">
        <v>24</v>
      </c>
      <c r="C33" s="26" t="s">
        <v>506</v>
      </c>
      <c r="D33" s="25">
        <v>42290</v>
      </c>
      <c r="E33" s="1">
        <f t="shared" si="0"/>
        <v>2015</v>
      </c>
      <c r="F33" s="1">
        <f t="shared" si="1"/>
        <v>10</v>
      </c>
      <c r="G33" s="4">
        <f t="shared" si="2"/>
        <v>13</v>
      </c>
      <c r="H33" s="8">
        <v>0.65</v>
      </c>
      <c r="I33" s="22">
        <v>127.25136666666667</v>
      </c>
      <c r="J33" s="22">
        <v>31.750166666666665</v>
      </c>
      <c r="K33" s="27">
        <v>120</v>
      </c>
      <c r="L33" s="27">
        <v>120</v>
      </c>
      <c r="M33" s="27" t="s">
        <v>287</v>
      </c>
      <c r="N33" s="21">
        <v>16.311399999999999</v>
      </c>
      <c r="O33" s="24">
        <v>34.590400000000002</v>
      </c>
      <c r="P33" s="31">
        <v>0.25</v>
      </c>
      <c r="Q33" s="31">
        <v>1.17</v>
      </c>
      <c r="R33" s="26" t="s">
        <v>280</v>
      </c>
      <c r="S33" s="26">
        <v>1</v>
      </c>
      <c r="T33" s="71" t="s">
        <v>626</v>
      </c>
    </row>
    <row r="34" spans="1:20" s="14" customFormat="1">
      <c r="A34" s="26" t="s">
        <v>137</v>
      </c>
      <c r="B34" s="26">
        <v>26</v>
      </c>
      <c r="C34" s="26" t="s">
        <v>506</v>
      </c>
      <c r="D34" s="25">
        <v>42290</v>
      </c>
      <c r="E34" s="1">
        <f t="shared" si="0"/>
        <v>2015</v>
      </c>
      <c r="F34" s="1">
        <f t="shared" si="1"/>
        <v>10</v>
      </c>
      <c r="G34" s="4">
        <f t="shared" si="2"/>
        <v>13</v>
      </c>
      <c r="H34" s="8">
        <v>0.93611111111111101</v>
      </c>
      <c r="I34" s="22">
        <v>127.75146666666667</v>
      </c>
      <c r="J34" s="22">
        <v>31.751249999999999</v>
      </c>
      <c r="K34" s="27">
        <v>0</v>
      </c>
      <c r="L34" s="27">
        <v>0</v>
      </c>
      <c r="M34" s="27">
        <v>0</v>
      </c>
      <c r="N34" s="21">
        <v>24.4</v>
      </c>
      <c r="O34" s="24">
        <v>34.347922192952559</v>
      </c>
      <c r="P34" s="31">
        <v>0.23</v>
      </c>
      <c r="Q34" s="31">
        <v>0.98</v>
      </c>
      <c r="R34" s="26" t="s">
        <v>280</v>
      </c>
      <c r="S34" s="26"/>
      <c r="T34" s="71" t="s">
        <v>626</v>
      </c>
    </row>
    <row r="35" spans="1:20" s="14" customFormat="1">
      <c r="A35" s="26" t="s">
        <v>137</v>
      </c>
      <c r="B35" s="26">
        <v>28</v>
      </c>
      <c r="C35" s="26" t="s">
        <v>506</v>
      </c>
      <c r="D35" s="25">
        <v>42291</v>
      </c>
      <c r="E35" s="1">
        <f t="shared" si="0"/>
        <v>2015</v>
      </c>
      <c r="F35" s="1">
        <f t="shared" si="1"/>
        <v>10</v>
      </c>
      <c r="G35" s="4">
        <f t="shared" si="2"/>
        <v>14</v>
      </c>
      <c r="H35" s="8">
        <v>7.2916666666666671E-2</v>
      </c>
      <c r="I35" s="22">
        <v>128.25274999999999</v>
      </c>
      <c r="J35" s="22">
        <v>31.749183333333335</v>
      </c>
      <c r="K35" s="27">
        <v>0</v>
      </c>
      <c r="L35" s="27">
        <v>0</v>
      </c>
      <c r="M35" s="27">
        <v>0</v>
      </c>
      <c r="N35" s="21">
        <v>24.2</v>
      </c>
      <c r="O35" s="24">
        <v>34.245631521737089</v>
      </c>
      <c r="P35" s="31">
        <v>0.19</v>
      </c>
      <c r="Q35" s="31">
        <v>0.82</v>
      </c>
      <c r="R35" s="26" t="s">
        <v>280</v>
      </c>
      <c r="S35" s="26"/>
      <c r="T35" s="71" t="s">
        <v>626</v>
      </c>
    </row>
    <row r="36" spans="1:20" s="14" customFormat="1">
      <c r="A36" s="26" t="s">
        <v>137</v>
      </c>
      <c r="B36" s="26">
        <v>30</v>
      </c>
      <c r="C36" s="26" t="s">
        <v>506</v>
      </c>
      <c r="D36" s="25">
        <v>42291</v>
      </c>
      <c r="E36" s="1">
        <f t="shared" si="0"/>
        <v>2015</v>
      </c>
      <c r="F36" s="1">
        <f t="shared" si="1"/>
        <v>10</v>
      </c>
      <c r="G36" s="4">
        <f t="shared" si="2"/>
        <v>14</v>
      </c>
      <c r="H36" s="8">
        <v>0.22013888888888888</v>
      </c>
      <c r="I36" s="22">
        <v>128.75041666666667</v>
      </c>
      <c r="J36" s="22">
        <v>31.749216666666666</v>
      </c>
      <c r="K36" s="27">
        <v>0</v>
      </c>
      <c r="L36" s="27">
        <v>0</v>
      </c>
      <c r="M36" s="27">
        <v>0</v>
      </c>
      <c r="N36" s="21">
        <v>23.1</v>
      </c>
      <c r="O36" s="24">
        <v>33.866393872126942</v>
      </c>
      <c r="P36" s="31">
        <v>0.22</v>
      </c>
      <c r="Q36" s="31">
        <v>0.44</v>
      </c>
      <c r="R36" s="26" t="s">
        <v>280</v>
      </c>
      <c r="S36" s="26">
        <v>1</v>
      </c>
      <c r="T36" s="71" t="s">
        <v>626</v>
      </c>
    </row>
    <row r="37" spans="1:20" s="14" customFormat="1">
      <c r="A37" s="26" t="s">
        <v>137</v>
      </c>
      <c r="B37" s="26">
        <v>30</v>
      </c>
      <c r="C37" s="26" t="s">
        <v>506</v>
      </c>
      <c r="D37" s="25">
        <v>42291</v>
      </c>
      <c r="E37" s="1">
        <f t="shared" si="0"/>
        <v>2015</v>
      </c>
      <c r="F37" s="1">
        <f t="shared" si="1"/>
        <v>10</v>
      </c>
      <c r="G37" s="4">
        <f t="shared" si="2"/>
        <v>14</v>
      </c>
      <c r="H37" s="8">
        <v>0.22013888888888888</v>
      </c>
      <c r="I37" s="22">
        <v>128.75041666666667</v>
      </c>
      <c r="J37" s="22">
        <v>31.749216666666666</v>
      </c>
      <c r="K37" s="27">
        <v>10</v>
      </c>
      <c r="L37" s="27">
        <v>10</v>
      </c>
      <c r="M37" s="27" t="s">
        <v>287</v>
      </c>
      <c r="N37" s="21">
        <v>23.775300000000001</v>
      </c>
      <c r="O37" s="24">
        <v>33.849000000000004</v>
      </c>
      <c r="P37" s="31">
        <v>0.14000000000000001</v>
      </c>
      <c r="Q37" s="31">
        <v>0.28999999999999998</v>
      </c>
      <c r="R37" s="26" t="s">
        <v>280</v>
      </c>
      <c r="S37" s="26">
        <v>1</v>
      </c>
      <c r="T37" s="71" t="s">
        <v>626</v>
      </c>
    </row>
    <row r="38" spans="1:20" s="14" customFormat="1">
      <c r="A38" s="26" t="s">
        <v>137</v>
      </c>
      <c r="B38" s="26">
        <v>30</v>
      </c>
      <c r="C38" s="26" t="s">
        <v>506</v>
      </c>
      <c r="D38" s="25">
        <v>42291</v>
      </c>
      <c r="E38" s="1">
        <f t="shared" si="0"/>
        <v>2015</v>
      </c>
      <c r="F38" s="1">
        <f t="shared" si="1"/>
        <v>10</v>
      </c>
      <c r="G38" s="4">
        <f t="shared" si="2"/>
        <v>14</v>
      </c>
      <c r="H38" s="8">
        <v>0.22013888888888888</v>
      </c>
      <c r="I38" s="22">
        <v>128.75041666666667</v>
      </c>
      <c r="J38" s="22">
        <v>31.749216666666666</v>
      </c>
      <c r="K38" s="27">
        <v>20</v>
      </c>
      <c r="L38" s="27">
        <v>20</v>
      </c>
      <c r="M38" s="27" t="s">
        <v>287</v>
      </c>
      <c r="N38" s="21">
        <v>23.764500000000002</v>
      </c>
      <c r="O38" s="24">
        <v>33.847500000000004</v>
      </c>
      <c r="P38" s="31">
        <v>0.13</v>
      </c>
      <c r="Q38" s="31">
        <v>0.19</v>
      </c>
      <c r="R38" s="26" t="s">
        <v>280</v>
      </c>
      <c r="S38" s="26">
        <v>1</v>
      </c>
      <c r="T38" s="71" t="s">
        <v>626</v>
      </c>
    </row>
    <row r="39" spans="1:20" s="14" customFormat="1">
      <c r="A39" s="26" t="s">
        <v>137</v>
      </c>
      <c r="B39" s="26">
        <v>30</v>
      </c>
      <c r="C39" s="26" t="s">
        <v>506</v>
      </c>
      <c r="D39" s="25">
        <v>42291</v>
      </c>
      <c r="E39" s="1">
        <f t="shared" si="0"/>
        <v>2015</v>
      </c>
      <c r="F39" s="1">
        <f t="shared" si="1"/>
        <v>10</v>
      </c>
      <c r="G39" s="4">
        <f t="shared" si="2"/>
        <v>14</v>
      </c>
      <c r="H39" s="8">
        <v>0.22013888888888888</v>
      </c>
      <c r="I39" s="22">
        <v>128.75041666666667</v>
      </c>
      <c r="J39" s="22">
        <v>31.749216666666666</v>
      </c>
      <c r="K39" s="27">
        <v>30</v>
      </c>
      <c r="L39" s="27">
        <v>30</v>
      </c>
      <c r="M39" s="27" t="s">
        <v>287</v>
      </c>
      <c r="N39" s="21">
        <v>23.779599999999999</v>
      </c>
      <c r="O39" s="24">
        <v>33.849699999999999</v>
      </c>
      <c r="P39" s="31">
        <v>0.17</v>
      </c>
      <c r="Q39" s="31">
        <v>0.42</v>
      </c>
      <c r="R39" s="26" t="s">
        <v>280</v>
      </c>
      <c r="S39" s="26">
        <v>1</v>
      </c>
      <c r="T39" s="71" t="s">
        <v>626</v>
      </c>
    </row>
    <row r="40" spans="1:20" s="14" customFormat="1">
      <c r="A40" s="26" t="s">
        <v>137</v>
      </c>
      <c r="B40" s="26">
        <v>30</v>
      </c>
      <c r="C40" s="26" t="s">
        <v>506</v>
      </c>
      <c r="D40" s="25">
        <v>42291</v>
      </c>
      <c r="E40" s="1">
        <f t="shared" si="0"/>
        <v>2015</v>
      </c>
      <c r="F40" s="1">
        <f t="shared" si="1"/>
        <v>10</v>
      </c>
      <c r="G40" s="4">
        <f t="shared" si="2"/>
        <v>14</v>
      </c>
      <c r="H40" s="8">
        <v>0.22013888888888888</v>
      </c>
      <c r="I40" s="22">
        <v>128.75041666666667</v>
      </c>
      <c r="J40" s="22">
        <v>31.749216666666666</v>
      </c>
      <c r="K40" s="27">
        <v>50</v>
      </c>
      <c r="L40" s="27">
        <v>50</v>
      </c>
      <c r="M40" s="27" t="s">
        <v>287</v>
      </c>
      <c r="N40" s="21">
        <v>23.769400000000001</v>
      </c>
      <c r="O40" s="24">
        <v>33.844999999999999</v>
      </c>
      <c r="P40" s="31">
        <v>0.1</v>
      </c>
      <c r="Q40" s="31">
        <v>0.13</v>
      </c>
      <c r="R40" s="26" t="s">
        <v>280</v>
      </c>
      <c r="S40" s="26">
        <v>1</v>
      </c>
      <c r="T40" s="71" t="s">
        <v>626</v>
      </c>
    </row>
    <row r="41" spans="1:20" s="14" customFormat="1">
      <c r="A41" s="26" t="s">
        <v>137</v>
      </c>
      <c r="B41" s="26">
        <v>30</v>
      </c>
      <c r="C41" s="26" t="s">
        <v>506</v>
      </c>
      <c r="D41" s="25">
        <v>42291</v>
      </c>
      <c r="E41" s="1">
        <f t="shared" si="0"/>
        <v>2015</v>
      </c>
      <c r="F41" s="1">
        <f t="shared" si="1"/>
        <v>10</v>
      </c>
      <c r="G41" s="4">
        <f t="shared" si="2"/>
        <v>14</v>
      </c>
      <c r="H41" s="8">
        <v>0.22013888888888888</v>
      </c>
      <c r="I41" s="22">
        <v>128.75041666666667</v>
      </c>
      <c r="J41" s="22">
        <v>31.749216666666666</v>
      </c>
      <c r="K41" s="27">
        <v>75</v>
      </c>
      <c r="L41" s="27">
        <v>75</v>
      </c>
      <c r="M41" s="27" t="s">
        <v>287</v>
      </c>
      <c r="N41" s="21">
        <v>23.5365</v>
      </c>
      <c r="O41" s="24">
        <v>34.024900000000002</v>
      </c>
      <c r="P41" s="31">
        <v>0.21</v>
      </c>
      <c r="Q41" s="31">
        <v>0.74</v>
      </c>
      <c r="R41" s="26" t="s">
        <v>280</v>
      </c>
      <c r="S41" s="26">
        <v>1</v>
      </c>
      <c r="T41" s="71" t="s">
        <v>626</v>
      </c>
    </row>
    <row r="42" spans="1:20" s="14" customFormat="1">
      <c r="A42" s="26" t="s">
        <v>137</v>
      </c>
      <c r="B42" s="26">
        <v>30</v>
      </c>
      <c r="C42" s="26" t="s">
        <v>506</v>
      </c>
      <c r="D42" s="25">
        <v>42291</v>
      </c>
      <c r="E42" s="1">
        <f t="shared" si="0"/>
        <v>2015</v>
      </c>
      <c r="F42" s="1">
        <f t="shared" si="1"/>
        <v>10</v>
      </c>
      <c r="G42" s="4">
        <f t="shared" si="2"/>
        <v>14</v>
      </c>
      <c r="H42" s="8">
        <v>0.22013888888888888</v>
      </c>
      <c r="I42" s="22">
        <v>128.75041666666667</v>
      </c>
      <c r="J42" s="22">
        <v>31.749216666666666</v>
      </c>
      <c r="K42" s="27">
        <v>100</v>
      </c>
      <c r="L42" s="27">
        <v>100</v>
      </c>
      <c r="M42" s="27" t="s">
        <v>287</v>
      </c>
      <c r="N42" s="21">
        <v>21.157599999999999</v>
      </c>
      <c r="O42" s="24">
        <v>34.574199999999998</v>
      </c>
      <c r="P42" s="31">
        <v>0.34</v>
      </c>
      <c r="Q42" s="31">
        <v>1.56</v>
      </c>
      <c r="R42" s="26" t="s">
        <v>280</v>
      </c>
      <c r="S42" s="26">
        <v>1</v>
      </c>
      <c r="T42" s="71" t="s">
        <v>626</v>
      </c>
    </row>
    <row r="43" spans="1:20" s="14" customFormat="1">
      <c r="A43" s="26" t="s">
        <v>137</v>
      </c>
      <c r="B43" s="26">
        <v>30</v>
      </c>
      <c r="C43" s="26" t="s">
        <v>506</v>
      </c>
      <c r="D43" s="25">
        <v>42291</v>
      </c>
      <c r="E43" s="1">
        <f t="shared" si="0"/>
        <v>2015</v>
      </c>
      <c r="F43" s="1">
        <f t="shared" si="1"/>
        <v>10</v>
      </c>
      <c r="G43" s="4">
        <f t="shared" si="2"/>
        <v>14</v>
      </c>
      <c r="H43" s="8">
        <v>0.22013888888888888</v>
      </c>
      <c r="I43" s="22">
        <v>128.75041666666667</v>
      </c>
      <c r="J43" s="22">
        <v>31.749216666666666</v>
      </c>
      <c r="K43" s="27">
        <v>125</v>
      </c>
      <c r="L43" s="27">
        <v>125</v>
      </c>
      <c r="M43" s="27" t="s">
        <v>287</v>
      </c>
      <c r="N43" s="21">
        <v>19.277000000000001</v>
      </c>
      <c r="O43" s="24">
        <v>34.624499999999998</v>
      </c>
      <c r="P43" s="31">
        <v>0.26</v>
      </c>
      <c r="Q43" s="31">
        <v>1.42</v>
      </c>
      <c r="R43" s="26" t="s">
        <v>280</v>
      </c>
      <c r="S43" s="26">
        <v>1</v>
      </c>
      <c r="T43" s="71" t="s">
        <v>626</v>
      </c>
    </row>
    <row r="44" spans="1:20" s="14" customFormat="1">
      <c r="A44" s="26" t="s">
        <v>137</v>
      </c>
      <c r="B44" s="26">
        <v>30</v>
      </c>
      <c r="C44" s="26" t="s">
        <v>506</v>
      </c>
      <c r="D44" s="25">
        <v>42291</v>
      </c>
      <c r="E44" s="1">
        <f t="shared" si="0"/>
        <v>2015</v>
      </c>
      <c r="F44" s="1">
        <f t="shared" si="1"/>
        <v>10</v>
      </c>
      <c r="G44" s="4">
        <f t="shared" si="2"/>
        <v>14</v>
      </c>
      <c r="H44" s="8">
        <v>0.22013888888888888</v>
      </c>
      <c r="I44" s="22">
        <v>128.75041666666667</v>
      </c>
      <c r="J44" s="22">
        <v>31.749216666666666</v>
      </c>
      <c r="K44" s="27">
        <v>150</v>
      </c>
      <c r="L44" s="27">
        <v>150</v>
      </c>
      <c r="M44" s="27" t="s">
        <v>287</v>
      </c>
      <c r="N44" s="21">
        <v>18.799800000000001</v>
      </c>
      <c r="O44" s="24">
        <v>34.641599999999997</v>
      </c>
      <c r="P44" s="31">
        <v>0.25</v>
      </c>
      <c r="Q44" s="31">
        <v>1.28</v>
      </c>
      <c r="R44" s="26" t="s">
        <v>280</v>
      </c>
      <c r="S44" s="26">
        <v>1</v>
      </c>
      <c r="T44" s="71" t="s">
        <v>626</v>
      </c>
    </row>
    <row r="45" spans="1:20" s="14" customFormat="1">
      <c r="A45" s="26" t="s">
        <v>137</v>
      </c>
      <c r="B45" s="26">
        <v>30</v>
      </c>
      <c r="C45" s="26" t="s">
        <v>506</v>
      </c>
      <c r="D45" s="25">
        <v>42291</v>
      </c>
      <c r="E45" s="1">
        <f t="shared" si="0"/>
        <v>2015</v>
      </c>
      <c r="F45" s="1">
        <f t="shared" si="1"/>
        <v>10</v>
      </c>
      <c r="G45" s="4">
        <f t="shared" si="2"/>
        <v>14</v>
      </c>
      <c r="H45" s="8">
        <v>0.22013888888888888</v>
      </c>
      <c r="I45" s="22">
        <v>128.75041666666667</v>
      </c>
      <c r="J45" s="22">
        <v>31.749216666666666</v>
      </c>
      <c r="K45" s="27">
        <v>200</v>
      </c>
      <c r="L45" s="27">
        <v>200</v>
      </c>
      <c r="M45" s="27" t="s">
        <v>287</v>
      </c>
      <c r="N45" s="21">
        <v>15.347899999999999</v>
      </c>
      <c r="O45" s="24">
        <v>34.569000000000003</v>
      </c>
      <c r="P45" s="31">
        <v>0.27</v>
      </c>
      <c r="Q45" s="31">
        <v>1.0900000000000001</v>
      </c>
      <c r="R45" s="26" t="s">
        <v>280</v>
      </c>
      <c r="S45" s="26">
        <v>1</v>
      </c>
      <c r="T45" s="71" t="s">
        <v>626</v>
      </c>
    </row>
    <row r="46" spans="1:20" s="14" customFormat="1">
      <c r="A46" s="26" t="s">
        <v>137</v>
      </c>
      <c r="B46" s="26">
        <v>30</v>
      </c>
      <c r="C46" s="26" t="s">
        <v>506</v>
      </c>
      <c r="D46" s="25">
        <v>42291</v>
      </c>
      <c r="E46" s="1">
        <f t="shared" si="0"/>
        <v>2015</v>
      </c>
      <c r="F46" s="1">
        <f t="shared" si="1"/>
        <v>10</v>
      </c>
      <c r="G46" s="4">
        <f t="shared" si="2"/>
        <v>14</v>
      </c>
      <c r="H46" s="8">
        <v>0.22013888888888888</v>
      </c>
      <c r="I46" s="22">
        <v>128.75041666666667</v>
      </c>
      <c r="J46" s="22">
        <v>31.749216666666666</v>
      </c>
      <c r="K46" s="27">
        <v>300</v>
      </c>
      <c r="L46" s="27">
        <v>300</v>
      </c>
      <c r="M46" s="27" t="s">
        <v>287</v>
      </c>
      <c r="N46" s="21">
        <v>10.8988</v>
      </c>
      <c r="O46" s="24">
        <v>34.383400000000002</v>
      </c>
      <c r="P46" s="31">
        <v>0.21</v>
      </c>
      <c r="Q46" s="31">
        <v>0.31</v>
      </c>
      <c r="R46" s="26" t="s">
        <v>280</v>
      </c>
      <c r="S46" s="26">
        <v>1</v>
      </c>
      <c r="T46" s="71" t="s">
        <v>626</v>
      </c>
    </row>
    <row r="47" spans="1:20" s="14" customFormat="1">
      <c r="A47" s="26" t="s">
        <v>137</v>
      </c>
      <c r="B47" s="26">
        <v>30</v>
      </c>
      <c r="C47" s="26" t="s">
        <v>506</v>
      </c>
      <c r="D47" s="25">
        <v>42291</v>
      </c>
      <c r="E47" s="1">
        <f t="shared" si="0"/>
        <v>2015</v>
      </c>
      <c r="F47" s="1">
        <f t="shared" si="1"/>
        <v>10</v>
      </c>
      <c r="G47" s="4">
        <f t="shared" si="2"/>
        <v>14</v>
      </c>
      <c r="H47" s="8">
        <v>0.22013888888888888</v>
      </c>
      <c r="I47" s="22">
        <v>128.75041666666667</v>
      </c>
      <c r="J47" s="22">
        <v>31.749216666666666</v>
      </c>
      <c r="K47" s="27">
        <v>500</v>
      </c>
      <c r="L47" s="27">
        <v>500</v>
      </c>
      <c r="M47" s="27" t="s">
        <v>287</v>
      </c>
      <c r="N47" s="21">
        <v>7.2949999999999999</v>
      </c>
      <c r="O47" s="24">
        <v>34.3399</v>
      </c>
      <c r="P47" s="31">
        <v>0.06</v>
      </c>
      <c r="Q47" s="31">
        <v>-0.72</v>
      </c>
      <c r="R47" s="26" t="s">
        <v>280</v>
      </c>
      <c r="S47" s="26">
        <v>1</v>
      </c>
      <c r="T47" s="71" t="s">
        <v>626</v>
      </c>
    </row>
    <row r="48" spans="1:20" s="14" customFormat="1">
      <c r="A48" s="26" t="s">
        <v>137</v>
      </c>
      <c r="B48" s="26">
        <v>32</v>
      </c>
      <c r="C48" s="26" t="s">
        <v>506</v>
      </c>
      <c r="D48" s="25">
        <v>42291</v>
      </c>
      <c r="E48" s="1">
        <f t="shared" si="0"/>
        <v>2015</v>
      </c>
      <c r="F48" s="1">
        <f t="shared" si="1"/>
        <v>10</v>
      </c>
      <c r="G48" s="4">
        <f t="shared" si="2"/>
        <v>14</v>
      </c>
      <c r="H48" s="8">
        <v>0.4152777777777778</v>
      </c>
      <c r="I48" s="22">
        <v>129.24823333333333</v>
      </c>
      <c r="J48" s="22">
        <v>31.749500000000001</v>
      </c>
      <c r="K48" s="27">
        <v>0</v>
      </c>
      <c r="L48" s="27">
        <v>0</v>
      </c>
      <c r="M48" s="27">
        <v>0</v>
      </c>
      <c r="N48" s="21">
        <v>22.8</v>
      </c>
      <c r="O48" s="24">
        <v>33.929068279361225</v>
      </c>
      <c r="P48" s="31">
        <v>0.09</v>
      </c>
      <c r="Q48" s="31">
        <v>0.3</v>
      </c>
      <c r="R48" s="26" t="s">
        <v>280</v>
      </c>
      <c r="S48" s="26"/>
      <c r="T48" s="71" t="s">
        <v>626</v>
      </c>
    </row>
    <row r="49" spans="1:20" s="14" customFormat="1">
      <c r="A49" s="26" t="s">
        <v>137</v>
      </c>
      <c r="B49" s="26">
        <v>34</v>
      </c>
      <c r="C49" s="26" t="s">
        <v>506</v>
      </c>
      <c r="D49" s="25">
        <v>42291</v>
      </c>
      <c r="E49" s="1">
        <f t="shared" si="0"/>
        <v>2015</v>
      </c>
      <c r="F49" s="1">
        <f t="shared" si="1"/>
        <v>10</v>
      </c>
      <c r="G49" s="4">
        <f t="shared" si="2"/>
        <v>14</v>
      </c>
      <c r="H49" s="8">
        <v>0.5854166666666667</v>
      </c>
      <c r="I49" s="22">
        <v>129.6713</v>
      </c>
      <c r="J49" s="22">
        <v>31.7514</v>
      </c>
      <c r="K49" s="27">
        <v>0</v>
      </c>
      <c r="L49" s="27">
        <v>0</v>
      </c>
      <c r="M49" s="27">
        <v>0</v>
      </c>
      <c r="N49" s="21">
        <v>24.4</v>
      </c>
      <c r="O49" s="24">
        <v>34.222075983512489</v>
      </c>
      <c r="P49" s="31">
        <v>0.17</v>
      </c>
      <c r="Q49" s="31">
        <v>0.77</v>
      </c>
      <c r="R49" s="26" t="s">
        <v>280</v>
      </c>
      <c r="S49" s="26"/>
      <c r="T49" s="71" t="s">
        <v>626</v>
      </c>
    </row>
    <row r="50" spans="1:20" s="14" customFormat="1">
      <c r="A50" s="26" t="s">
        <v>138</v>
      </c>
      <c r="B50" s="26">
        <v>1</v>
      </c>
      <c r="C50" s="26" t="s">
        <v>506</v>
      </c>
      <c r="D50" s="25">
        <v>42438</v>
      </c>
      <c r="E50" s="1">
        <f t="shared" si="0"/>
        <v>2016</v>
      </c>
      <c r="F50" s="1">
        <f t="shared" si="1"/>
        <v>3</v>
      </c>
      <c r="G50" s="4">
        <f t="shared" si="2"/>
        <v>9</v>
      </c>
      <c r="H50" s="8">
        <v>0.83888888888888891</v>
      </c>
      <c r="I50" s="22">
        <v>129.66583333333332</v>
      </c>
      <c r="J50" s="22">
        <v>31.749383333333334</v>
      </c>
      <c r="K50" s="27">
        <v>0</v>
      </c>
      <c r="L50" s="27">
        <v>0</v>
      </c>
      <c r="M50" s="27">
        <v>0</v>
      </c>
      <c r="N50" s="21">
        <v>19.399999999999999</v>
      </c>
      <c r="O50" s="24">
        <v>34.831229738445622</v>
      </c>
      <c r="P50" s="31">
        <v>0.33600000000000002</v>
      </c>
      <c r="Q50" s="31">
        <v>2.0470000000000002</v>
      </c>
      <c r="R50" s="26" t="s">
        <v>280</v>
      </c>
      <c r="S50" s="26"/>
      <c r="T50" s="71" t="s">
        <v>626</v>
      </c>
    </row>
    <row r="51" spans="1:20" s="14" customFormat="1">
      <c r="A51" s="26" t="s">
        <v>138</v>
      </c>
      <c r="B51" s="26">
        <v>3</v>
      </c>
      <c r="C51" s="26" t="s">
        <v>506</v>
      </c>
      <c r="D51" s="25">
        <v>42438</v>
      </c>
      <c r="E51" s="1">
        <f t="shared" si="0"/>
        <v>2016</v>
      </c>
      <c r="F51" s="1">
        <f t="shared" si="1"/>
        <v>3</v>
      </c>
      <c r="G51" s="4">
        <f t="shared" si="2"/>
        <v>9</v>
      </c>
      <c r="H51" s="6">
        <v>0.99583333333333324</v>
      </c>
      <c r="I51" s="22">
        <v>129.25024999999999</v>
      </c>
      <c r="J51" s="22">
        <v>31.748983333333335</v>
      </c>
      <c r="K51" s="27">
        <v>0</v>
      </c>
      <c r="L51" s="27">
        <v>0</v>
      </c>
      <c r="M51" s="27">
        <v>0</v>
      </c>
      <c r="N51" s="21">
        <v>18.399999999999999</v>
      </c>
      <c r="O51" s="24">
        <v>34.843905586970038</v>
      </c>
      <c r="P51" s="31">
        <v>0.30099999999999999</v>
      </c>
      <c r="Q51" s="31">
        <v>1.966</v>
      </c>
      <c r="R51" s="26" t="s">
        <v>280</v>
      </c>
      <c r="S51" s="26"/>
      <c r="T51" s="71" t="s">
        <v>626</v>
      </c>
    </row>
    <row r="52" spans="1:20" s="14" customFormat="1">
      <c r="A52" s="26" t="s">
        <v>138</v>
      </c>
      <c r="B52" s="26">
        <v>5</v>
      </c>
      <c r="C52" s="26" t="s">
        <v>506</v>
      </c>
      <c r="D52" s="25">
        <v>42439</v>
      </c>
      <c r="E52" s="1">
        <f t="shared" si="0"/>
        <v>2016</v>
      </c>
      <c r="F52" s="1">
        <f t="shared" si="1"/>
        <v>3</v>
      </c>
      <c r="G52" s="4">
        <f t="shared" si="2"/>
        <v>10</v>
      </c>
      <c r="H52" s="10">
        <v>0.19791666666666666</v>
      </c>
      <c r="I52" s="22">
        <v>128.75126666666668</v>
      </c>
      <c r="J52" s="22">
        <v>31.748899999999999</v>
      </c>
      <c r="K52" s="27">
        <v>0</v>
      </c>
      <c r="L52" s="27">
        <v>0</v>
      </c>
      <c r="M52" s="27">
        <v>0</v>
      </c>
      <c r="N52" s="21">
        <v>18.8</v>
      </c>
      <c r="O52" s="24">
        <v>34.860509607784437</v>
      </c>
      <c r="P52" s="31">
        <v>0.371</v>
      </c>
      <c r="Q52" s="31">
        <v>2.17</v>
      </c>
      <c r="R52" s="26" t="s">
        <v>280</v>
      </c>
      <c r="S52" s="26"/>
      <c r="T52" s="71" t="s">
        <v>626</v>
      </c>
    </row>
    <row r="53" spans="1:20" s="14" customFormat="1">
      <c r="A53" s="26" t="s">
        <v>138</v>
      </c>
      <c r="B53" s="26">
        <v>7</v>
      </c>
      <c r="C53" s="26" t="s">
        <v>506</v>
      </c>
      <c r="D53" s="25">
        <v>42439</v>
      </c>
      <c r="E53" s="1">
        <f t="shared" si="0"/>
        <v>2016</v>
      </c>
      <c r="F53" s="1">
        <f t="shared" si="1"/>
        <v>3</v>
      </c>
      <c r="G53" s="4">
        <f t="shared" si="2"/>
        <v>10</v>
      </c>
      <c r="H53" s="8">
        <v>0.38472222222222219</v>
      </c>
      <c r="I53" s="22">
        <v>128.24741666666668</v>
      </c>
      <c r="J53" s="22">
        <v>31.751516666666667</v>
      </c>
      <c r="K53" s="27">
        <v>0</v>
      </c>
      <c r="L53" s="27">
        <v>0</v>
      </c>
      <c r="M53" s="27">
        <v>0</v>
      </c>
      <c r="N53" s="21">
        <v>18.5</v>
      </c>
      <c r="O53" s="24">
        <v>34.827336040474862</v>
      </c>
      <c r="P53" s="31">
        <v>0.35199999999999998</v>
      </c>
      <c r="Q53" s="31">
        <v>2.1259999999999999</v>
      </c>
      <c r="R53" s="26" t="s">
        <v>280</v>
      </c>
      <c r="S53" s="26"/>
      <c r="T53" s="71" t="s">
        <v>626</v>
      </c>
    </row>
    <row r="54" spans="1:20" s="14" customFormat="1">
      <c r="A54" s="26" t="s">
        <v>138</v>
      </c>
      <c r="B54" s="26">
        <v>9</v>
      </c>
      <c r="C54" s="26" t="s">
        <v>506</v>
      </c>
      <c r="D54" s="25">
        <v>42439</v>
      </c>
      <c r="E54" s="1">
        <f t="shared" si="0"/>
        <v>2016</v>
      </c>
      <c r="F54" s="1">
        <f t="shared" si="1"/>
        <v>3</v>
      </c>
      <c r="G54" s="4">
        <f t="shared" si="2"/>
        <v>10</v>
      </c>
      <c r="H54" s="8">
        <v>0.57847222222222217</v>
      </c>
      <c r="I54" s="22">
        <v>127.74873333333333</v>
      </c>
      <c r="J54" s="22">
        <v>31.748516666666667</v>
      </c>
      <c r="K54" s="27">
        <v>0</v>
      </c>
      <c r="L54" s="27">
        <v>0</v>
      </c>
      <c r="M54" s="27">
        <v>0</v>
      </c>
      <c r="N54" s="21">
        <v>17.7</v>
      </c>
      <c r="O54" s="24">
        <v>34.744407220432848</v>
      </c>
      <c r="P54" s="31">
        <v>0.33100000000000002</v>
      </c>
      <c r="Q54" s="31">
        <v>2.0299999999999998</v>
      </c>
      <c r="R54" s="26" t="s">
        <v>280</v>
      </c>
      <c r="S54" s="26"/>
      <c r="T54" s="71" t="s">
        <v>626</v>
      </c>
    </row>
    <row r="55" spans="1:20" s="14" customFormat="1">
      <c r="A55" s="26" t="s">
        <v>138</v>
      </c>
      <c r="B55" s="26">
        <v>11</v>
      </c>
      <c r="C55" s="26" t="s">
        <v>506</v>
      </c>
      <c r="D55" s="25">
        <v>42439</v>
      </c>
      <c r="E55" s="1">
        <f t="shared" si="0"/>
        <v>2016</v>
      </c>
      <c r="F55" s="1">
        <f t="shared" si="1"/>
        <v>3</v>
      </c>
      <c r="G55" s="4">
        <f t="shared" si="2"/>
        <v>10</v>
      </c>
      <c r="H55" s="8">
        <v>0.75763888888888886</v>
      </c>
      <c r="I55" s="22">
        <v>127.24930000000001</v>
      </c>
      <c r="J55" s="22">
        <v>31.750666666666667</v>
      </c>
      <c r="K55" s="27">
        <v>0</v>
      </c>
      <c r="L55" s="27">
        <v>0</v>
      </c>
      <c r="M55" s="27">
        <v>0</v>
      </c>
      <c r="N55" s="21">
        <v>16.100000000000001</v>
      </c>
      <c r="O55" s="24">
        <v>34.658174118529509</v>
      </c>
      <c r="P55" s="31">
        <v>0.30199999999999999</v>
      </c>
      <c r="Q55" s="31">
        <v>1.8029999999999999</v>
      </c>
      <c r="R55" s="26" t="s">
        <v>280</v>
      </c>
      <c r="S55" s="26"/>
      <c r="T55" s="71" t="s">
        <v>626</v>
      </c>
    </row>
    <row r="56" spans="1:20" s="14" customFormat="1">
      <c r="A56" s="26" t="s">
        <v>138</v>
      </c>
      <c r="B56" s="26">
        <v>13</v>
      </c>
      <c r="C56" s="26" t="s">
        <v>506</v>
      </c>
      <c r="D56" s="25">
        <v>42439</v>
      </c>
      <c r="E56" s="1">
        <f t="shared" si="0"/>
        <v>2016</v>
      </c>
      <c r="F56" s="1">
        <f t="shared" si="1"/>
        <v>3</v>
      </c>
      <c r="G56" s="4">
        <f t="shared" si="2"/>
        <v>10</v>
      </c>
      <c r="H56" s="8">
        <v>0.90277777777777779</v>
      </c>
      <c r="I56" s="22">
        <v>126.76926666666667</v>
      </c>
      <c r="J56" s="22">
        <v>31.750699999999998</v>
      </c>
      <c r="K56" s="27">
        <v>0</v>
      </c>
      <c r="L56" s="27">
        <v>0</v>
      </c>
      <c r="M56" s="27">
        <v>0</v>
      </c>
      <c r="N56" s="21">
        <v>16.399999999999999</v>
      </c>
      <c r="O56" s="24">
        <v>34.659362283430269</v>
      </c>
      <c r="P56" s="31">
        <v>0.27700000000000002</v>
      </c>
      <c r="Q56" s="31">
        <v>1.869</v>
      </c>
      <c r="R56" s="26" t="s">
        <v>280</v>
      </c>
      <c r="S56" s="26"/>
      <c r="T56" s="71" t="s">
        <v>626</v>
      </c>
    </row>
    <row r="57" spans="1:20" s="14" customFormat="1">
      <c r="A57" s="26" t="s">
        <v>138</v>
      </c>
      <c r="B57" s="26" t="s">
        <v>179</v>
      </c>
      <c r="C57" s="26" t="s">
        <v>506</v>
      </c>
      <c r="D57" s="25">
        <v>42440</v>
      </c>
      <c r="E57" s="1">
        <f t="shared" si="0"/>
        <v>2016</v>
      </c>
      <c r="F57" s="1">
        <f t="shared" si="1"/>
        <v>3</v>
      </c>
      <c r="G57" s="4">
        <f t="shared" si="2"/>
        <v>11</v>
      </c>
      <c r="H57" s="8">
        <v>4.6527777777777779E-2</v>
      </c>
      <c r="I57" s="22">
        <v>127.23175000000001</v>
      </c>
      <c r="J57" s="22">
        <v>31.747033333333334</v>
      </c>
      <c r="K57" s="27">
        <v>0</v>
      </c>
      <c r="L57" s="27">
        <v>0</v>
      </c>
      <c r="M57" s="27">
        <v>0</v>
      </c>
      <c r="N57" s="21">
        <v>15.5</v>
      </c>
      <c r="O57" s="24">
        <v>34.576365674671749</v>
      </c>
      <c r="P57" s="31">
        <v>0.20699999999999999</v>
      </c>
      <c r="Q57" s="31">
        <v>1.34</v>
      </c>
      <c r="R57" s="26" t="s">
        <v>280</v>
      </c>
      <c r="S57" s="26">
        <v>1</v>
      </c>
      <c r="T57" s="71" t="s">
        <v>626</v>
      </c>
    </row>
    <row r="58" spans="1:20" s="14" customFormat="1">
      <c r="A58" s="26" t="s">
        <v>138</v>
      </c>
      <c r="B58" s="26" t="s">
        <v>179</v>
      </c>
      <c r="C58" s="26" t="s">
        <v>506</v>
      </c>
      <c r="D58" s="25">
        <v>42440</v>
      </c>
      <c r="E58" s="1">
        <f t="shared" si="0"/>
        <v>2016</v>
      </c>
      <c r="F58" s="1">
        <f t="shared" si="1"/>
        <v>3</v>
      </c>
      <c r="G58" s="4">
        <f t="shared" si="2"/>
        <v>11</v>
      </c>
      <c r="H58" s="8">
        <v>4.6527777777777779E-2</v>
      </c>
      <c r="I58" s="22">
        <v>127.23175000000001</v>
      </c>
      <c r="J58" s="22">
        <v>31.747033333333334</v>
      </c>
      <c r="K58" s="27">
        <v>10.215</v>
      </c>
      <c r="L58" s="27">
        <v>10</v>
      </c>
      <c r="M58" s="27">
        <v>0</v>
      </c>
      <c r="N58" s="21">
        <v>15.934799999999999</v>
      </c>
      <c r="O58" s="24">
        <v>34.5505</v>
      </c>
      <c r="P58" s="31">
        <v>0.19400000000000001</v>
      </c>
      <c r="Q58" s="31">
        <v>1.357</v>
      </c>
      <c r="R58" s="26" t="s">
        <v>280</v>
      </c>
      <c r="S58" s="26">
        <v>1</v>
      </c>
      <c r="T58" s="71" t="s">
        <v>626</v>
      </c>
    </row>
    <row r="59" spans="1:20" s="14" customFormat="1">
      <c r="A59" s="26" t="s">
        <v>138</v>
      </c>
      <c r="B59" s="26" t="s">
        <v>179</v>
      </c>
      <c r="C59" s="26" t="s">
        <v>506</v>
      </c>
      <c r="D59" s="25">
        <v>42440</v>
      </c>
      <c r="E59" s="1">
        <f t="shared" si="0"/>
        <v>2016</v>
      </c>
      <c r="F59" s="1">
        <f t="shared" si="1"/>
        <v>3</v>
      </c>
      <c r="G59" s="4">
        <f t="shared" si="2"/>
        <v>11</v>
      </c>
      <c r="H59" s="8">
        <v>4.6527777777777779E-2</v>
      </c>
      <c r="I59" s="22">
        <v>127.23175000000001</v>
      </c>
      <c r="J59" s="22">
        <v>31.747033333333334</v>
      </c>
      <c r="K59" s="27">
        <v>21.05</v>
      </c>
      <c r="L59" s="27">
        <v>20</v>
      </c>
      <c r="M59" s="27">
        <v>0</v>
      </c>
      <c r="N59" s="21">
        <v>15.932600000000001</v>
      </c>
      <c r="O59" s="24">
        <v>34.5505</v>
      </c>
      <c r="P59" s="31">
        <v>0.217</v>
      </c>
      <c r="Q59" s="31">
        <v>1.389</v>
      </c>
      <c r="R59" s="26" t="s">
        <v>280</v>
      </c>
      <c r="S59" s="26">
        <v>1</v>
      </c>
      <c r="T59" s="71" t="s">
        <v>626</v>
      </c>
    </row>
    <row r="60" spans="1:20" s="14" customFormat="1">
      <c r="A60" s="26" t="s">
        <v>138</v>
      </c>
      <c r="B60" s="26" t="s">
        <v>179</v>
      </c>
      <c r="C60" s="26" t="s">
        <v>506</v>
      </c>
      <c r="D60" s="25">
        <v>42440</v>
      </c>
      <c r="E60" s="1">
        <f t="shared" si="0"/>
        <v>2016</v>
      </c>
      <c r="F60" s="1">
        <f t="shared" si="1"/>
        <v>3</v>
      </c>
      <c r="G60" s="4">
        <f t="shared" si="2"/>
        <v>11</v>
      </c>
      <c r="H60" s="8">
        <v>4.6527777777777779E-2</v>
      </c>
      <c r="I60" s="22">
        <v>127.23175000000001</v>
      </c>
      <c r="J60" s="22">
        <v>31.747033333333334</v>
      </c>
      <c r="K60" s="27">
        <v>30.423999999999999</v>
      </c>
      <c r="L60" s="27">
        <v>30</v>
      </c>
      <c r="M60" s="27">
        <v>0</v>
      </c>
      <c r="N60" s="21">
        <v>15.952199999999999</v>
      </c>
      <c r="O60" s="24">
        <v>34.5505</v>
      </c>
      <c r="P60" s="31">
        <v>0.17299999999999999</v>
      </c>
      <c r="Q60" s="31">
        <v>1.29</v>
      </c>
      <c r="R60" s="26" t="s">
        <v>280</v>
      </c>
      <c r="S60" s="26">
        <v>1</v>
      </c>
      <c r="T60" s="71" t="s">
        <v>626</v>
      </c>
    </row>
    <row r="61" spans="1:20" s="14" customFormat="1">
      <c r="A61" s="26" t="s">
        <v>138</v>
      </c>
      <c r="B61" s="26" t="s">
        <v>179</v>
      </c>
      <c r="C61" s="26" t="s">
        <v>506</v>
      </c>
      <c r="D61" s="25">
        <v>42440</v>
      </c>
      <c r="E61" s="1">
        <f t="shared" si="0"/>
        <v>2016</v>
      </c>
      <c r="F61" s="1">
        <f t="shared" si="1"/>
        <v>3</v>
      </c>
      <c r="G61" s="4">
        <f t="shared" si="2"/>
        <v>11</v>
      </c>
      <c r="H61" s="8">
        <v>4.6527777777777779E-2</v>
      </c>
      <c r="I61" s="22">
        <v>127.23175000000001</v>
      </c>
      <c r="J61" s="22">
        <v>31.747033333333334</v>
      </c>
      <c r="K61" s="27">
        <v>50.087000000000003</v>
      </c>
      <c r="L61" s="27">
        <v>50</v>
      </c>
      <c r="M61" s="27">
        <v>0</v>
      </c>
      <c r="N61" s="21">
        <v>15.9567</v>
      </c>
      <c r="O61" s="24">
        <v>34.5503</v>
      </c>
      <c r="P61" s="31">
        <v>0.17</v>
      </c>
      <c r="Q61" s="31">
        <v>1.1539999999999999</v>
      </c>
      <c r="R61" s="26" t="s">
        <v>280</v>
      </c>
      <c r="S61" s="26">
        <v>1</v>
      </c>
      <c r="T61" s="71" t="s">
        <v>626</v>
      </c>
    </row>
    <row r="62" spans="1:20" s="14" customFormat="1">
      <c r="A62" s="26" t="s">
        <v>138</v>
      </c>
      <c r="B62" s="26" t="s">
        <v>179</v>
      </c>
      <c r="C62" s="26" t="s">
        <v>506</v>
      </c>
      <c r="D62" s="25">
        <v>42440</v>
      </c>
      <c r="E62" s="1">
        <f t="shared" si="0"/>
        <v>2016</v>
      </c>
      <c r="F62" s="1">
        <f t="shared" si="1"/>
        <v>3</v>
      </c>
      <c r="G62" s="4">
        <f t="shared" si="2"/>
        <v>11</v>
      </c>
      <c r="H62" s="8">
        <v>4.6527777777777779E-2</v>
      </c>
      <c r="I62" s="22">
        <v>127.23175000000001</v>
      </c>
      <c r="J62" s="22">
        <v>31.747033333333334</v>
      </c>
      <c r="K62" s="27">
        <v>76.055000000000007</v>
      </c>
      <c r="L62" s="27">
        <v>75</v>
      </c>
      <c r="M62" s="27">
        <v>0</v>
      </c>
      <c r="N62" s="21">
        <v>15.9537</v>
      </c>
      <c r="O62" s="24">
        <v>34.550699999999999</v>
      </c>
      <c r="P62" s="31">
        <v>0.22800000000000001</v>
      </c>
      <c r="Q62" s="31">
        <v>1.306</v>
      </c>
      <c r="R62" s="26" t="s">
        <v>280</v>
      </c>
      <c r="S62" s="26">
        <v>1</v>
      </c>
      <c r="T62" s="71" t="s">
        <v>626</v>
      </c>
    </row>
    <row r="63" spans="1:20" s="14" customFormat="1">
      <c r="A63" s="26" t="s">
        <v>138</v>
      </c>
      <c r="B63" s="26" t="s">
        <v>179</v>
      </c>
      <c r="C63" s="26" t="s">
        <v>506</v>
      </c>
      <c r="D63" s="25">
        <v>42440</v>
      </c>
      <c r="E63" s="1">
        <f t="shared" si="0"/>
        <v>2016</v>
      </c>
      <c r="F63" s="1">
        <f t="shared" si="1"/>
        <v>3</v>
      </c>
      <c r="G63" s="4">
        <f t="shared" si="2"/>
        <v>11</v>
      </c>
      <c r="H63" s="8">
        <v>4.6527777777777779E-2</v>
      </c>
      <c r="I63" s="22">
        <v>127.23175000000001</v>
      </c>
      <c r="J63" s="22">
        <v>31.747033333333334</v>
      </c>
      <c r="K63" s="27">
        <v>100.181</v>
      </c>
      <c r="L63" s="27">
        <v>100</v>
      </c>
      <c r="M63" s="27">
        <v>0</v>
      </c>
      <c r="N63" s="21">
        <v>15.9575</v>
      </c>
      <c r="O63" s="24">
        <v>34.551000000000002</v>
      </c>
      <c r="P63" s="31">
        <v>0.17199999999999999</v>
      </c>
      <c r="Q63" s="31">
        <v>1.256</v>
      </c>
      <c r="R63" s="26" t="s">
        <v>280</v>
      </c>
      <c r="S63" s="26">
        <v>1</v>
      </c>
      <c r="T63" s="71" t="s">
        <v>626</v>
      </c>
    </row>
    <row r="64" spans="1:20" s="14" customFormat="1">
      <c r="A64" s="26" t="s">
        <v>138</v>
      </c>
      <c r="B64" s="26" t="s">
        <v>179</v>
      </c>
      <c r="C64" s="26" t="s">
        <v>506</v>
      </c>
      <c r="D64" s="25">
        <v>42440</v>
      </c>
      <c r="E64" s="1">
        <f t="shared" si="0"/>
        <v>2016</v>
      </c>
      <c r="F64" s="1">
        <f t="shared" si="1"/>
        <v>3</v>
      </c>
      <c r="G64" s="4">
        <f t="shared" si="2"/>
        <v>11</v>
      </c>
      <c r="H64" s="8">
        <v>4.6527777777777779E-2</v>
      </c>
      <c r="I64" s="22">
        <v>127.23175000000001</v>
      </c>
      <c r="J64" s="22">
        <v>31.747033333333334</v>
      </c>
      <c r="K64" s="27">
        <v>121.348</v>
      </c>
      <c r="L64" s="27">
        <v>121</v>
      </c>
      <c r="M64" s="27">
        <v>0</v>
      </c>
      <c r="N64" s="21">
        <v>15.9612</v>
      </c>
      <c r="O64" s="24">
        <v>34.550699999999999</v>
      </c>
      <c r="P64" s="31">
        <v>0.20399999999999999</v>
      </c>
      <c r="Q64" s="31">
        <v>1.1679999999999999</v>
      </c>
      <c r="R64" s="26" t="s">
        <v>280</v>
      </c>
      <c r="S64" s="26">
        <v>1</v>
      </c>
      <c r="T64" s="71" t="s">
        <v>626</v>
      </c>
    </row>
    <row r="65" spans="1:20" s="14" customFormat="1">
      <c r="A65" s="26" t="s">
        <v>138</v>
      </c>
      <c r="B65" s="26" t="s">
        <v>180</v>
      </c>
      <c r="C65" s="26" t="s">
        <v>506</v>
      </c>
      <c r="D65" s="25">
        <v>42442</v>
      </c>
      <c r="E65" s="1">
        <f t="shared" si="0"/>
        <v>2016</v>
      </c>
      <c r="F65" s="1">
        <f t="shared" si="1"/>
        <v>3</v>
      </c>
      <c r="G65" s="4">
        <f t="shared" si="2"/>
        <v>13</v>
      </c>
      <c r="H65" s="8">
        <v>0.54375000000000007</v>
      </c>
      <c r="I65" s="22">
        <v>128.75146666666666</v>
      </c>
      <c r="J65" s="22">
        <v>31.749316666666665</v>
      </c>
      <c r="K65" s="27">
        <v>0</v>
      </c>
      <c r="L65" s="27">
        <v>0</v>
      </c>
      <c r="M65" s="27">
        <v>0</v>
      </c>
      <c r="N65" s="21">
        <v>18.399999999999999</v>
      </c>
      <c r="O65" s="24">
        <v>34.829992553037435</v>
      </c>
      <c r="P65" s="31">
        <v>0.31448590117647068</v>
      </c>
      <c r="Q65" s="31">
        <v>2.0096952200000011</v>
      </c>
      <c r="R65" s="26" t="s">
        <v>280</v>
      </c>
      <c r="S65" s="26">
        <v>1</v>
      </c>
      <c r="T65" s="71" t="s">
        <v>626</v>
      </c>
    </row>
    <row r="66" spans="1:20" s="14" customFormat="1">
      <c r="A66" s="26" t="s">
        <v>138</v>
      </c>
      <c r="B66" s="26" t="s">
        <v>180</v>
      </c>
      <c r="C66" s="26" t="s">
        <v>506</v>
      </c>
      <c r="D66" s="25">
        <v>42442</v>
      </c>
      <c r="E66" s="1">
        <f t="shared" ref="E66:E129" si="3">YEAR(D66)</f>
        <v>2016</v>
      </c>
      <c r="F66" s="1">
        <f t="shared" ref="F66:F129" si="4">MONTH(D66)</f>
        <v>3</v>
      </c>
      <c r="G66" s="4">
        <f t="shared" ref="G66:G129" si="5">DAY(D66)</f>
        <v>13</v>
      </c>
      <c r="H66" s="8">
        <v>0.54375000000000007</v>
      </c>
      <c r="I66" s="22">
        <v>128.75146666666666</v>
      </c>
      <c r="J66" s="22">
        <v>31.749316666666665</v>
      </c>
      <c r="K66" s="27">
        <v>10.692</v>
      </c>
      <c r="L66" s="27">
        <v>10</v>
      </c>
      <c r="M66" s="27">
        <v>0</v>
      </c>
      <c r="N66" s="21">
        <v>18.541</v>
      </c>
      <c r="O66" s="24">
        <v>34.8155</v>
      </c>
      <c r="P66" s="31">
        <v>0.29603488941176459</v>
      </c>
      <c r="Q66" s="31">
        <v>1.8495799000000019</v>
      </c>
      <c r="R66" s="26" t="s">
        <v>280</v>
      </c>
      <c r="S66" s="26">
        <v>1</v>
      </c>
      <c r="T66" s="71" t="s">
        <v>626</v>
      </c>
    </row>
    <row r="67" spans="1:20" s="14" customFormat="1">
      <c r="A67" s="26" t="s">
        <v>138</v>
      </c>
      <c r="B67" s="26" t="s">
        <v>180</v>
      </c>
      <c r="C67" s="26" t="s">
        <v>506</v>
      </c>
      <c r="D67" s="25">
        <v>42442</v>
      </c>
      <c r="E67" s="1">
        <f t="shared" si="3"/>
        <v>2016</v>
      </c>
      <c r="F67" s="1">
        <f t="shared" si="4"/>
        <v>3</v>
      </c>
      <c r="G67" s="4">
        <f t="shared" si="5"/>
        <v>13</v>
      </c>
      <c r="H67" s="8">
        <v>0.54375000000000007</v>
      </c>
      <c r="I67" s="22">
        <v>128.75146666666666</v>
      </c>
      <c r="J67" s="22">
        <v>31.749316666666665</v>
      </c>
      <c r="K67" s="27">
        <v>20.2</v>
      </c>
      <c r="L67" s="27">
        <v>20</v>
      </c>
      <c r="M67" s="27">
        <v>0</v>
      </c>
      <c r="N67" s="21">
        <v>18.542200000000001</v>
      </c>
      <c r="O67" s="24">
        <v>34.814399999999999</v>
      </c>
      <c r="P67" s="31">
        <v>0.31730147764705885</v>
      </c>
      <c r="Q67" s="31">
        <v>1.8775707200000014</v>
      </c>
      <c r="R67" s="26" t="s">
        <v>280</v>
      </c>
      <c r="S67" s="26">
        <v>1</v>
      </c>
      <c r="T67" s="71" t="s">
        <v>626</v>
      </c>
    </row>
    <row r="68" spans="1:20" s="14" customFormat="1">
      <c r="A68" s="26" t="s">
        <v>138</v>
      </c>
      <c r="B68" s="26" t="s">
        <v>180</v>
      </c>
      <c r="C68" s="26" t="s">
        <v>506</v>
      </c>
      <c r="D68" s="25">
        <v>42442</v>
      </c>
      <c r="E68" s="1">
        <f t="shared" si="3"/>
        <v>2016</v>
      </c>
      <c r="F68" s="1">
        <f t="shared" si="4"/>
        <v>3</v>
      </c>
      <c r="G68" s="4">
        <f t="shared" si="5"/>
        <v>13</v>
      </c>
      <c r="H68" s="8">
        <v>0.54375000000000007</v>
      </c>
      <c r="I68" s="22">
        <v>128.75146666666666</v>
      </c>
      <c r="J68" s="22">
        <v>31.749316666666665</v>
      </c>
      <c r="K68" s="27">
        <v>30.483000000000001</v>
      </c>
      <c r="L68" s="27">
        <v>30</v>
      </c>
      <c r="M68" s="27">
        <v>0</v>
      </c>
      <c r="N68" s="21">
        <v>18.546800000000001</v>
      </c>
      <c r="O68" s="24">
        <v>34.815199999999997</v>
      </c>
      <c r="P68" s="31">
        <v>0.32064422588235275</v>
      </c>
      <c r="Q68" s="31">
        <v>1.9646750200000014</v>
      </c>
      <c r="R68" s="26" t="s">
        <v>280</v>
      </c>
      <c r="S68" s="26">
        <v>1</v>
      </c>
      <c r="T68" s="71" t="s">
        <v>626</v>
      </c>
    </row>
    <row r="69" spans="1:20" s="14" customFormat="1">
      <c r="A69" s="26" t="s">
        <v>138</v>
      </c>
      <c r="B69" s="26" t="s">
        <v>180</v>
      </c>
      <c r="C69" s="26" t="s">
        <v>506</v>
      </c>
      <c r="D69" s="25">
        <v>42442</v>
      </c>
      <c r="E69" s="1">
        <f t="shared" si="3"/>
        <v>2016</v>
      </c>
      <c r="F69" s="1">
        <f t="shared" si="4"/>
        <v>3</v>
      </c>
      <c r="G69" s="4">
        <f t="shared" si="5"/>
        <v>13</v>
      </c>
      <c r="H69" s="8">
        <v>0.54375000000000007</v>
      </c>
      <c r="I69" s="22">
        <v>128.75146666666666</v>
      </c>
      <c r="J69" s="22">
        <v>31.749316666666665</v>
      </c>
      <c r="K69" s="27">
        <v>50.575000000000003</v>
      </c>
      <c r="L69" s="27">
        <v>50</v>
      </c>
      <c r="M69" s="27">
        <v>0</v>
      </c>
      <c r="N69" s="21">
        <v>18.4574</v>
      </c>
      <c r="O69" s="24">
        <v>34.8035</v>
      </c>
      <c r="P69" s="31">
        <v>0.33967033411764702</v>
      </c>
      <c r="Q69" s="31">
        <v>1.9539093200000028</v>
      </c>
      <c r="R69" s="26" t="s">
        <v>280</v>
      </c>
      <c r="S69" s="26">
        <v>1</v>
      </c>
      <c r="T69" s="71" t="s">
        <v>626</v>
      </c>
    </row>
    <row r="70" spans="1:20" s="14" customFormat="1">
      <c r="A70" s="26" t="s">
        <v>138</v>
      </c>
      <c r="B70" s="26" t="s">
        <v>180</v>
      </c>
      <c r="C70" s="26" t="s">
        <v>506</v>
      </c>
      <c r="D70" s="25">
        <v>42442</v>
      </c>
      <c r="E70" s="1">
        <f t="shared" si="3"/>
        <v>2016</v>
      </c>
      <c r="F70" s="1">
        <f t="shared" si="4"/>
        <v>3</v>
      </c>
      <c r="G70" s="4">
        <f t="shared" si="5"/>
        <v>13</v>
      </c>
      <c r="H70" s="8">
        <v>0.54375000000000007</v>
      </c>
      <c r="I70" s="22">
        <v>128.75146666666666</v>
      </c>
      <c r="J70" s="22">
        <v>31.749316666666665</v>
      </c>
      <c r="K70" s="27">
        <v>74.472999999999999</v>
      </c>
      <c r="L70" s="27">
        <v>75</v>
      </c>
      <c r="M70" s="27">
        <v>0</v>
      </c>
      <c r="N70" s="21">
        <v>18.376000000000001</v>
      </c>
      <c r="O70" s="24">
        <v>34.793700000000001</v>
      </c>
      <c r="P70" s="31">
        <v>0.31347948235294099</v>
      </c>
      <c r="Q70" s="31">
        <v>1.8765920200000004</v>
      </c>
      <c r="R70" s="26" t="s">
        <v>280</v>
      </c>
      <c r="S70" s="26">
        <v>1</v>
      </c>
      <c r="T70" s="71" t="s">
        <v>626</v>
      </c>
    </row>
    <row r="71" spans="1:20" s="14" customFormat="1">
      <c r="A71" s="26" t="s">
        <v>138</v>
      </c>
      <c r="B71" s="26" t="s">
        <v>180</v>
      </c>
      <c r="C71" s="26" t="s">
        <v>506</v>
      </c>
      <c r="D71" s="25">
        <v>42442</v>
      </c>
      <c r="E71" s="1">
        <f t="shared" si="3"/>
        <v>2016</v>
      </c>
      <c r="F71" s="1">
        <f t="shared" si="4"/>
        <v>3</v>
      </c>
      <c r="G71" s="4">
        <f t="shared" si="5"/>
        <v>13</v>
      </c>
      <c r="H71" s="8">
        <v>0.54375000000000007</v>
      </c>
      <c r="I71" s="22">
        <v>128.75146666666666</v>
      </c>
      <c r="J71" s="22">
        <v>31.749316666666665</v>
      </c>
      <c r="K71" s="27">
        <v>99.483999999999995</v>
      </c>
      <c r="L71" s="27">
        <v>100</v>
      </c>
      <c r="M71" s="27">
        <v>0</v>
      </c>
      <c r="N71" s="21">
        <v>17.684999999999999</v>
      </c>
      <c r="O71" s="24">
        <v>34.737099999999998</v>
      </c>
      <c r="P71" s="31">
        <v>0.33963439058823486</v>
      </c>
      <c r="Q71" s="31">
        <v>1.4267815000000006</v>
      </c>
      <c r="R71" s="26" t="s">
        <v>280</v>
      </c>
      <c r="S71" s="26">
        <v>1</v>
      </c>
      <c r="T71" s="71" t="s">
        <v>626</v>
      </c>
    </row>
    <row r="72" spans="1:20" s="14" customFormat="1">
      <c r="A72" s="26" t="s">
        <v>138</v>
      </c>
      <c r="B72" s="26" t="s">
        <v>180</v>
      </c>
      <c r="C72" s="26" t="s">
        <v>506</v>
      </c>
      <c r="D72" s="25">
        <v>42442</v>
      </c>
      <c r="E72" s="1">
        <f t="shared" si="3"/>
        <v>2016</v>
      </c>
      <c r="F72" s="1">
        <f t="shared" si="4"/>
        <v>3</v>
      </c>
      <c r="G72" s="4">
        <f t="shared" si="5"/>
        <v>13</v>
      </c>
      <c r="H72" s="8">
        <v>0.54375000000000007</v>
      </c>
      <c r="I72" s="22">
        <v>128.75146666666666</v>
      </c>
      <c r="J72" s="22">
        <v>31.749316666666665</v>
      </c>
      <c r="K72" s="27">
        <v>124.413</v>
      </c>
      <c r="L72" s="27">
        <v>125</v>
      </c>
      <c r="M72" s="27">
        <v>0</v>
      </c>
      <c r="N72" s="21">
        <v>17.193999999999999</v>
      </c>
      <c r="O72" s="24">
        <v>34.707700000000003</v>
      </c>
      <c r="P72" s="31">
        <v>0.27479226352941177</v>
      </c>
      <c r="Q72" s="31">
        <v>1.5080136</v>
      </c>
      <c r="R72" s="26" t="s">
        <v>280</v>
      </c>
      <c r="S72" s="26">
        <v>1</v>
      </c>
      <c r="T72" s="71" t="s">
        <v>626</v>
      </c>
    </row>
    <row r="73" spans="1:20" s="14" customFormat="1">
      <c r="A73" s="26" t="s">
        <v>138</v>
      </c>
      <c r="B73" s="26" t="s">
        <v>180</v>
      </c>
      <c r="C73" s="26" t="s">
        <v>506</v>
      </c>
      <c r="D73" s="25">
        <v>42442</v>
      </c>
      <c r="E73" s="1">
        <f t="shared" si="3"/>
        <v>2016</v>
      </c>
      <c r="F73" s="1">
        <f t="shared" si="4"/>
        <v>3</v>
      </c>
      <c r="G73" s="4">
        <f t="shared" si="5"/>
        <v>13</v>
      </c>
      <c r="H73" s="8">
        <v>0.54375000000000007</v>
      </c>
      <c r="I73" s="22">
        <v>128.75146666666666</v>
      </c>
      <c r="J73" s="22">
        <v>31.749316666666665</v>
      </c>
      <c r="K73" s="27">
        <v>148.767</v>
      </c>
      <c r="L73" s="27">
        <v>150</v>
      </c>
      <c r="M73" s="27">
        <v>0</v>
      </c>
      <c r="N73" s="21">
        <v>16.540099999999999</v>
      </c>
      <c r="O73" s="24">
        <v>34.658799999999999</v>
      </c>
      <c r="P73" s="31">
        <v>0.24982349176470531</v>
      </c>
      <c r="Q73" s="31">
        <v>1.3897866400000005</v>
      </c>
      <c r="R73" s="26" t="s">
        <v>280</v>
      </c>
      <c r="S73" s="26">
        <v>1</v>
      </c>
      <c r="T73" s="71" t="s">
        <v>626</v>
      </c>
    </row>
    <row r="74" spans="1:20" s="14" customFormat="1">
      <c r="A74" s="26" t="s">
        <v>138</v>
      </c>
      <c r="B74" s="26" t="s">
        <v>180</v>
      </c>
      <c r="C74" s="26" t="s">
        <v>506</v>
      </c>
      <c r="D74" s="25">
        <v>42442</v>
      </c>
      <c r="E74" s="1">
        <f t="shared" si="3"/>
        <v>2016</v>
      </c>
      <c r="F74" s="1">
        <f t="shared" si="4"/>
        <v>3</v>
      </c>
      <c r="G74" s="4">
        <f t="shared" si="5"/>
        <v>13</v>
      </c>
      <c r="H74" s="8">
        <v>0.54375000000000007</v>
      </c>
      <c r="I74" s="22">
        <v>128.75146666666666</v>
      </c>
      <c r="J74" s="22">
        <v>31.749316666666665</v>
      </c>
      <c r="K74" s="27">
        <v>198.77799999999999</v>
      </c>
      <c r="L74" s="27">
        <v>200</v>
      </c>
      <c r="M74" s="27">
        <v>0</v>
      </c>
      <c r="N74" s="21">
        <v>15.404299999999999</v>
      </c>
      <c r="O74" s="24">
        <v>34.580399999999997</v>
      </c>
      <c r="P74" s="31">
        <v>0.2146707200000002</v>
      </c>
      <c r="Q74" s="31">
        <v>1.0574201200000015</v>
      </c>
      <c r="R74" s="26" t="s">
        <v>280</v>
      </c>
      <c r="S74" s="26">
        <v>1</v>
      </c>
      <c r="T74" s="71" t="s">
        <v>626</v>
      </c>
    </row>
    <row r="75" spans="1:20" s="14" customFormat="1">
      <c r="A75" s="26" t="s">
        <v>138</v>
      </c>
      <c r="B75" s="26" t="s">
        <v>180</v>
      </c>
      <c r="C75" s="26" t="s">
        <v>506</v>
      </c>
      <c r="D75" s="25">
        <v>42442</v>
      </c>
      <c r="E75" s="1">
        <f t="shared" si="3"/>
        <v>2016</v>
      </c>
      <c r="F75" s="1">
        <f t="shared" si="4"/>
        <v>3</v>
      </c>
      <c r="G75" s="4">
        <f t="shared" si="5"/>
        <v>13</v>
      </c>
      <c r="H75" s="8">
        <v>0.54375000000000007</v>
      </c>
      <c r="I75" s="22">
        <v>128.75146666666666</v>
      </c>
      <c r="J75" s="22">
        <v>31.749316666666665</v>
      </c>
      <c r="K75" s="27">
        <v>297.94299999999998</v>
      </c>
      <c r="L75" s="27">
        <v>300</v>
      </c>
      <c r="M75" s="27">
        <v>0</v>
      </c>
      <c r="N75" s="21">
        <v>11.181699999999999</v>
      </c>
      <c r="O75" s="24">
        <v>34.377800000000001</v>
      </c>
      <c r="P75" s="31">
        <v>6.1179868235293977E-2</v>
      </c>
      <c r="Q75" s="31">
        <v>-5.7123439999999803E-2</v>
      </c>
      <c r="R75" s="26" t="s">
        <v>280</v>
      </c>
      <c r="S75" s="26">
        <v>1</v>
      </c>
      <c r="T75" s="71" t="s">
        <v>626</v>
      </c>
    </row>
    <row r="76" spans="1:20" s="14" customFormat="1">
      <c r="A76" s="26" t="s">
        <v>138</v>
      </c>
      <c r="B76" s="26" t="s">
        <v>180</v>
      </c>
      <c r="C76" s="26" t="s">
        <v>506</v>
      </c>
      <c r="D76" s="25">
        <v>42442</v>
      </c>
      <c r="E76" s="1">
        <f t="shared" si="3"/>
        <v>2016</v>
      </c>
      <c r="F76" s="1">
        <f t="shared" si="4"/>
        <v>3</v>
      </c>
      <c r="G76" s="4">
        <f t="shared" si="5"/>
        <v>13</v>
      </c>
      <c r="H76" s="8">
        <v>0.54375000000000007</v>
      </c>
      <c r="I76" s="22">
        <v>128.75146666666666</v>
      </c>
      <c r="J76" s="22">
        <v>31.749316666666665</v>
      </c>
      <c r="K76" s="27">
        <v>496.36399999999998</v>
      </c>
      <c r="L76" s="27">
        <v>500</v>
      </c>
      <c r="M76" s="27">
        <v>0</v>
      </c>
      <c r="N76" s="21">
        <v>7.4847999999999999</v>
      </c>
      <c r="O76" s="24">
        <v>34.3367</v>
      </c>
      <c r="P76" s="31">
        <v>-5.2186023529411596E-2</v>
      </c>
      <c r="Q76" s="31">
        <v>-1.0829967799999993</v>
      </c>
      <c r="R76" s="26" t="s">
        <v>280</v>
      </c>
      <c r="S76" s="26">
        <v>1</v>
      </c>
      <c r="T76" s="71" t="s">
        <v>626</v>
      </c>
    </row>
    <row r="77" spans="1:20" s="14" customFormat="1">
      <c r="A77" s="26" t="s">
        <v>138</v>
      </c>
      <c r="B77" s="26" t="s">
        <v>181</v>
      </c>
      <c r="C77" s="26" t="s">
        <v>506</v>
      </c>
      <c r="D77" s="25">
        <v>42442</v>
      </c>
      <c r="E77" s="1">
        <f t="shared" si="3"/>
        <v>2016</v>
      </c>
      <c r="F77" s="1">
        <f t="shared" si="4"/>
        <v>3</v>
      </c>
      <c r="G77" s="4">
        <f t="shared" si="5"/>
        <v>13</v>
      </c>
      <c r="H77" s="8">
        <v>0.54375000000000007</v>
      </c>
      <c r="I77" s="22">
        <v>128.75146666666666</v>
      </c>
      <c r="J77" s="22">
        <v>31.749316666666665</v>
      </c>
      <c r="K77" s="27">
        <v>0</v>
      </c>
      <c r="L77" s="27">
        <v>0</v>
      </c>
      <c r="M77" s="27">
        <v>0</v>
      </c>
      <c r="N77" s="21">
        <v>18.399999999999999</v>
      </c>
      <c r="O77" s="24">
        <v>34.829992553037435</v>
      </c>
      <c r="P77" s="31">
        <v>0.30698568470588228</v>
      </c>
      <c r="Q77" s="31">
        <v>1.8155211399999995</v>
      </c>
      <c r="R77" s="26" t="s">
        <v>280</v>
      </c>
      <c r="S77" s="26"/>
      <c r="T77" s="71" t="s">
        <v>626</v>
      </c>
    </row>
    <row r="78" spans="1:20" s="14" customFormat="1">
      <c r="A78" s="26" t="s">
        <v>138</v>
      </c>
      <c r="B78" s="26" t="s">
        <v>182</v>
      </c>
      <c r="C78" s="26" t="s">
        <v>506</v>
      </c>
      <c r="D78" s="25">
        <v>42442</v>
      </c>
      <c r="E78" s="1">
        <f t="shared" si="3"/>
        <v>2016</v>
      </c>
      <c r="F78" s="1">
        <f t="shared" si="4"/>
        <v>3</v>
      </c>
      <c r="G78" s="4">
        <f t="shared" si="5"/>
        <v>13</v>
      </c>
      <c r="H78" s="8">
        <v>0.875</v>
      </c>
      <c r="I78" s="22">
        <v>129.24870000000001</v>
      </c>
      <c r="J78" s="22">
        <v>31.750183333333332</v>
      </c>
      <c r="K78" s="27">
        <v>0</v>
      </c>
      <c r="L78" s="27">
        <v>0</v>
      </c>
      <c r="M78" s="27">
        <v>0</v>
      </c>
      <c r="N78" s="21">
        <v>18.5</v>
      </c>
      <c r="O78" s="24">
        <v>34.829189243318851</v>
      </c>
      <c r="P78" s="31">
        <v>0.29810763294117648</v>
      </c>
      <c r="Q78" s="31">
        <v>1.771479639999999</v>
      </c>
      <c r="R78" s="26" t="s">
        <v>280</v>
      </c>
      <c r="S78" s="26">
        <v>1</v>
      </c>
      <c r="T78" s="71" t="s">
        <v>626</v>
      </c>
    </row>
    <row r="79" spans="1:20" s="14" customFormat="1">
      <c r="A79" s="26" t="s">
        <v>138</v>
      </c>
      <c r="B79" s="26" t="s">
        <v>182</v>
      </c>
      <c r="C79" s="26" t="s">
        <v>506</v>
      </c>
      <c r="D79" s="25">
        <v>42442</v>
      </c>
      <c r="E79" s="1">
        <f t="shared" si="3"/>
        <v>2016</v>
      </c>
      <c r="F79" s="1">
        <f t="shared" si="4"/>
        <v>3</v>
      </c>
      <c r="G79" s="4">
        <f t="shared" si="5"/>
        <v>13</v>
      </c>
      <c r="H79" s="8">
        <v>0.875</v>
      </c>
      <c r="I79" s="22">
        <v>129.24870000000001</v>
      </c>
      <c r="J79" s="22">
        <v>31.750183333333332</v>
      </c>
      <c r="K79" s="27">
        <v>10.087999999999999</v>
      </c>
      <c r="L79" s="27">
        <v>10</v>
      </c>
      <c r="M79" s="27">
        <v>0</v>
      </c>
      <c r="N79" s="21">
        <v>18.543199999999999</v>
      </c>
      <c r="O79" s="24">
        <v>34.816600000000001</v>
      </c>
      <c r="P79" s="31">
        <v>0.25582606117647044</v>
      </c>
      <c r="Q79" s="31">
        <v>1.79751306</v>
      </c>
      <c r="R79" s="26" t="s">
        <v>280</v>
      </c>
      <c r="S79" s="26">
        <v>1</v>
      </c>
      <c r="T79" s="71" t="s">
        <v>626</v>
      </c>
    </row>
    <row r="80" spans="1:20" s="14" customFormat="1">
      <c r="A80" s="26" t="s">
        <v>138</v>
      </c>
      <c r="B80" s="26" t="s">
        <v>182</v>
      </c>
      <c r="C80" s="26" t="s">
        <v>506</v>
      </c>
      <c r="D80" s="25">
        <v>42442</v>
      </c>
      <c r="E80" s="1">
        <f t="shared" si="3"/>
        <v>2016</v>
      </c>
      <c r="F80" s="1">
        <f t="shared" si="4"/>
        <v>3</v>
      </c>
      <c r="G80" s="4">
        <f t="shared" si="5"/>
        <v>13</v>
      </c>
      <c r="H80" s="8">
        <v>0.875</v>
      </c>
      <c r="I80" s="22">
        <v>129.24870000000001</v>
      </c>
      <c r="J80" s="22">
        <v>31.750183333333332</v>
      </c>
      <c r="K80" s="27">
        <v>20.074000000000002</v>
      </c>
      <c r="L80" s="27">
        <v>20</v>
      </c>
      <c r="M80" s="27">
        <v>0</v>
      </c>
      <c r="N80" s="21">
        <v>18.5489</v>
      </c>
      <c r="O80" s="24">
        <v>34.818600000000004</v>
      </c>
      <c r="P80" s="31">
        <v>0.33470833529411781</v>
      </c>
      <c r="Q80" s="31">
        <v>1.8614192329411772</v>
      </c>
      <c r="R80" s="26" t="s">
        <v>280</v>
      </c>
      <c r="S80" s="26">
        <v>1</v>
      </c>
      <c r="T80" s="71" t="s">
        <v>626</v>
      </c>
    </row>
    <row r="81" spans="1:20" s="14" customFormat="1">
      <c r="A81" s="26" t="s">
        <v>138</v>
      </c>
      <c r="B81" s="26" t="s">
        <v>182</v>
      </c>
      <c r="C81" s="26" t="s">
        <v>506</v>
      </c>
      <c r="D81" s="25">
        <v>42442</v>
      </c>
      <c r="E81" s="1">
        <f t="shared" si="3"/>
        <v>2016</v>
      </c>
      <c r="F81" s="1">
        <f t="shared" si="4"/>
        <v>3</v>
      </c>
      <c r="G81" s="4">
        <f t="shared" si="5"/>
        <v>13</v>
      </c>
      <c r="H81" s="8">
        <v>0.875</v>
      </c>
      <c r="I81" s="22">
        <v>129.24870000000001</v>
      </c>
      <c r="J81" s="22">
        <v>31.750183333333332</v>
      </c>
      <c r="K81" s="27">
        <v>29.855</v>
      </c>
      <c r="L81" s="27">
        <v>30</v>
      </c>
      <c r="M81" s="27">
        <v>0</v>
      </c>
      <c r="N81" s="21">
        <v>18.543500000000002</v>
      </c>
      <c r="O81" s="24">
        <v>34.82</v>
      </c>
      <c r="P81" s="31">
        <v>0.31946680235294123</v>
      </c>
      <c r="Q81" s="31">
        <v>1.9494437435294127</v>
      </c>
      <c r="R81" s="26" t="s">
        <v>280</v>
      </c>
      <c r="S81" s="26">
        <v>1</v>
      </c>
      <c r="T81" s="71" t="s">
        <v>626</v>
      </c>
    </row>
    <row r="82" spans="1:20" s="14" customFormat="1">
      <c r="A82" s="26" t="s">
        <v>138</v>
      </c>
      <c r="B82" s="26" t="s">
        <v>182</v>
      </c>
      <c r="C82" s="26" t="s">
        <v>506</v>
      </c>
      <c r="D82" s="25">
        <v>42442</v>
      </c>
      <c r="E82" s="1">
        <f t="shared" si="3"/>
        <v>2016</v>
      </c>
      <c r="F82" s="1">
        <f t="shared" si="4"/>
        <v>3</v>
      </c>
      <c r="G82" s="4">
        <f t="shared" si="5"/>
        <v>13</v>
      </c>
      <c r="H82" s="8">
        <v>0.875</v>
      </c>
      <c r="I82" s="22">
        <v>129.24870000000001</v>
      </c>
      <c r="J82" s="22">
        <v>31.750183333333332</v>
      </c>
      <c r="K82" s="27">
        <v>50.44</v>
      </c>
      <c r="L82" s="27">
        <v>50</v>
      </c>
      <c r="M82" s="27">
        <v>0</v>
      </c>
      <c r="N82" s="21">
        <v>18.531300000000002</v>
      </c>
      <c r="O82" s="24">
        <v>34.819800000000001</v>
      </c>
      <c r="P82" s="31">
        <v>0.31156422941176487</v>
      </c>
      <c r="Q82" s="31">
        <v>1.9790542941176454</v>
      </c>
      <c r="R82" s="26" t="s">
        <v>280</v>
      </c>
      <c r="S82" s="26">
        <v>1</v>
      </c>
      <c r="T82" s="71" t="s">
        <v>626</v>
      </c>
    </row>
    <row r="83" spans="1:20" s="14" customFormat="1">
      <c r="A83" s="26" t="s">
        <v>138</v>
      </c>
      <c r="B83" s="26" t="s">
        <v>182</v>
      </c>
      <c r="C83" s="26" t="s">
        <v>506</v>
      </c>
      <c r="D83" s="25">
        <v>42442</v>
      </c>
      <c r="E83" s="1">
        <f t="shared" si="3"/>
        <v>2016</v>
      </c>
      <c r="F83" s="1">
        <f t="shared" si="4"/>
        <v>3</v>
      </c>
      <c r="G83" s="4">
        <f t="shared" si="5"/>
        <v>13</v>
      </c>
      <c r="H83" s="8">
        <v>0.875</v>
      </c>
      <c r="I83" s="22">
        <v>129.24870000000001</v>
      </c>
      <c r="J83" s="22">
        <v>31.750183333333332</v>
      </c>
      <c r="K83" s="27">
        <v>74.688999999999993</v>
      </c>
      <c r="L83" s="27">
        <v>75</v>
      </c>
      <c r="M83" s="27">
        <v>0</v>
      </c>
      <c r="N83" s="21">
        <v>18.086400000000001</v>
      </c>
      <c r="O83" s="24">
        <v>34.773600000000002</v>
      </c>
      <c r="P83" s="31">
        <v>0.29734199647058857</v>
      </c>
      <c r="Q83" s="31">
        <v>1.8236219647058807</v>
      </c>
      <c r="R83" s="26" t="s">
        <v>280</v>
      </c>
      <c r="S83" s="26">
        <v>1</v>
      </c>
      <c r="T83" s="71" t="s">
        <v>626</v>
      </c>
    </row>
    <row r="84" spans="1:20" s="14" customFormat="1">
      <c r="A84" s="26" t="s">
        <v>138</v>
      </c>
      <c r="B84" s="26" t="s">
        <v>182</v>
      </c>
      <c r="C84" s="26" t="s">
        <v>506</v>
      </c>
      <c r="D84" s="25">
        <v>42442</v>
      </c>
      <c r="E84" s="1">
        <f t="shared" si="3"/>
        <v>2016</v>
      </c>
      <c r="F84" s="1">
        <f t="shared" si="4"/>
        <v>3</v>
      </c>
      <c r="G84" s="4">
        <f t="shared" si="5"/>
        <v>13</v>
      </c>
      <c r="H84" s="8">
        <v>0.875</v>
      </c>
      <c r="I84" s="22">
        <v>129.24870000000001</v>
      </c>
      <c r="J84" s="22">
        <v>31.750183333333332</v>
      </c>
      <c r="K84" s="27">
        <v>99.641000000000005</v>
      </c>
      <c r="L84" s="27">
        <v>100</v>
      </c>
      <c r="M84" s="27">
        <v>0</v>
      </c>
      <c r="N84" s="21">
        <v>17.481100000000001</v>
      </c>
      <c r="O84" s="24">
        <v>34.731999999999999</v>
      </c>
      <c r="P84" s="31">
        <v>0.25682182352941219</v>
      </c>
      <c r="Q84" s="31">
        <v>1.610755775294118</v>
      </c>
      <c r="R84" s="26" t="s">
        <v>280</v>
      </c>
      <c r="S84" s="26">
        <v>1</v>
      </c>
      <c r="T84" s="71" t="s">
        <v>626</v>
      </c>
    </row>
    <row r="85" spans="1:20" s="14" customFormat="1">
      <c r="A85" s="26" t="s">
        <v>138</v>
      </c>
      <c r="B85" s="26" t="s">
        <v>182</v>
      </c>
      <c r="C85" s="26" t="s">
        <v>506</v>
      </c>
      <c r="D85" s="25">
        <v>42442</v>
      </c>
      <c r="E85" s="1">
        <f t="shared" si="3"/>
        <v>2016</v>
      </c>
      <c r="F85" s="1">
        <f t="shared" si="4"/>
        <v>3</v>
      </c>
      <c r="G85" s="4">
        <f t="shared" si="5"/>
        <v>13</v>
      </c>
      <c r="H85" s="8">
        <v>0.875</v>
      </c>
      <c r="I85" s="22">
        <v>129.24870000000001</v>
      </c>
      <c r="J85" s="22">
        <v>31.750183333333332</v>
      </c>
      <c r="K85" s="27">
        <v>124.83199999999999</v>
      </c>
      <c r="L85" s="27">
        <v>125</v>
      </c>
      <c r="M85" s="27">
        <v>0</v>
      </c>
      <c r="N85" s="21">
        <v>17.2486</v>
      </c>
      <c r="O85" s="24">
        <v>34.718499999999999</v>
      </c>
      <c r="P85" s="31">
        <v>0.25625821058823517</v>
      </c>
      <c r="Q85" s="31">
        <v>1.5817563458823543</v>
      </c>
      <c r="R85" s="26" t="s">
        <v>280</v>
      </c>
      <c r="S85" s="26">
        <v>1</v>
      </c>
      <c r="T85" s="71" t="s">
        <v>626</v>
      </c>
    </row>
    <row r="86" spans="1:20" s="14" customFormat="1">
      <c r="A86" s="26" t="s">
        <v>138</v>
      </c>
      <c r="B86" s="26" t="s">
        <v>182</v>
      </c>
      <c r="C86" s="26" t="s">
        <v>506</v>
      </c>
      <c r="D86" s="25">
        <v>42442</v>
      </c>
      <c r="E86" s="1">
        <f t="shared" si="3"/>
        <v>2016</v>
      </c>
      <c r="F86" s="1">
        <f t="shared" si="4"/>
        <v>3</v>
      </c>
      <c r="G86" s="4">
        <f t="shared" si="5"/>
        <v>13</v>
      </c>
      <c r="H86" s="8">
        <v>0.875</v>
      </c>
      <c r="I86" s="22">
        <v>129.24870000000001</v>
      </c>
      <c r="J86" s="22">
        <v>31.750183333333332</v>
      </c>
      <c r="K86" s="27">
        <v>149.58199999999999</v>
      </c>
      <c r="L86" s="27">
        <v>150</v>
      </c>
      <c r="M86" s="27">
        <v>0</v>
      </c>
      <c r="N86" s="21">
        <v>16.678899999999999</v>
      </c>
      <c r="O86" s="24">
        <v>34.692500000000003</v>
      </c>
      <c r="P86" s="31">
        <v>0.26201425764705899</v>
      </c>
      <c r="Q86" s="31">
        <v>1.5609897564705886</v>
      </c>
      <c r="R86" s="26" t="s">
        <v>280</v>
      </c>
      <c r="S86" s="26">
        <v>1</v>
      </c>
      <c r="T86" s="71" t="s">
        <v>626</v>
      </c>
    </row>
    <row r="87" spans="1:20" s="14" customFormat="1">
      <c r="A87" s="26" t="s">
        <v>138</v>
      </c>
      <c r="B87" s="26" t="s">
        <v>182</v>
      </c>
      <c r="C87" s="26" t="s">
        <v>506</v>
      </c>
      <c r="D87" s="25">
        <v>42442</v>
      </c>
      <c r="E87" s="1">
        <f t="shared" si="3"/>
        <v>2016</v>
      </c>
      <c r="F87" s="1">
        <f t="shared" si="4"/>
        <v>3</v>
      </c>
      <c r="G87" s="4">
        <f t="shared" si="5"/>
        <v>13</v>
      </c>
      <c r="H87" s="8">
        <v>0.875</v>
      </c>
      <c r="I87" s="22">
        <v>129.24870000000001</v>
      </c>
      <c r="J87" s="22">
        <v>31.750183333333332</v>
      </c>
      <c r="K87" s="27">
        <v>199.298</v>
      </c>
      <c r="L87" s="27">
        <v>200</v>
      </c>
      <c r="M87" s="27">
        <v>0</v>
      </c>
      <c r="N87" s="21">
        <v>14.639099999999999</v>
      </c>
      <c r="O87" s="24">
        <v>34.566899999999997</v>
      </c>
      <c r="P87" s="31">
        <v>0.143763465882353</v>
      </c>
      <c r="Q87" s="31">
        <v>0.88555095882353108</v>
      </c>
      <c r="R87" s="26" t="s">
        <v>280</v>
      </c>
      <c r="S87" s="26">
        <v>1</v>
      </c>
      <c r="T87" s="71" t="s">
        <v>626</v>
      </c>
    </row>
    <row r="88" spans="1:20" s="14" customFormat="1">
      <c r="A88" s="26" t="s">
        <v>138</v>
      </c>
      <c r="B88" s="26" t="s">
        <v>182</v>
      </c>
      <c r="C88" s="26" t="s">
        <v>506</v>
      </c>
      <c r="D88" s="25">
        <v>42442</v>
      </c>
      <c r="E88" s="1">
        <f t="shared" si="3"/>
        <v>2016</v>
      </c>
      <c r="F88" s="1">
        <f t="shared" si="4"/>
        <v>3</v>
      </c>
      <c r="G88" s="4">
        <f t="shared" si="5"/>
        <v>13</v>
      </c>
      <c r="H88" s="8">
        <v>0.875</v>
      </c>
      <c r="I88" s="22">
        <v>129.24870000000001</v>
      </c>
      <c r="J88" s="22">
        <v>31.750183333333332</v>
      </c>
      <c r="K88" s="27">
        <v>298.29199999999997</v>
      </c>
      <c r="L88" s="27">
        <v>300</v>
      </c>
      <c r="M88" s="27">
        <v>0</v>
      </c>
      <c r="N88" s="21">
        <v>11.428699999999999</v>
      </c>
      <c r="O88" s="24">
        <v>34.396000000000001</v>
      </c>
      <c r="P88" s="31">
        <v>-3.1716270588235673E-3</v>
      </c>
      <c r="Q88" s="31">
        <v>-0.11355145058823624</v>
      </c>
      <c r="R88" s="26" t="s">
        <v>280</v>
      </c>
      <c r="S88" s="26">
        <v>1</v>
      </c>
      <c r="T88" s="71" t="s">
        <v>626</v>
      </c>
    </row>
    <row r="89" spans="1:20" s="14" customFormat="1">
      <c r="A89" s="26" t="s">
        <v>138</v>
      </c>
      <c r="B89" s="26" t="s">
        <v>182</v>
      </c>
      <c r="C89" s="26" t="s">
        <v>506</v>
      </c>
      <c r="D89" s="25">
        <v>42442</v>
      </c>
      <c r="E89" s="1">
        <f t="shared" si="3"/>
        <v>2016</v>
      </c>
      <c r="F89" s="1">
        <f t="shared" si="4"/>
        <v>3</v>
      </c>
      <c r="G89" s="4">
        <f t="shared" si="5"/>
        <v>13</v>
      </c>
      <c r="H89" s="8">
        <v>0.875</v>
      </c>
      <c r="I89" s="22">
        <v>129.24870000000001</v>
      </c>
      <c r="J89" s="22">
        <v>31.750183333333332</v>
      </c>
      <c r="K89" s="27">
        <v>496.70800000000003</v>
      </c>
      <c r="L89" s="27">
        <v>500</v>
      </c>
      <c r="M89" s="27">
        <v>0</v>
      </c>
      <c r="N89" s="21">
        <v>7.6375999999999999</v>
      </c>
      <c r="O89" s="24">
        <v>34.337400000000002</v>
      </c>
      <c r="P89" s="31">
        <v>-0.1003648800000001</v>
      </c>
      <c r="Q89" s="31">
        <v>-1.0405185000000001</v>
      </c>
      <c r="R89" s="26" t="s">
        <v>280</v>
      </c>
      <c r="S89" s="26">
        <v>1</v>
      </c>
      <c r="T89" s="71" t="s">
        <v>626</v>
      </c>
    </row>
    <row r="90" spans="1:20" s="14" customFormat="1">
      <c r="A90" s="26" t="s">
        <v>140</v>
      </c>
      <c r="B90" s="26">
        <v>6</v>
      </c>
      <c r="C90" s="26" t="s">
        <v>506</v>
      </c>
      <c r="D90" s="25">
        <v>42564</v>
      </c>
      <c r="E90" s="1">
        <f t="shared" si="3"/>
        <v>2016</v>
      </c>
      <c r="F90" s="1">
        <f t="shared" si="4"/>
        <v>7</v>
      </c>
      <c r="G90" s="4">
        <f t="shared" si="5"/>
        <v>13</v>
      </c>
      <c r="H90" s="8">
        <v>0.70486111111111116</v>
      </c>
      <c r="I90" s="22">
        <v>125.9992</v>
      </c>
      <c r="J90" s="22">
        <v>30.4998</v>
      </c>
      <c r="K90" s="27">
        <v>0</v>
      </c>
      <c r="L90" s="27">
        <v>0</v>
      </c>
      <c r="M90" s="27">
        <v>0</v>
      </c>
      <c r="N90" s="21">
        <v>27.3</v>
      </c>
      <c r="O90" s="24">
        <v>27.212777829968982</v>
      </c>
      <c r="P90" s="31">
        <v>-1.3742382023529411</v>
      </c>
      <c r="Q90" s="31">
        <v>-8.480741440000001</v>
      </c>
      <c r="R90" s="26" t="s">
        <v>280</v>
      </c>
      <c r="S90" s="26"/>
      <c r="T90" s="71" t="s">
        <v>626</v>
      </c>
    </row>
    <row r="91" spans="1:20" s="14" customFormat="1">
      <c r="A91" s="26" t="s">
        <v>140</v>
      </c>
      <c r="B91" s="26">
        <v>7</v>
      </c>
      <c r="C91" s="26" t="s">
        <v>506</v>
      </c>
      <c r="D91" s="25">
        <v>42564</v>
      </c>
      <c r="E91" s="1">
        <f t="shared" si="3"/>
        <v>2016</v>
      </c>
      <c r="F91" s="1">
        <f t="shared" si="4"/>
        <v>7</v>
      </c>
      <c r="G91" s="4">
        <f t="shared" si="5"/>
        <v>13</v>
      </c>
      <c r="H91" s="8">
        <v>0.88680555555555562</v>
      </c>
      <c r="I91" s="22">
        <v>125.48261666666667</v>
      </c>
      <c r="J91" s="22">
        <v>30.499866666666666</v>
      </c>
      <c r="K91" s="27">
        <v>0</v>
      </c>
      <c r="L91" s="27">
        <v>0</v>
      </c>
      <c r="M91" s="27">
        <v>0</v>
      </c>
      <c r="N91" s="21">
        <v>26.9</v>
      </c>
      <c r="O91" s="24">
        <v>27.486140279170662</v>
      </c>
      <c r="P91" s="31">
        <v>-1.2731362188235296</v>
      </c>
      <c r="Q91" s="31">
        <v>-8.0433570400000001</v>
      </c>
      <c r="R91" s="26" t="s">
        <v>280</v>
      </c>
      <c r="S91" s="26"/>
      <c r="T91" s="71" t="s">
        <v>626</v>
      </c>
    </row>
    <row r="92" spans="1:20" s="14" customFormat="1">
      <c r="A92" s="26" t="s">
        <v>140</v>
      </c>
      <c r="B92" s="26">
        <v>8</v>
      </c>
      <c r="C92" s="26" t="s">
        <v>506</v>
      </c>
      <c r="D92" s="25">
        <v>42565</v>
      </c>
      <c r="E92" s="1">
        <f t="shared" si="3"/>
        <v>2016</v>
      </c>
      <c r="F92" s="1">
        <f t="shared" si="4"/>
        <v>7</v>
      </c>
      <c r="G92" s="4">
        <f t="shared" si="5"/>
        <v>14</v>
      </c>
      <c r="H92" s="8">
        <v>2.0833333333333332E-2</v>
      </c>
      <c r="I92" s="22">
        <v>124.99413333333334</v>
      </c>
      <c r="J92" s="22">
        <v>30.501316666666668</v>
      </c>
      <c r="K92" s="27">
        <v>0</v>
      </c>
      <c r="L92" s="27">
        <v>0</v>
      </c>
      <c r="M92" s="27">
        <v>0</v>
      </c>
      <c r="N92" s="21">
        <v>27.5</v>
      </c>
      <c r="O92" s="24">
        <v>28.200737819654208</v>
      </c>
      <c r="P92" s="31">
        <v>-1.1888704752941179</v>
      </c>
      <c r="Q92" s="31">
        <v>-7.3669873800000003</v>
      </c>
      <c r="R92" s="26" t="s">
        <v>280</v>
      </c>
      <c r="S92" s="26"/>
      <c r="T92" s="71" t="s">
        <v>626</v>
      </c>
    </row>
    <row r="93" spans="1:20" s="14" customFormat="1">
      <c r="A93" s="26" t="s">
        <v>140</v>
      </c>
      <c r="B93" s="26">
        <v>9</v>
      </c>
      <c r="C93" s="26" t="s">
        <v>506</v>
      </c>
      <c r="D93" s="25">
        <v>42565</v>
      </c>
      <c r="E93" s="1">
        <f t="shared" si="3"/>
        <v>2016</v>
      </c>
      <c r="F93" s="1">
        <f t="shared" si="4"/>
        <v>7</v>
      </c>
      <c r="G93" s="4">
        <f t="shared" si="5"/>
        <v>14</v>
      </c>
      <c r="H93" s="8">
        <v>0.15625</v>
      </c>
      <c r="I93" s="22">
        <v>124.50075</v>
      </c>
      <c r="J93" s="22">
        <v>30.503366666666668</v>
      </c>
      <c r="K93" s="27">
        <v>0</v>
      </c>
      <c r="L93" s="27">
        <v>0</v>
      </c>
      <c r="M93" s="27">
        <v>0</v>
      </c>
      <c r="N93" s="21">
        <v>26.6</v>
      </c>
      <c r="O93" s="24">
        <v>28.134508132158373</v>
      </c>
      <c r="P93" s="31">
        <v>-1.1735922517647062</v>
      </c>
      <c r="Q93" s="31">
        <v>-7.3920089200000003</v>
      </c>
      <c r="R93" s="26" t="s">
        <v>280</v>
      </c>
      <c r="S93" s="26"/>
      <c r="T93" s="71" t="s">
        <v>626</v>
      </c>
    </row>
    <row r="94" spans="1:20" s="14" customFormat="1">
      <c r="A94" s="26" t="s">
        <v>140</v>
      </c>
      <c r="B94" s="26">
        <v>10</v>
      </c>
      <c r="C94" s="26" t="s">
        <v>506</v>
      </c>
      <c r="D94" s="25">
        <v>42565</v>
      </c>
      <c r="E94" s="1">
        <f t="shared" si="3"/>
        <v>2016</v>
      </c>
      <c r="F94" s="1">
        <f t="shared" si="4"/>
        <v>7</v>
      </c>
      <c r="G94" s="4">
        <f t="shared" si="5"/>
        <v>14</v>
      </c>
      <c r="H94" s="8">
        <v>0.24583333333333335</v>
      </c>
      <c r="I94" s="22">
        <v>124.25036666666666</v>
      </c>
      <c r="J94" s="22">
        <v>30.500900000000001</v>
      </c>
      <c r="K94" s="27">
        <v>0</v>
      </c>
      <c r="L94" s="27">
        <v>0</v>
      </c>
      <c r="M94" s="27">
        <v>0</v>
      </c>
      <c r="N94" s="21">
        <v>27.8</v>
      </c>
      <c r="O94" s="24">
        <v>28.973911781780295</v>
      </c>
      <c r="P94" s="31">
        <v>-1.0026814682352942</v>
      </c>
      <c r="Q94" s="31">
        <v>-6.4116374</v>
      </c>
      <c r="R94" s="26" t="s">
        <v>280</v>
      </c>
      <c r="S94" s="26"/>
      <c r="T94" s="71" t="s">
        <v>626</v>
      </c>
    </row>
    <row r="95" spans="1:20" s="14" customFormat="1">
      <c r="A95" s="26" t="s">
        <v>140</v>
      </c>
      <c r="B95" s="26">
        <v>11</v>
      </c>
      <c r="C95" s="26" t="s">
        <v>506</v>
      </c>
      <c r="D95" s="25">
        <v>42565</v>
      </c>
      <c r="E95" s="1">
        <f t="shared" si="3"/>
        <v>2016</v>
      </c>
      <c r="F95" s="1">
        <f t="shared" si="4"/>
        <v>7</v>
      </c>
      <c r="G95" s="4">
        <f t="shared" si="5"/>
        <v>14</v>
      </c>
      <c r="H95" s="8">
        <v>0.42986111111111108</v>
      </c>
      <c r="I95" s="22">
        <v>124.00148333333334</v>
      </c>
      <c r="J95" s="22">
        <v>29.999583333333334</v>
      </c>
      <c r="K95" s="27">
        <v>0</v>
      </c>
      <c r="L95" s="27">
        <v>0</v>
      </c>
      <c r="M95" s="27">
        <v>0</v>
      </c>
      <c r="N95" s="21">
        <v>28</v>
      </c>
      <c r="O95" s="24">
        <v>31.010774446772974</v>
      </c>
      <c r="P95" s="31">
        <v>-0.51003424470588232</v>
      </c>
      <c r="Q95" s="31">
        <v>-3.4858903999999997</v>
      </c>
      <c r="R95" s="26" t="s">
        <v>280</v>
      </c>
      <c r="S95" s="26"/>
      <c r="T95" s="71" t="s">
        <v>626</v>
      </c>
    </row>
    <row r="96" spans="1:20" s="14" customFormat="1">
      <c r="A96" s="26" t="s">
        <v>140</v>
      </c>
      <c r="B96" s="26">
        <v>12</v>
      </c>
      <c r="C96" s="26" t="s">
        <v>506</v>
      </c>
      <c r="D96" s="25">
        <v>42565</v>
      </c>
      <c r="E96" s="1">
        <f t="shared" si="3"/>
        <v>2016</v>
      </c>
      <c r="F96" s="1">
        <f t="shared" si="4"/>
        <v>7</v>
      </c>
      <c r="G96" s="4">
        <f t="shared" si="5"/>
        <v>14</v>
      </c>
      <c r="H96" s="8">
        <v>0.55833333333333335</v>
      </c>
      <c r="I96" s="22">
        <v>124.50381666666667</v>
      </c>
      <c r="J96" s="22">
        <v>29.99925</v>
      </c>
      <c r="K96" s="27">
        <v>0</v>
      </c>
      <c r="L96" s="27">
        <v>0</v>
      </c>
      <c r="M96" s="27">
        <v>0</v>
      </c>
      <c r="N96" s="21">
        <v>28</v>
      </c>
      <c r="O96" s="24">
        <v>31.556059074001951</v>
      </c>
      <c r="P96" s="31">
        <v>-0.42104614117647099</v>
      </c>
      <c r="Q96" s="31">
        <v>-2.7114047799999996</v>
      </c>
      <c r="R96" s="26" t="s">
        <v>280</v>
      </c>
      <c r="S96" s="26"/>
      <c r="T96" s="71" t="s">
        <v>626</v>
      </c>
    </row>
    <row r="97" spans="1:20" s="14" customFormat="1">
      <c r="A97" s="26" t="s">
        <v>140</v>
      </c>
      <c r="B97" s="26">
        <v>13</v>
      </c>
      <c r="C97" s="26" t="s">
        <v>506</v>
      </c>
      <c r="D97" s="25">
        <v>42565</v>
      </c>
      <c r="E97" s="1">
        <f t="shared" si="3"/>
        <v>2016</v>
      </c>
      <c r="F97" s="1">
        <f t="shared" si="4"/>
        <v>7</v>
      </c>
      <c r="G97" s="4">
        <f t="shared" si="5"/>
        <v>14</v>
      </c>
      <c r="H97" s="8">
        <v>0.76041666666666663</v>
      </c>
      <c r="I97" s="22">
        <v>124.99903333333333</v>
      </c>
      <c r="J97" s="22">
        <v>29.999416666666665</v>
      </c>
      <c r="K97" s="27">
        <v>0</v>
      </c>
      <c r="L97" s="27">
        <v>0</v>
      </c>
      <c r="M97" s="27">
        <v>0</v>
      </c>
      <c r="N97" s="21">
        <v>27.8</v>
      </c>
      <c r="O97" s="24">
        <v>28.454058189517415</v>
      </c>
      <c r="P97" s="31">
        <v>-1.1130470070588236</v>
      </c>
      <c r="Q97" s="31">
        <v>-7.0046676000000003</v>
      </c>
      <c r="R97" s="26" t="s">
        <v>280</v>
      </c>
      <c r="S97" s="26"/>
      <c r="T97" s="71" t="s">
        <v>626</v>
      </c>
    </row>
    <row r="98" spans="1:20" s="14" customFormat="1">
      <c r="A98" s="26" t="s">
        <v>140</v>
      </c>
      <c r="B98" s="26">
        <v>14</v>
      </c>
      <c r="C98" s="26" t="s">
        <v>506</v>
      </c>
      <c r="D98" s="25">
        <v>42565</v>
      </c>
      <c r="E98" s="1">
        <f t="shared" si="3"/>
        <v>2016</v>
      </c>
      <c r="F98" s="1">
        <f t="shared" si="4"/>
        <v>7</v>
      </c>
      <c r="G98" s="4">
        <f t="shared" si="5"/>
        <v>14</v>
      </c>
      <c r="H98" s="8">
        <v>0.88055555555555554</v>
      </c>
      <c r="I98" s="22">
        <v>125.5013</v>
      </c>
      <c r="J98" s="22">
        <v>29.997916666666665</v>
      </c>
      <c r="K98" s="27">
        <v>0</v>
      </c>
      <c r="L98" s="27">
        <v>0</v>
      </c>
      <c r="M98" s="27">
        <v>0</v>
      </c>
      <c r="N98" s="21">
        <v>27.6</v>
      </c>
      <c r="O98" s="24">
        <v>28.138640574554834</v>
      </c>
      <c r="P98" s="31">
        <v>-1.2412190235294118</v>
      </c>
      <c r="Q98" s="31">
        <v>-7.5540250333333336</v>
      </c>
      <c r="R98" s="26" t="s">
        <v>280</v>
      </c>
      <c r="S98" s="26"/>
      <c r="T98" s="71" t="s">
        <v>626</v>
      </c>
    </row>
    <row r="99" spans="1:20" s="14" customFormat="1">
      <c r="A99" s="26" t="s">
        <v>140</v>
      </c>
      <c r="B99" s="26">
        <v>15</v>
      </c>
      <c r="C99" s="26" t="s">
        <v>506</v>
      </c>
      <c r="D99" s="25">
        <v>42565</v>
      </c>
      <c r="E99" s="1">
        <f t="shared" si="3"/>
        <v>2016</v>
      </c>
      <c r="F99" s="1">
        <f t="shared" si="4"/>
        <v>7</v>
      </c>
      <c r="G99" s="4">
        <f t="shared" si="5"/>
        <v>14</v>
      </c>
      <c r="H99" s="8">
        <v>0.99652777777777779</v>
      </c>
      <c r="I99" s="22">
        <v>126.00038333333333</v>
      </c>
      <c r="J99" s="22">
        <v>29.998566666666665</v>
      </c>
      <c r="K99" s="27">
        <v>0</v>
      </c>
      <c r="L99" s="27">
        <v>0</v>
      </c>
      <c r="M99" s="27">
        <v>0</v>
      </c>
      <c r="N99" s="21">
        <v>27.4</v>
      </c>
      <c r="O99" s="24">
        <v>27.984484361262965</v>
      </c>
      <c r="P99" s="31">
        <v>-1.2340167200000001</v>
      </c>
      <c r="Q99" s="31">
        <v>-7.6116862200000011</v>
      </c>
      <c r="R99" s="26" t="s">
        <v>280</v>
      </c>
      <c r="S99" s="26"/>
      <c r="T99" s="71" t="s">
        <v>626</v>
      </c>
    </row>
    <row r="100" spans="1:20" s="14" customFormat="1">
      <c r="A100" s="26" t="s">
        <v>140</v>
      </c>
      <c r="B100" s="26">
        <v>16</v>
      </c>
      <c r="C100" s="26" t="s">
        <v>506</v>
      </c>
      <c r="D100" s="25">
        <v>42566</v>
      </c>
      <c r="E100" s="1">
        <f t="shared" si="3"/>
        <v>2016</v>
      </c>
      <c r="F100" s="1">
        <f t="shared" si="4"/>
        <v>7</v>
      </c>
      <c r="G100" s="4">
        <f t="shared" si="5"/>
        <v>15</v>
      </c>
      <c r="H100" s="8">
        <v>0.11944444444444445</v>
      </c>
      <c r="I100" s="22">
        <v>126.50064999999999</v>
      </c>
      <c r="J100" s="22">
        <v>30.000416666666666</v>
      </c>
      <c r="K100" s="27">
        <v>0</v>
      </c>
      <c r="L100" s="27">
        <v>0</v>
      </c>
      <c r="M100" s="27">
        <v>0</v>
      </c>
      <c r="N100" s="21">
        <v>27.6</v>
      </c>
      <c r="O100" s="24">
        <v>28.32106374814602</v>
      </c>
      <c r="P100" s="31">
        <v>-1.1349679364705882</v>
      </c>
      <c r="Q100" s="31">
        <v>-7.0813083800000003</v>
      </c>
      <c r="R100" s="26" t="s">
        <v>280</v>
      </c>
      <c r="S100" s="26"/>
      <c r="T100" s="71" t="s">
        <v>626</v>
      </c>
    </row>
    <row r="101" spans="1:20" s="14" customFormat="1">
      <c r="A101" s="26" t="s">
        <v>140</v>
      </c>
      <c r="B101" s="26">
        <v>17</v>
      </c>
      <c r="C101" s="26" t="s">
        <v>506</v>
      </c>
      <c r="D101" s="25">
        <v>42566</v>
      </c>
      <c r="E101" s="1">
        <f t="shared" si="3"/>
        <v>2016</v>
      </c>
      <c r="F101" s="1">
        <f t="shared" si="4"/>
        <v>7</v>
      </c>
      <c r="G101" s="4">
        <f t="shared" si="5"/>
        <v>15</v>
      </c>
      <c r="H101" s="8">
        <v>0.24722222222222223</v>
      </c>
      <c r="I101" s="22">
        <v>127.00105000000001</v>
      </c>
      <c r="J101" s="22">
        <v>30.001733333333334</v>
      </c>
      <c r="K101" s="27">
        <v>0</v>
      </c>
      <c r="L101" s="27">
        <v>0</v>
      </c>
      <c r="M101" s="27">
        <v>0</v>
      </c>
      <c r="N101" s="21">
        <v>27.8</v>
      </c>
      <c r="O101" s="24">
        <v>28.61338130286077</v>
      </c>
      <c r="P101" s="31">
        <v>-1.0697969529411766</v>
      </c>
      <c r="Q101" s="31">
        <v>-6.7337651000000012</v>
      </c>
      <c r="R101" s="26" t="s">
        <v>280</v>
      </c>
      <c r="S101" s="26"/>
      <c r="T101" s="71" t="s">
        <v>626</v>
      </c>
    </row>
    <row r="102" spans="1:20" s="14" customFormat="1">
      <c r="A102" s="26" t="s">
        <v>140</v>
      </c>
      <c r="B102" s="26">
        <v>18</v>
      </c>
      <c r="C102" s="26" t="s">
        <v>506</v>
      </c>
      <c r="D102" s="25">
        <v>42566</v>
      </c>
      <c r="E102" s="1">
        <f t="shared" si="3"/>
        <v>2016</v>
      </c>
      <c r="F102" s="1">
        <f t="shared" si="4"/>
        <v>7</v>
      </c>
      <c r="G102" s="4">
        <f t="shared" si="5"/>
        <v>15</v>
      </c>
      <c r="H102" s="8">
        <v>0.35833333333333334</v>
      </c>
      <c r="I102" s="22">
        <v>127.50333333333333</v>
      </c>
      <c r="J102" s="22">
        <v>29.997866666666667</v>
      </c>
      <c r="K102" s="27">
        <v>0</v>
      </c>
      <c r="L102" s="27">
        <v>0</v>
      </c>
      <c r="M102" s="27">
        <v>0</v>
      </c>
      <c r="N102" s="21">
        <v>28.1</v>
      </c>
      <c r="O102" s="24">
        <v>29.817553669613659</v>
      </c>
      <c r="P102" s="31">
        <v>-0.7861654894117649</v>
      </c>
      <c r="Q102" s="31">
        <v>-5.046288800000001</v>
      </c>
      <c r="R102" s="26" t="s">
        <v>280</v>
      </c>
      <c r="S102" s="26"/>
      <c r="T102" s="71" t="s">
        <v>626</v>
      </c>
    </row>
    <row r="103" spans="1:20" s="14" customFormat="1">
      <c r="A103" s="26" t="s">
        <v>140</v>
      </c>
      <c r="B103" s="26">
        <v>19</v>
      </c>
      <c r="C103" s="26" t="s">
        <v>506</v>
      </c>
      <c r="D103" s="25">
        <v>42566</v>
      </c>
      <c r="E103" s="1">
        <f t="shared" si="3"/>
        <v>2016</v>
      </c>
      <c r="F103" s="1">
        <f t="shared" si="4"/>
        <v>7</v>
      </c>
      <c r="G103" s="4">
        <f t="shared" si="5"/>
        <v>15</v>
      </c>
      <c r="H103" s="8">
        <v>0.51041666666666663</v>
      </c>
      <c r="I103" s="22">
        <v>127.5012</v>
      </c>
      <c r="J103" s="22">
        <v>30.500033333333334</v>
      </c>
      <c r="K103" s="27">
        <v>0</v>
      </c>
      <c r="L103" s="27">
        <v>0</v>
      </c>
      <c r="M103" s="27">
        <v>0</v>
      </c>
      <c r="N103" s="21">
        <v>28.1</v>
      </c>
      <c r="O103" s="24">
        <v>30.141682984413727</v>
      </c>
      <c r="P103" s="31">
        <v>-0.79121394588235305</v>
      </c>
      <c r="Q103" s="31">
        <v>-4.7541081400000014</v>
      </c>
      <c r="R103" s="26" t="s">
        <v>280</v>
      </c>
      <c r="S103" s="26"/>
      <c r="T103" s="71" t="s">
        <v>626</v>
      </c>
    </row>
    <row r="104" spans="1:20" s="14" customFormat="1">
      <c r="A104" s="26" t="s">
        <v>140</v>
      </c>
      <c r="B104" s="26">
        <v>20</v>
      </c>
      <c r="C104" s="26" t="s">
        <v>506</v>
      </c>
      <c r="D104" s="25">
        <v>42566</v>
      </c>
      <c r="E104" s="1">
        <f t="shared" si="3"/>
        <v>2016</v>
      </c>
      <c r="F104" s="1">
        <f t="shared" si="4"/>
        <v>7</v>
      </c>
      <c r="G104" s="4">
        <f t="shared" si="5"/>
        <v>15</v>
      </c>
      <c r="H104" s="8">
        <v>0.8041666666666667</v>
      </c>
      <c r="I104" s="22">
        <v>126.99903333333333</v>
      </c>
      <c r="J104" s="22">
        <v>30.501566666666665</v>
      </c>
      <c r="K104" s="27">
        <v>0</v>
      </c>
      <c r="L104" s="27">
        <v>0</v>
      </c>
      <c r="M104" s="27">
        <v>0</v>
      </c>
      <c r="N104" s="21">
        <v>27.7</v>
      </c>
      <c r="O104" s="24">
        <v>29.008772335604554</v>
      </c>
      <c r="P104" s="31">
        <v>-1.0251942023529412</v>
      </c>
      <c r="Q104" s="31">
        <v>-6.3501671600000007</v>
      </c>
      <c r="R104" s="26" t="s">
        <v>280</v>
      </c>
      <c r="S104" s="26"/>
      <c r="T104" s="71" t="s">
        <v>626</v>
      </c>
    </row>
    <row r="105" spans="1:20" s="14" customFormat="1">
      <c r="A105" s="26" t="s">
        <v>140</v>
      </c>
      <c r="B105" s="26">
        <v>21</v>
      </c>
      <c r="C105" s="26" t="s">
        <v>506</v>
      </c>
      <c r="D105" s="25">
        <v>42566</v>
      </c>
      <c r="E105" s="1">
        <f t="shared" si="3"/>
        <v>2016</v>
      </c>
      <c r="F105" s="1">
        <f t="shared" si="4"/>
        <v>7</v>
      </c>
      <c r="G105" s="4">
        <f t="shared" si="5"/>
        <v>15</v>
      </c>
      <c r="H105" s="8">
        <v>0.92638888888888893</v>
      </c>
      <c r="I105" s="22">
        <v>126.50128333333333</v>
      </c>
      <c r="J105" s="22">
        <v>30.5002</v>
      </c>
      <c r="K105" s="27">
        <v>0</v>
      </c>
      <c r="L105" s="27">
        <v>0</v>
      </c>
      <c r="M105" s="27">
        <v>0</v>
      </c>
      <c r="N105" s="21">
        <v>28</v>
      </c>
      <c r="O105" s="24">
        <v>28.261320071299053</v>
      </c>
      <c r="P105" s="31">
        <v>-1.199414588235294</v>
      </c>
      <c r="Q105" s="31">
        <v>-7.47382496</v>
      </c>
      <c r="R105" s="26" t="s">
        <v>280</v>
      </c>
      <c r="S105" s="26"/>
      <c r="T105" s="71" t="s">
        <v>626</v>
      </c>
    </row>
    <row r="106" spans="1:20" s="14" customFormat="1">
      <c r="A106" s="26" t="s">
        <v>140</v>
      </c>
      <c r="B106" s="26">
        <v>22</v>
      </c>
      <c r="C106" s="26" t="s">
        <v>506</v>
      </c>
      <c r="D106" s="25">
        <v>42567</v>
      </c>
      <c r="E106" s="1">
        <f t="shared" si="3"/>
        <v>2016</v>
      </c>
      <c r="F106" s="1">
        <f t="shared" si="4"/>
        <v>7</v>
      </c>
      <c r="G106" s="4">
        <f t="shared" si="5"/>
        <v>16</v>
      </c>
      <c r="H106" s="8">
        <v>5.2777777777777778E-2</v>
      </c>
      <c r="I106" s="22">
        <v>126.50151666666666</v>
      </c>
      <c r="J106" s="22">
        <v>31.000150000000001</v>
      </c>
      <c r="K106" s="27">
        <v>0</v>
      </c>
      <c r="L106" s="27">
        <v>0</v>
      </c>
      <c r="M106" s="27">
        <v>0</v>
      </c>
      <c r="N106" s="21">
        <v>27.8</v>
      </c>
      <c r="O106" s="24">
        <v>27.974238557386872</v>
      </c>
      <c r="P106" s="31">
        <v>-1.2860867058823531</v>
      </c>
      <c r="Q106" s="31">
        <v>-8.1408697599999993</v>
      </c>
      <c r="R106" s="26" t="s">
        <v>280</v>
      </c>
      <c r="S106" s="26"/>
      <c r="T106" s="71" t="s">
        <v>626</v>
      </c>
    </row>
    <row r="107" spans="1:20" s="14" customFormat="1">
      <c r="A107" s="26" t="s">
        <v>140</v>
      </c>
      <c r="B107" s="26">
        <v>23</v>
      </c>
      <c r="C107" s="26" t="s">
        <v>506</v>
      </c>
      <c r="D107" s="25">
        <v>42567</v>
      </c>
      <c r="E107" s="1">
        <f t="shared" si="3"/>
        <v>2016</v>
      </c>
      <c r="F107" s="1">
        <f t="shared" si="4"/>
        <v>7</v>
      </c>
      <c r="G107" s="4">
        <f t="shared" si="5"/>
        <v>16</v>
      </c>
      <c r="H107" s="8">
        <v>0.16180555555555556</v>
      </c>
      <c r="I107" s="22">
        <v>126.93825</v>
      </c>
      <c r="J107" s="22">
        <v>31.001283333333333</v>
      </c>
      <c r="K107" s="27">
        <v>0</v>
      </c>
      <c r="L107" s="27">
        <v>0</v>
      </c>
      <c r="M107" s="27">
        <v>0</v>
      </c>
      <c r="N107" s="21">
        <v>27.8</v>
      </c>
      <c r="O107" s="24">
        <v>29.149035761436792</v>
      </c>
      <c r="P107" s="31">
        <v>-1.0080248235294118</v>
      </c>
      <c r="Q107" s="31">
        <v>-6.6189891199999993</v>
      </c>
      <c r="R107" s="26" t="s">
        <v>280</v>
      </c>
      <c r="S107" s="26"/>
      <c r="T107" s="71" t="s">
        <v>626</v>
      </c>
    </row>
    <row r="108" spans="1:20" s="14" customFormat="1">
      <c r="A108" s="26" t="s">
        <v>140</v>
      </c>
      <c r="B108" s="26">
        <v>24</v>
      </c>
      <c r="C108" s="26" t="s">
        <v>506</v>
      </c>
      <c r="D108" s="25">
        <v>42567</v>
      </c>
      <c r="E108" s="1">
        <f t="shared" si="3"/>
        <v>2016</v>
      </c>
      <c r="F108" s="1">
        <f t="shared" si="4"/>
        <v>7</v>
      </c>
      <c r="G108" s="4">
        <f t="shared" si="5"/>
        <v>16</v>
      </c>
      <c r="H108" s="8">
        <v>0.2951388888888889</v>
      </c>
      <c r="I108" s="22">
        <v>127.50265</v>
      </c>
      <c r="J108" s="22">
        <v>31.000033333333334</v>
      </c>
      <c r="K108" s="27">
        <v>0</v>
      </c>
      <c r="L108" s="27">
        <v>0</v>
      </c>
      <c r="M108" s="27">
        <v>0</v>
      </c>
      <c r="N108" s="21">
        <v>27.9</v>
      </c>
      <c r="O108" s="24">
        <v>30.27346915980824</v>
      </c>
      <c r="P108" s="31">
        <v>-0.77260494117647083</v>
      </c>
      <c r="Q108" s="31">
        <v>-4.8669774400000003</v>
      </c>
      <c r="R108" s="26" t="s">
        <v>280</v>
      </c>
      <c r="S108" s="26"/>
      <c r="T108" s="71" t="s">
        <v>626</v>
      </c>
    </row>
    <row r="109" spans="1:20" s="14" customFormat="1">
      <c r="A109" s="26" t="s">
        <v>140</v>
      </c>
      <c r="B109" s="26">
        <v>25</v>
      </c>
      <c r="C109" s="26" t="s">
        <v>506</v>
      </c>
      <c r="D109" s="25">
        <v>42568</v>
      </c>
      <c r="E109" s="1">
        <f t="shared" si="3"/>
        <v>2016</v>
      </c>
      <c r="F109" s="1">
        <f t="shared" si="4"/>
        <v>7</v>
      </c>
      <c r="G109" s="4">
        <f t="shared" si="5"/>
        <v>17</v>
      </c>
      <c r="H109" s="8">
        <v>4.1666666666666666E-3</v>
      </c>
      <c r="I109" s="22">
        <v>126.75106666666667</v>
      </c>
      <c r="J109" s="22">
        <v>31.751433333333335</v>
      </c>
      <c r="K109" s="27">
        <v>0</v>
      </c>
      <c r="L109" s="27">
        <v>0</v>
      </c>
      <c r="M109" s="27">
        <v>0</v>
      </c>
      <c r="N109" s="21">
        <v>27.3</v>
      </c>
      <c r="O109" s="24">
        <v>28.736720196007902</v>
      </c>
      <c r="P109" s="31">
        <v>-1.1596340588235294</v>
      </c>
      <c r="Q109" s="31">
        <v>-7.5589371199999995</v>
      </c>
      <c r="R109" s="26" t="s">
        <v>280</v>
      </c>
      <c r="S109" s="26"/>
      <c r="T109" s="71" t="s">
        <v>626</v>
      </c>
    </row>
    <row r="110" spans="1:20" s="14" customFormat="1">
      <c r="A110" s="26" t="s">
        <v>140</v>
      </c>
      <c r="B110" s="26" t="s">
        <v>213</v>
      </c>
      <c r="C110" s="26" t="s">
        <v>506</v>
      </c>
      <c r="D110" s="25">
        <v>42568</v>
      </c>
      <c r="E110" s="1">
        <f t="shared" si="3"/>
        <v>2016</v>
      </c>
      <c r="F110" s="1">
        <f t="shared" si="4"/>
        <v>7</v>
      </c>
      <c r="G110" s="4">
        <f t="shared" si="5"/>
        <v>17</v>
      </c>
      <c r="H110" s="8">
        <v>0.50069444444444444</v>
      </c>
      <c r="I110" s="22">
        <v>127.24850000000001</v>
      </c>
      <c r="J110" s="22">
        <v>31.750133333333334</v>
      </c>
      <c r="K110" s="27">
        <v>0</v>
      </c>
      <c r="L110" s="27">
        <v>0</v>
      </c>
      <c r="M110" s="27">
        <v>0</v>
      </c>
      <c r="N110" s="21">
        <v>27.5</v>
      </c>
      <c r="O110" s="24">
        <v>29.625048222731387</v>
      </c>
      <c r="P110" s="31">
        <v>-0.95422917647058814</v>
      </c>
      <c r="Q110" s="31">
        <v>-6.1224372799999989</v>
      </c>
      <c r="R110" s="26" t="s">
        <v>280</v>
      </c>
      <c r="S110" s="26">
        <v>1</v>
      </c>
      <c r="T110" s="71" t="s">
        <v>626</v>
      </c>
    </row>
    <row r="111" spans="1:20" s="14" customFormat="1">
      <c r="A111" s="26" t="s">
        <v>140</v>
      </c>
      <c r="B111" s="26" t="s">
        <v>213</v>
      </c>
      <c r="C111" s="26" t="s">
        <v>506</v>
      </c>
      <c r="D111" s="25">
        <v>42568</v>
      </c>
      <c r="E111" s="1">
        <f t="shared" si="3"/>
        <v>2016</v>
      </c>
      <c r="F111" s="1">
        <f t="shared" si="4"/>
        <v>7</v>
      </c>
      <c r="G111" s="4">
        <f t="shared" si="5"/>
        <v>17</v>
      </c>
      <c r="H111" s="8">
        <v>0.50069444444444444</v>
      </c>
      <c r="I111" s="22">
        <v>127.24850000000001</v>
      </c>
      <c r="J111" s="22">
        <v>31.750133333333334</v>
      </c>
      <c r="K111" s="27">
        <v>9</v>
      </c>
      <c r="L111" s="27">
        <v>10</v>
      </c>
      <c r="M111" s="27">
        <v>0</v>
      </c>
      <c r="N111" s="21">
        <v>27.64</v>
      </c>
      <c r="O111" s="24">
        <v>29.619499999999999</v>
      </c>
      <c r="P111" s="31">
        <v>-0.77262929411764691</v>
      </c>
      <c r="Q111" s="31">
        <v>-4.9557804799999987</v>
      </c>
      <c r="R111" s="26" t="s">
        <v>280</v>
      </c>
      <c r="S111" s="26">
        <v>1</v>
      </c>
      <c r="T111" s="71" t="s">
        <v>626</v>
      </c>
    </row>
    <row r="112" spans="1:20" s="14" customFormat="1">
      <c r="A112" s="26" t="s">
        <v>140</v>
      </c>
      <c r="B112" s="26" t="s">
        <v>213</v>
      </c>
      <c r="C112" s="26" t="s">
        <v>506</v>
      </c>
      <c r="D112" s="25">
        <v>42568</v>
      </c>
      <c r="E112" s="1">
        <f t="shared" si="3"/>
        <v>2016</v>
      </c>
      <c r="F112" s="1">
        <f t="shared" si="4"/>
        <v>7</v>
      </c>
      <c r="G112" s="4">
        <f t="shared" si="5"/>
        <v>17</v>
      </c>
      <c r="H112" s="8">
        <v>0.50069444444444444</v>
      </c>
      <c r="I112" s="22">
        <v>127.24850000000001</v>
      </c>
      <c r="J112" s="22">
        <v>31.750133333333334</v>
      </c>
      <c r="K112" s="27">
        <v>20</v>
      </c>
      <c r="L112" s="27">
        <v>20</v>
      </c>
      <c r="M112" s="27">
        <v>0</v>
      </c>
      <c r="N112" s="21">
        <v>24.606000000000002</v>
      </c>
      <c r="O112" s="24">
        <v>32.615400000000001</v>
      </c>
      <c r="P112" s="31">
        <v>-0.17539776470588264</v>
      </c>
      <c r="Q112" s="31">
        <v>-0.852468</v>
      </c>
      <c r="R112" s="26" t="s">
        <v>280</v>
      </c>
      <c r="S112" s="26">
        <v>1</v>
      </c>
      <c r="T112" s="71" t="s">
        <v>626</v>
      </c>
    </row>
    <row r="113" spans="1:20" s="14" customFormat="1">
      <c r="A113" s="26" t="s">
        <v>140</v>
      </c>
      <c r="B113" s="26" t="s">
        <v>213</v>
      </c>
      <c r="C113" s="26" t="s">
        <v>506</v>
      </c>
      <c r="D113" s="25">
        <v>42568</v>
      </c>
      <c r="E113" s="1">
        <f t="shared" si="3"/>
        <v>2016</v>
      </c>
      <c r="F113" s="1">
        <f t="shared" si="4"/>
        <v>7</v>
      </c>
      <c r="G113" s="4">
        <f t="shared" si="5"/>
        <v>17</v>
      </c>
      <c r="H113" s="8">
        <v>0.50069444444444444</v>
      </c>
      <c r="I113" s="22">
        <v>127.24850000000001</v>
      </c>
      <c r="J113" s="22">
        <v>31.750133333333334</v>
      </c>
      <c r="K113" s="27">
        <v>30</v>
      </c>
      <c r="L113" s="27">
        <v>30</v>
      </c>
      <c r="M113" s="27">
        <v>0</v>
      </c>
      <c r="N113" s="21">
        <v>20.616</v>
      </c>
      <c r="O113" s="24">
        <v>33.034300000000002</v>
      </c>
      <c r="P113" s="31">
        <v>-9.5710882352941562E-2</v>
      </c>
      <c r="Q113" s="31">
        <v>-0.45589306666666651</v>
      </c>
      <c r="R113" s="26" t="s">
        <v>280</v>
      </c>
      <c r="S113" s="26">
        <v>1</v>
      </c>
      <c r="T113" s="71" t="s">
        <v>626</v>
      </c>
    </row>
    <row r="114" spans="1:20" s="14" customFormat="1">
      <c r="A114" s="26" t="s">
        <v>140</v>
      </c>
      <c r="B114" s="26" t="s">
        <v>213</v>
      </c>
      <c r="C114" s="26" t="s">
        <v>506</v>
      </c>
      <c r="D114" s="25">
        <v>42568</v>
      </c>
      <c r="E114" s="1">
        <f t="shared" si="3"/>
        <v>2016</v>
      </c>
      <c r="F114" s="1">
        <f t="shared" si="4"/>
        <v>7</v>
      </c>
      <c r="G114" s="4">
        <f t="shared" si="5"/>
        <v>17</v>
      </c>
      <c r="H114" s="8">
        <v>0.50069444444444444</v>
      </c>
      <c r="I114" s="22">
        <v>127.24850000000001</v>
      </c>
      <c r="J114" s="22">
        <v>31.750133333333334</v>
      </c>
      <c r="K114" s="27">
        <v>34</v>
      </c>
      <c r="L114" s="27">
        <v>34</v>
      </c>
      <c r="M114" s="27">
        <v>0</v>
      </c>
      <c r="N114" s="21">
        <v>19.88</v>
      </c>
      <c r="O114" s="24">
        <v>33.325099999999999</v>
      </c>
      <c r="P114" s="31">
        <v>-4.7557000000000293E-2</v>
      </c>
      <c r="Q114" s="31">
        <v>-0.25178896000000073</v>
      </c>
      <c r="R114" s="26" t="s">
        <v>280</v>
      </c>
      <c r="S114" s="26">
        <v>1</v>
      </c>
      <c r="T114" s="71" t="s">
        <v>626</v>
      </c>
    </row>
    <row r="115" spans="1:20" s="14" customFormat="1">
      <c r="A115" s="26" t="s">
        <v>140</v>
      </c>
      <c r="B115" s="26" t="s">
        <v>213</v>
      </c>
      <c r="C115" s="26" t="s">
        <v>506</v>
      </c>
      <c r="D115" s="25">
        <v>42568</v>
      </c>
      <c r="E115" s="1">
        <f t="shared" si="3"/>
        <v>2016</v>
      </c>
      <c r="F115" s="1">
        <f t="shared" si="4"/>
        <v>7</v>
      </c>
      <c r="G115" s="4">
        <f t="shared" si="5"/>
        <v>17</v>
      </c>
      <c r="H115" s="8">
        <v>0.50069444444444444</v>
      </c>
      <c r="I115" s="22">
        <v>127.24850000000001</v>
      </c>
      <c r="J115" s="22">
        <v>31.750133333333334</v>
      </c>
      <c r="K115" s="27">
        <v>49</v>
      </c>
      <c r="L115" s="27">
        <v>50</v>
      </c>
      <c r="M115" s="27">
        <v>0</v>
      </c>
      <c r="N115" s="21">
        <v>18.831</v>
      </c>
      <c r="O115" s="24">
        <v>34.232100000000003</v>
      </c>
      <c r="P115" s="31">
        <v>0.18786288235294091</v>
      </c>
      <c r="Q115" s="31">
        <v>1.0937703999999986</v>
      </c>
      <c r="R115" s="26" t="s">
        <v>280</v>
      </c>
      <c r="S115" s="26">
        <v>1</v>
      </c>
      <c r="T115" s="71" t="s">
        <v>626</v>
      </c>
    </row>
    <row r="116" spans="1:20" s="14" customFormat="1">
      <c r="A116" s="26" t="s">
        <v>140</v>
      </c>
      <c r="B116" s="26" t="s">
        <v>213</v>
      </c>
      <c r="C116" s="26" t="s">
        <v>506</v>
      </c>
      <c r="D116" s="25">
        <v>42568</v>
      </c>
      <c r="E116" s="1">
        <f t="shared" si="3"/>
        <v>2016</v>
      </c>
      <c r="F116" s="1">
        <f t="shared" si="4"/>
        <v>7</v>
      </c>
      <c r="G116" s="4">
        <f t="shared" si="5"/>
        <v>17</v>
      </c>
      <c r="H116" s="8">
        <v>0.50069444444444444</v>
      </c>
      <c r="I116" s="22">
        <v>127.24850000000001</v>
      </c>
      <c r="J116" s="22">
        <v>31.750133333333334</v>
      </c>
      <c r="K116" s="27">
        <v>74</v>
      </c>
      <c r="L116" s="27">
        <v>75</v>
      </c>
      <c r="M116" s="27">
        <v>0</v>
      </c>
      <c r="N116" s="21">
        <v>18.548999999999999</v>
      </c>
      <c r="O116" s="24">
        <v>34.548200000000001</v>
      </c>
      <c r="P116" s="31">
        <v>0.19641076470588281</v>
      </c>
      <c r="Q116" s="31">
        <v>1.3708784000000005</v>
      </c>
      <c r="R116" s="26" t="s">
        <v>280</v>
      </c>
      <c r="S116" s="26">
        <v>1</v>
      </c>
      <c r="T116" s="71" t="s">
        <v>626</v>
      </c>
    </row>
    <row r="117" spans="1:20" s="14" customFormat="1">
      <c r="A117" s="26" t="s">
        <v>140</v>
      </c>
      <c r="B117" s="26" t="s">
        <v>213</v>
      </c>
      <c r="C117" s="26" t="s">
        <v>506</v>
      </c>
      <c r="D117" s="25">
        <v>42568</v>
      </c>
      <c r="E117" s="1">
        <f t="shared" si="3"/>
        <v>2016</v>
      </c>
      <c r="F117" s="1">
        <f t="shared" si="4"/>
        <v>7</v>
      </c>
      <c r="G117" s="4">
        <f t="shared" si="5"/>
        <v>17</v>
      </c>
      <c r="H117" s="8">
        <v>0.50069444444444444</v>
      </c>
      <c r="I117" s="22">
        <v>127.24850000000001</v>
      </c>
      <c r="J117" s="22">
        <v>31.750133333333334</v>
      </c>
      <c r="K117" s="27">
        <v>101</v>
      </c>
      <c r="L117" s="27">
        <v>100</v>
      </c>
      <c r="M117" s="27">
        <v>0</v>
      </c>
      <c r="N117" s="21">
        <v>15.941000000000001</v>
      </c>
      <c r="O117" s="24">
        <v>34.582799999999999</v>
      </c>
      <c r="P117" s="31">
        <v>0.23849264705882378</v>
      </c>
      <c r="Q117" s="31">
        <v>1.1390771199999996</v>
      </c>
      <c r="R117" s="26" t="s">
        <v>280</v>
      </c>
      <c r="S117" s="26">
        <v>1</v>
      </c>
      <c r="T117" s="71" t="s">
        <v>626</v>
      </c>
    </row>
    <row r="118" spans="1:20" s="14" customFormat="1">
      <c r="A118" s="26" t="s">
        <v>140</v>
      </c>
      <c r="B118" s="26" t="s">
        <v>213</v>
      </c>
      <c r="C118" s="26" t="s">
        <v>506</v>
      </c>
      <c r="D118" s="25">
        <v>42568</v>
      </c>
      <c r="E118" s="1">
        <f t="shared" si="3"/>
        <v>2016</v>
      </c>
      <c r="F118" s="1">
        <f t="shared" si="4"/>
        <v>7</v>
      </c>
      <c r="G118" s="4">
        <f t="shared" si="5"/>
        <v>17</v>
      </c>
      <c r="H118" s="8">
        <v>0.50069444444444444</v>
      </c>
      <c r="I118" s="22">
        <v>127.24850000000001</v>
      </c>
      <c r="J118" s="22">
        <v>31.750133333333334</v>
      </c>
      <c r="K118" s="27">
        <v>120</v>
      </c>
      <c r="L118" s="27">
        <v>120</v>
      </c>
      <c r="M118" s="27">
        <v>0</v>
      </c>
      <c r="N118" s="21">
        <v>15.929</v>
      </c>
      <c r="O118" s="24">
        <v>34.583799999999997</v>
      </c>
      <c r="P118" s="31">
        <v>0.22820352941176436</v>
      </c>
      <c r="Q118" s="31">
        <v>1.0365384000000013</v>
      </c>
      <c r="R118" s="26" t="s">
        <v>280</v>
      </c>
      <c r="S118" s="26">
        <v>1</v>
      </c>
      <c r="T118" s="71" t="s">
        <v>626</v>
      </c>
    </row>
    <row r="119" spans="1:20" s="14" customFormat="1">
      <c r="A119" s="26" t="s">
        <v>140</v>
      </c>
      <c r="B119" s="26">
        <v>29</v>
      </c>
      <c r="C119" s="26" t="s">
        <v>506</v>
      </c>
      <c r="D119" s="25">
        <v>42569</v>
      </c>
      <c r="E119" s="1">
        <f t="shared" si="3"/>
        <v>2016</v>
      </c>
      <c r="F119" s="1">
        <f t="shared" si="4"/>
        <v>7</v>
      </c>
      <c r="G119" s="4">
        <f t="shared" si="5"/>
        <v>18</v>
      </c>
      <c r="H119" s="8">
        <v>0.12222222222222223</v>
      </c>
      <c r="I119" s="22">
        <v>127.75141666666667</v>
      </c>
      <c r="J119" s="22">
        <v>31.750616666666666</v>
      </c>
      <c r="K119" s="27">
        <v>0</v>
      </c>
      <c r="L119" s="27">
        <v>0</v>
      </c>
      <c r="M119" s="27">
        <v>0</v>
      </c>
      <c r="N119" s="21">
        <v>27.8</v>
      </c>
      <c r="O119" s="24">
        <v>32.11216814704084</v>
      </c>
      <c r="P119" s="31">
        <v>-0.3018625882352941</v>
      </c>
      <c r="Q119" s="31">
        <v>-2.22429568</v>
      </c>
      <c r="R119" s="26" t="s">
        <v>280</v>
      </c>
      <c r="S119" s="26"/>
      <c r="T119" s="71" t="s">
        <v>626</v>
      </c>
    </row>
    <row r="120" spans="1:20" s="14" customFormat="1">
      <c r="A120" s="26" t="s">
        <v>140</v>
      </c>
      <c r="B120" s="26">
        <v>31</v>
      </c>
      <c r="C120" s="26" t="s">
        <v>506</v>
      </c>
      <c r="D120" s="25">
        <v>42569</v>
      </c>
      <c r="E120" s="1">
        <f t="shared" si="3"/>
        <v>2016</v>
      </c>
      <c r="F120" s="1">
        <f t="shared" si="4"/>
        <v>7</v>
      </c>
      <c r="G120" s="4">
        <f t="shared" si="5"/>
        <v>18</v>
      </c>
      <c r="H120" s="8">
        <v>0.25486111111111109</v>
      </c>
      <c r="I120" s="22">
        <v>128.25155000000001</v>
      </c>
      <c r="J120" s="22">
        <v>31.750533333333333</v>
      </c>
      <c r="K120" s="27">
        <v>0</v>
      </c>
      <c r="L120" s="27">
        <v>0</v>
      </c>
      <c r="M120" s="27">
        <v>0</v>
      </c>
      <c r="N120" s="21">
        <v>27.7</v>
      </c>
      <c r="O120" s="24">
        <v>32.437503922867904</v>
      </c>
      <c r="P120" s="31">
        <v>-0.31857681176470587</v>
      </c>
      <c r="Q120" s="31">
        <v>-1.7599983717647047</v>
      </c>
      <c r="R120" s="26" t="s">
        <v>280</v>
      </c>
      <c r="S120" s="26"/>
      <c r="T120" s="71" t="s">
        <v>626</v>
      </c>
    </row>
    <row r="121" spans="1:20" s="14" customFormat="1">
      <c r="A121" s="26" t="s">
        <v>140</v>
      </c>
      <c r="B121" s="26" t="s">
        <v>214</v>
      </c>
      <c r="C121" s="26" t="s">
        <v>506</v>
      </c>
      <c r="D121" s="25">
        <v>42569</v>
      </c>
      <c r="E121" s="1">
        <f t="shared" si="3"/>
        <v>2016</v>
      </c>
      <c r="F121" s="1">
        <f t="shared" si="4"/>
        <v>7</v>
      </c>
      <c r="G121" s="4">
        <f t="shared" si="5"/>
        <v>18</v>
      </c>
      <c r="H121" s="8">
        <v>0.50486111111111109</v>
      </c>
      <c r="I121" s="22">
        <v>128.74966666666666</v>
      </c>
      <c r="J121" s="22">
        <v>31.749500000000001</v>
      </c>
      <c r="K121" s="27">
        <v>0</v>
      </c>
      <c r="L121" s="27">
        <v>0</v>
      </c>
      <c r="M121" s="27">
        <v>0</v>
      </c>
      <c r="N121" s="21">
        <v>28.1</v>
      </c>
      <c r="O121" s="24">
        <v>33.253115754809336</v>
      </c>
      <c r="P121" s="31">
        <v>-0.10417769411764732</v>
      </c>
      <c r="Q121" s="31">
        <v>-0.74443785411764729</v>
      </c>
      <c r="R121" s="26" t="s">
        <v>280</v>
      </c>
      <c r="S121" s="26">
        <v>1</v>
      </c>
      <c r="T121" s="71" t="s">
        <v>626</v>
      </c>
    </row>
    <row r="122" spans="1:20" s="14" customFormat="1">
      <c r="A122" s="26" t="s">
        <v>140</v>
      </c>
      <c r="B122" s="26" t="s">
        <v>214</v>
      </c>
      <c r="C122" s="26" t="s">
        <v>506</v>
      </c>
      <c r="D122" s="25">
        <v>42569</v>
      </c>
      <c r="E122" s="1">
        <f t="shared" si="3"/>
        <v>2016</v>
      </c>
      <c r="F122" s="1">
        <f t="shared" si="4"/>
        <v>7</v>
      </c>
      <c r="G122" s="4">
        <f t="shared" si="5"/>
        <v>18</v>
      </c>
      <c r="H122" s="8">
        <v>0.50486111111111109</v>
      </c>
      <c r="I122" s="22">
        <v>128.74966666666666</v>
      </c>
      <c r="J122" s="22">
        <v>31.749500000000001</v>
      </c>
      <c r="K122" s="27">
        <v>10</v>
      </c>
      <c r="L122" s="27">
        <v>10</v>
      </c>
      <c r="M122" s="27">
        <v>0</v>
      </c>
      <c r="N122" s="21">
        <v>27.585999999999999</v>
      </c>
      <c r="O122" s="24">
        <v>33.283000000000001</v>
      </c>
      <c r="P122" s="31">
        <v>-0.1218127764705883</v>
      </c>
      <c r="Q122" s="31">
        <v>-0.57816885647058847</v>
      </c>
      <c r="R122" s="26" t="s">
        <v>280</v>
      </c>
      <c r="S122" s="26">
        <v>1</v>
      </c>
      <c r="T122" s="71" t="s">
        <v>626</v>
      </c>
    </row>
    <row r="123" spans="1:20" s="14" customFormat="1">
      <c r="A123" s="26" t="s">
        <v>140</v>
      </c>
      <c r="B123" s="26" t="s">
        <v>214</v>
      </c>
      <c r="C123" s="26" t="s">
        <v>506</v>
      </c>
      <c r="D123" s="25">
        <v>42569</v>
      </c>
      <c r="E123" s="1">
        <f t="shared" si="3"/>
        <v>2016</v>
      </c>
      <c r="F123" s="1">
        <f t="shared" si="4"/>
        <v>7</v>
      </c>
      <c r="G123" s="4">
        <f t="shared" si="5"/>
        <v>18</v>
      </c>
      <c r="H123" s="8">
        <v>0.50486111111111109</v>
      </c>
      <c r="I123" s="22">
        <v>128.74966666666666</v>
      </c>
      <c r="J123" s="22">
        <v>31.749500000000001</v>
      </c>
      <c r="K123" s="27">
        <v>20</v>
      </c>
      <c r="L123" s="27">
        <v>20</v>
      </c>
      <c r="M123" s="27">
        <v>0</v>
      </c>
      <c r="N123" s="21">
        <v>27.225000000000001</v>
      </c>
      <c r="O123" s="24">
        <v>33.553100000000001</v>
      </c>
      <c r="P123" s="31">
        <v>0.10737082117647057</v>
      </c>
      <c r="Q123" s="31">
        <v>0.48761646117647217</v>
      </c>
      <c r="R123" s="26" t="s">
        <v>280</v>
      </c>
      <c r="S123" s="26">
        <v>1</v>
      </c>
      <c r="T123" s="71" t="s">
        <v>626</v>
      </c>
    </row>
    <row r="124" spans="1:20" s="14" customFormat="1">
      <c r="A124" s="26" t="s">
        <v>140</v>
      </c>
      <c r="B124" s="26" t="s">
        <v>214</v>
      </c>
      <c r="C124" s="26" t="s">
        <v>506</v>
      </c>
      <c r="D124" s="25">
        <v>42569</v>
      </c>
      <c r="E124" s="1">
        <f t="shared" si="3"/>
        <v>2016</v>
      </c>
      <c r="F124" s="1">
        <f t="shared" si="4"/>
        <v>7</v>
      </c>
      <c r="G124" s="4">
        <f t="shared" si="5"/>
        <v>18</v>
      </c>
      <c r="H124" s="8">
        <v>0.50486111111111109</v>
      </c>
      <c r="I124" s="22">
        <v>128.74966666666666</v>
      </c>
      <c r="J124" s="22">
        <v>31.749500000000001</v>
      </c>
      <c r="K124" s="27">
        <v>29</v>
      </c>
      <c r="L124" s="27">
        <v>30</v>
      </c>
      <c r="M124" s="27">
        <v>0</v>
      </c>
      <c r="N124" s="21">
        <v>24.827000000000002</v>
      </c>
      <c r="O124" s="24">
        <v>34.395200000000003</v>
      </c>
      <c r="P124" s="31">
        <v>0.25955191882352935</v>
      </c>
      <c r="Q124" s="31">
        <v>1.2534316988235297</v>
      </c>
      <c r="R124" s="26" t="s">
        <v>280</v>
      </c>
      <c r="S124" s="26">
        <v>1</v>
      </c>
      <c r="T124" s="71" t="s">
        <v>626</v>
      </c>
    </row>
    <row r="125" spans="1:20" s="14" customFormat="1">
      <c r="A125" s="26" t="s">
        <v>140</v>
      </c>
      <c r="B125" s="26" t="s">
        <v>214</v>
      </c>
      <c r="C125" s="26" t="s">
        <v>506</v>
      </c>
      <c r="D125" s="25">
        <v>42569</v>
      </c>
      <c r="E125" s="1">
        <f t="shared" si="3"/>
        <v>2016</v>
      </c>
      <c r="F125" s="1">
        <f t="shared" si="4"/>
        <v>7</v>
      </c>
      <c r="G125" s="4">
        <f t="shared" si="5"/>
        <v>18</v>
      </c>
      <c r="H125" s="8">
        <v>0.50486111111111109</v>
      </c>
      <c r="I125" s="22">
        <v>128.74966666666666</v>
      </c>
      <c r="J125" s="22">
        <v>31.749500000000001</v>
      </c>
      <c r="K125" s="27">
        <v>50</v>
      </c>
      <c r="L125" s="27">
        <v>50</v>
      </c>
      <c r="M125" s="27">
        <v>0</v>
      </c>
      <c r="N125" s="21">
        <v>22.803999999999998</v>
      </c>
      <c r="O125" s="24">
        <v>34.578800000000001</v>
      </c>
      <c r="P125" s="31">
        <v>0.253621216470588</v>
      </c>
      <c r="Q125" s="31">
        <v>1.5053782964705889</v>
      </c>
      <c r="R125" s="26" t="s">
        <v>280</v>
      </c>
      <c r="S125" s="26">
        <v>1</v>
      </c>
      <c r="T125" s="71" t="s">
        <v>626</v>
      </c>
    </row>
    <row r="126" spans="1:20" s="14" customFormat="1">
      <c r="A126" s="26" t="s">
        <v>140</v>
      </c>
      <c r="B126" s="26" t="s">
        <v>214</v>
      </c>
      <c r="C126" s="26" t="s">
        <v>506</v>
      </c>
      <c r="D126" s="25">
        <v>42569</v>
      </c>
      <c r="E126" s="1">
        <f t="shared" si="3"/>
        <v>2016</v>
      </c>
      <c r="F126" s="1">
        <f t="shared" si="4"/>
        <v>7</v>
      </c>
      <c r="G126" s="4">
        <f t="shared" si="5"/>
        <v>18</v>
      </c>
      <c r="H126" s="8">
        <v>0.50486111111111109</v>
      </c>
      <c r="I126" s="22">
        <v>128.74966666666666</v>
      </c>
      <c r="J126" s="22">
        <v>31.749500000000001</v>
      </c>
      <c r="K126" s="27">
        <v>59</v>
      </c>
      <c r="L126" s="27">
        <v>60</v>
      </c>
      <c r="M126" s="27">
        <v>0</v>
      </c>
      <c r="N126" s="21">
        <v>21.681999999999999</v>
      </c>
      <c r="O126" s="24">
        <v>34.644599999999997</v>
      </c>
      <c r="P126" s="31">
        <v>0.25220799411764672</v>
      </c>
      <c r="Q126" s="31">
        <v>1.5406688941176476</v>
      </c>
      <c r="R126" s="26" t="s">
        <v>280</v>
      </c>
      <c r="S126" s="26">
        <v>1</v>
      </c>
      <c r="T126" s="71" t="s">
        <v>626</v>
      </c>
    </row>
    <row r="127" spans="1:20" s="14" customFormat="1">
      <c r="A127" s="26" t="s">
        <v>140</v>
      </c>
      <c r="B127" s="26" t="s">
        <v>214</v>
      </c>
      <c r="C127" s="26" t="s">
        <v>506</v>
      </c>
      <c r="D127" s="25">
        <v>42569</v>
      </c>
      <c r="E127" s="1">
        <f t="shared" si="3"/>
        <v>2016</v>
      </c>
      <c r="F127" s="1">
        <f t="shared" si="4"/>
        <v>7</v>
      </c>
      <c r="G127" s="4">
        <f t="shared" si="5"/>
        <v>18</v>
      </c>
      <c r="H127" s="8">
        <v>0.50486111111111109</v>
      </c>
      <c r="I127" s="22">
        <v>128.74966666666666</v>
      </c>
      <c r="J127" s="22">
        <v>31.749500000000001</v>
      </c>
      <c r="K127" s="27">
        <v>75</v>
      </c>
      <c r="L127" s="27">
        <v>75</v>
      </c>
      <c r="M127" s="27">
        <v>0</v>
      </c>
      <c r="N127" s="21">
        <v>20.356000000000002</v>
      </c>
      <c r="O127" s="24">
        <v>34.701500000000003</v>
      </c>
      <c r="P127" s="31">
        <v>0.18413174470588212</v>
      </c>
      <c r="Q127" s="31">
        <v>1.378906804705883</v>
      </c>
      <c r="R127" s="26" t="s">
        <v>280</v>
      </c>
      <c r="S127" s="26">
        <v>1</v>
      </c>
      <c r="T127" s="71" t="s">
        <v>626</v>
      </c>
    </row>
    <row r="128" spans="1:20" s="14" customFormat="1">
      <c r="A128" s="26" t="s">
        <v>140</v>
      </c>
      <c r="B128" s="26" t="s">
        <v>214</v>
      </c>
      <c r="C128" s="26" t="s">
        <v>506</v>
      </c>
      <c r="D128" s="25">
        <v>42569</v>
      </c>
      <c r="E128" s="1">
        <f t="shared" si="3"/>
        <v>2016</v>
      </c>
      <c r="F128" s="1">
        <f t="shared" si="4"/>
        <v>7</v>
      </c>
      <c r="G128" s="4">
        <f t="shared" si="5"/>
        <v>18</v>
      </c>
      <c r="H128" s="8">
        <v>0.50486111111111109</v>
      </c>
      <c r="I128" s="22">
        <v>128.74966666666666</v>
      </c>
      <c r="J128" s="22">
        <v>31.749500000000001</v>
      </c>
      <c r="K128" s="27">
        <v>100</v>
      </c>
      <c r="L128" s="27">
        <v>100</v>
      </c>
      <c r="M128" s="27">
        <v>0</v>
      </c>
      <c r="N128" s="21">
        <v>19.012</v>
      </c>
      <c r="O128" s="24">
        <v>34.7136</v>
      </c>
      <c r="P128" s="31">
        <v>0.17943308235294086</v>
      </c>
      <c r="Q128" s="31">
        <v>1.3012080156862762</v>
      </c>
      <c r="R128" s="26" t="s">
        <v>280</v>
      </c>
      <c r="S128" s="26">
        <v>1</v>
      </c>
      <c r="T128" s="71" t="s">
        <v>626</v>
      </c>
    </row>
    <row r="129" spans="1:20" s="14" customFormat="1">
      <c r="A129" s="26" t="s">
        <v>140</v>
      </c>
      <c r="B129" s="26" t="s">
        <v>214</v>
      </c>
      <c r="C129" s="26" t="s">
        <v>506</v>
      </c>
      <c r="D129" s="25">
        <v>42569</v>
      </c>
      <c r="E129" s="1">
        <f t="shared" si="3"/>
        <v>2016</v>
      </c>
      <c r="F129" s="1">
        <f t="shared" si="4"/>
        <v>7</v>
      </c>
      <c r="G129" s="4">
        <f t="shared" si="5"/>
        <v>18</v>
      </c>
      <c r="H129" s="8">
        <v>0.50486111111111109</v>
      </c>
      <c r="I129" s="22">
        <v>128.74966666666666</v>
      </c>
      <c r="J129" s="22">
        <v>31.749500000000001</v>
      </c>
      <c r="K129" s="27">
        <v>124</v>
      </c>
      <c r="L129" s="27">
        <v>125</v>
      </c>
      <c r="M129" s="27">
        <v>0</v>
      </c>
      <c r="N129" s="21">
        <v>17.698</v>
      </c>
      <c r="O129" s="24">
        <v>34.657899999999998</v>
      </c>
      <c r="P129" s="31">
        <v>0.20841018</v>
      </c>
      <c r="Q129" s="31">
        <v>1.1747288000000022</v>
      </c>
      <c r="R129" s="26" t="s">
        <v>280</v>
      </c>
      <c r="S129" s="26">
        <v>1</v>
      </c>
      <c r="T129" s="71" t="s">
        <v>626</v>
      </c>
    </row>
    <row r="130" spans="1:20" s="14" customFormat="1">
      <c r="A130" s="26" t="s">
        <v>140</v>
      </c>
      <c r="B130" s="26" t="s">
        <v>214</v>
      </c>
      <c r="C130" s="26" t="s">
        <v>506</v>
      </c>
      <c r="D130" s="25">
        <v>42569</v>
      </c>
      <c r="E130" s="1">
        <f t="shared" ref="E130:E193" si="6">YEAR(D130)</f>
        <v>2016</v>
      </c>
      <c r="F130" s="1">
        <f t="shared" ref="F130:F193" si="7">MONTH(D130)</f>
        <v>7</v>
      </c>
      <c r="G130" s="4">
        <f t="shared" ref="G130:G193" si="8">DAY(D130)</f>
        <v>18</v>
      </c>
      <c r="H130" s="8">
        <v>0.50486111111111109</v>
      </c>
      <c r="I130" s="22">
        <v>128.74966666666666</v>
      </c>
      <c r="J130" s="22">
        <v>31.749500000000001</v>
      </c>
      <c r="K130" s="27">
        <v>150</v>
      </c>
      <c r="L130" s="27">
        <v>150</v>
      </c>
      <c r="M130" s="27">
        <v>0</v>
      </c>
      <c r="N130" s="21">
        <v>16.384</v>
      </c>
      <c r="O130" s="24">
        <v>34.6068</v>
      </c>
      <c r="P130" s="31">
        <v>0.17291051764705845</v>
      </c>
      <c r="Q130" s="31">
        <v>0.91674595764705913</v>
      </c>
      <c r="R130" s="26" t="s">
        <v>280</v>
      </c>
      <c r="S130" s="26">
        <v>1</v>
      </c>
      <c r="T130" s="71" t="s">
        <v>626</v>
      </c>
    </row>
    <row r="131" spans="1:20" s="14" customFormat="1">
      <c r="A131" s="26" t="s">
        <v>140</v>
      </c>
      <c r="B131" s="26" t="s">
        <v>214</v>
      </c>
      <c r="C131" s="26" t="s">
        <v>506</v>
      </c>
      <c r="D131" s="25">
        <v>42569</v>
      </c>
      <c r="E131" s="1">
        <f t="shared" si="6"/>
        <v>2016</v>
      </c>
      <c r="F131" s="1">
        <f t="shared" si="7"/>
        <v>7</v>
      </c>
      <c r="G131" s="4">
        <f t="shared" si="8"/>
        <v>18</v>
      </c>
      <c r="H131" s="8">
        <v>0.50486111111111109</v>
      </c>
      <c r="I131" s="22">
        <v>128.74966666666666</v>
      </c>
      <c r="J131" s="22">
        <v>31.749500000000001</v>
      </c>
      <c r="K131" s="27">
        <v>198</v>
      </c>
      <c r="L131" s="27">
        <v>200</v>
      </c>
      <c r="M131" s="27">
        <v>0</v>
      </c>
      <c r="N131" s="21">
        <v>14.891</v>
      </c>
      <c r="O131" s="24">
        <v>34.557299999999998</v>
      </c>
      <c r="P131" s="31">
        <v>0.18504973529411739</v>
      </c>
      <c r="Q131" s="31">
        <v>0.62527991529411864</v>
      </c>
      <c r="R131" s="26" t="s">
        <v>280</v>
      </c>
      <c r="S131" s="26">
        <v>1</v>
      </c>
      <c r="T131" s="71" t="s">
        <v>626</v>
      </c>
    </row>
    <row r="132" spans="1:20" s="14" customFormat="1">
      <c r="A132" s="26" t="s">
        <v>140</v>
      </c>
      <c r="B132" s="26" t="s">
        <v>214</v>
      </c>
      <c r="C132" s="26" t="s">
        <v>506</v>
      </c>
      <c r="D132" s="25">
        <v>42569</v>
      </c>
      <c r="E132" s="1">
        <f t="shared" si="6"/>
        <v>2016</v>
      </c>
      <c r="F132" s="1">
        <f t="shared" si="7"/>
        <v>7</v>
      </c>
      <c r="G132" s="4">
        <f t="shared" si="8"/>
        <v>18</v>
      </c>
      <c r="H132" s="8">
        <v>0.50486111111111109</v>
      </c>
      <c r="I132" s="22">
        <v>128.74966666666666</v>
      </c>
      <c r="J132" s="22">
        <v>31.749500000000001</v>
      </c>
      <c r="K132" s="27">
        <v>298</v>
      </c>
      <c r="L132" s="27">
        <v>300</v>
      </c>
      <c r="M132" s="27">
        <v>0</v>
      </c>
      <c r="N132" s="21">
        <v>11.2</v>
      </c>
      <c r="O132" s="24">
        <v>34.389600000000002</v>
      </c>
      <c r="P132" s="31">
        <v>9.9188729411763266E-3</v>
      </c>
      <c r="Q132" s="31">
        <v>-0.34372852705882195</v>
      </c>
      <c r="R132" s="26" t="s">
        <v>280</v>
      </c>
      <c r="S132" s="26">
        <v>1</v>
      </c>
      <c r="T132" s="71" t="s">
        <v>626</v>
      </c>
    </row>
    <row r="133" spans="1:20" s="14" customFormat="1">
      <c r="A133" s="26" t="s">
        <v>140</v>
      </c>
      <c r="B133" s="26" t="s">
        <v>214</v>
      </c>
      <c r="C133" s="26" t="s">
        <v>506</v>
      </c>
      <c r="D133" s="25">
        <v>42569</v>
      </c>
      <c r="E133" s="1">
        <f t="shared" si="6"/>
        <v>2016</v>
      </c>
      <c r="F133" s="1">
        <f t="shared" si="7"/>
        <v>7</v>
      </c>
      <c r="G133" s="4">
        <f t="shared" si="8"/>
        <v>18</v>
      </c>
      <c r="H133" s="8">
        <v>0.50486111111111109</v>
      </c>
      <c r="I133" s="22">
        <v>128.74966666666666</v>
      </c>
      <c r="J133" s="22">
        <v>31.749500000000001</v>
      </c>
      <c r="K133" s="27">
        <v>496</v>
      </c>
      <c r="L133" s="27">
        <v>500</v>
      </c>
      <c r="M133" s="27">
        <v>0</v>
      </c>
      <c r="N133" s="21">
        <v>7.327</v>
      </c>
      <c r="O133" s="24">
        <v>34.343400000000003</v>
      </c>
      <c r="P133" s="31">
        <v>-0.12147456941176493</v>
      </c>
      <c r="Q133" s="31">
        <v>-1.2278472094117623</v>
      </c>
      <c r="R133" s="26" t="s">
        <v>280</v>
      </c>
      <c r="S133" s="26">
        <v>1</v>
      </c>
      <c r="T133" s="71" t="s">
        <v>626</v>
      </c>
    </row>
    <row r="134" spans="1:20" s="14" customFormat="1">
      <c r="A134" s="26" t="s">
        <v>140</v>
      </c>
      <c r="B134" s="26">
        <v>35</v>
      </c>
      <c r="C134" s="26" t="s">
        <v>506</v>
      </c>
      <c r="D134" s="25">
        <v>42570</v>
      </c>
      <c r="E134" s="1">
        <f t="shared" si="6"/>
        <v>2016</v>
      </c>
      <c r="F134" s="1">
        <f t="shared" si="7"/>
        <v>7</v>
      </c>
      <c r="G134" s="4">
        <f t="shared" si="8"/>
        <v>19</v>
      </c>
      <c r="H134" s="8">
        <v>0.90694444444444444</v>
      </c>
      <c r="I134" s="22">
        <v>129.25128333333333</v>
      </c>
      <c r="J134" s="22">
        <v>31.750116666666667</v>
      </c>
      <c r="K134" s="27">
        <v>0</v>
      </c>
      <c r="L134" s="27">
        <v>0</v>
      </c>
      <c r="M134" s="27">
        <v>0</v>
      </c>
      <c r="N134" s="21">
        <v>28.3</v>
      </c>
      <c r="O134" s="24">
        <v>33.280586025940899</v>
      </c>
      <c r="P134" s="31">
        <v>-0.13171741176470597</v>
      </c>
      <c r="Q134" s="31">
        <v>-0.91622173176470589</v>
      </c>
      <c r="R134" s="26" t="s">
        <v>280</v>
      </c>
      <c r="S134" s="26"/>
      <c r="T134" s="71" t="s">
        <v>626</v>
      </c>
    </row>
    <row r="135" spans="1:20" s="14" customFormat="1">
      <c r="A135" s="26" t="s">
        <v>140</v>
      </c>
      <c r="B135" s="26">
        <v>37</v>
      </c>
      <c r="C135" s="26" t="s">
        <v>506</v>
      </c>
      <c r="D135" s="25">
        <v>42571</v>
      </c>
      <c r="E135" s="1">
        <f t="shared" si="6"/>
        <v>2016</v>
      </c>
      <c r="F135" s="1">
        <f t="shared" si="7"/>
        <v>7</v>
      </c>
      <c r="G135" s="4">
        <f t="shared" si="8"/>
        <v>20</v>
      </c>
      <c r="H135" s="8">
        <v>5.7638888888888885E-2</v>
      </c>
      <c r="I135" s="22">
        <v>129.66741666666667</v>
      </c>
      <c r="J135" s="22">
        <v>31.750133333333334</v>
      </c>
      <c r="K135" s="27">
        <v>0</v>
      </c>
      <c r="L135" s="27">
        <v>0</v>
      </c>
      <c r="M135" s="27">
        <v>0</v>
      </c>
      <c r="N135" s="21">
        <v>27.6</v>
      </c>
      <c r="O135" s="24">
        <v>31.916332329801335</v>
      </c>
      <c r="P135" s="31">
        <v>-0.37392847058823508</v>
      </c>
      <c r="Q135" s="31">
        <v>-2.6743393458823537</v>
      </c>
      <c r="R135" s="26" t="s">
        <v>280</v>
      </c>
      <c r="S135" s="26"/>
      <c r="T135" s="71" t="s">
        <v>626</v>
      </c>
    </row>
    <row r="136" spans="1:20" s="14" customFormat="1">
      <c r="A136" s="26" t="s">
        <v>144</v>
      </c>
      <c r="B136" s="26">
        <v>6</v>
      </c>
      <c r="C136" s="26" t="s">
        <v>507</v>
      </c>
      <c r="D136" s="25">
        <v>42911</v>
      </c>
      <c r="E136" s="1">
        <f t="shared" si="6"/>
        <v>2017</v>
      </c>
      <c r="F136" s="1">
        <f t="shared" si="7"/>
        <v>6</v>
      </c>
      <c r="G136" s="4">
        <f t="shared" si="8"/>
        <v>25</v>
      </c>
      <c r="H136" s="6">
        <v>0.7270833333333333</v>
      </c>
      <c r="I136" s="22">
        <v>126.49788333333335</v>
      </c>
      <c r="J136" s="22">
        <v>30.995049999999999</v>
      </c>
      <c r="K136" s="27">
        <v>0</v>
      </c>
      <c r="L136" s="27">
        <v>0</v>
      </c>
      <c r="M136" s="27">
        <v>0</v>
      </c>
      <c r="N136" s="21">
        <v>23.4</v>
      </c>
      <c r="O136" s="24">
        <v>31.203651194621013</v>
      </c>
      <c r="P136" s="31">
        <v>-0.54166357647058816</v>
      </c>
      <c r="Q136" s="31">
        <v>-3.8914830127450974</v>
      </c>
      <c r="R136" s="26" t="s">
        <v>280</v>
      </c>
      <c r="S136" s="26"/>
      <c r="T136" s="71" t="s">
        <v>626</v>
      </c>
    </row>
    <row r="137" spans="1:20" s="14" customFormat="1">
      <c r="A137" s="26" t="s">
        <v>144</v>
      </c>
      <c r="B137" s="26">
        <v>7</v>
      </c>
      <c r="C137" s="26" t="s">
        <v>507</v>
      </c>
      <c r="D137" s="25">
        <v>42911</v>
      </c>
      <c r="E137" s="1">
        <f t="shared" si="6"/>
        <v>2017</v>
      </c>
      <c r="F137" s="1">
        <f t="shared" si="7"/>
        <v>6</v>
      </c>
      <c r="G137" s="4">
        <f t="shared" si="8"/>
        <v>25</v>
      </c>
      <c r="H137" s="6">
        <v>0.84861111111111109</v>
      </c>
      <c r="I137" s="22">
        <v>126.99954999999999</v>
      </c>
      <c r="J137" s="22">
        <v>30.9999</v>
      </c>
      <c r="K137" s="27">
        <v>0</v>
      </c>
      <c r="L137" s="27">
        <v>0</v>
      </c>
      <c r="M137" s="27">
        <v>0</v>
      </c>
      <c r="N137" s="21">
        <v>23.2</v>
      </c>
      <c r="O137" s="24">
        <v>31.182587211964464</v>
      </c>
      <c r="P137" s="31">
        <v>-0.52215037411764698</v>
      </c>
      <c r="Q137" s="31">
        <v>-4.0511012223529406</v>
      </c>
      <c r="R137" s="26" t="s">
        <v>280</v>
      </c>
      <c r="S137" s="26"/>
      <c r="T137" s="71" t="s">
        <v>626</v>
      </c>
    </row>
    <row r="138" spans="1:20" s="14" customFormat="1">
      <c r="A138" s="26" t="s">
        <v>144</v>
      </c>
      <c r="B138" s="26">
        <v>8</v>
      </c>
      <c r="C138" s="26" t="s">
        <v>507</v>
      </c>
      <c r="D138" s="25">
        <v>42911</v>
      </c>
      <c r="E138" s="1">
        <f t="shared" si="6"/>
        <v>2017</v>
      </c>
      <c r="F138" s="1">
        <f t="shared" si="7"/>
        <v>6</v>
      </c>
      <c r="G138" s="4">
        <f t="shared" si="8"/>
        <v>25</v>
      </c>
      <c r="H138" s="6">
        <v>0.99861111111111101</v>
      </c>
      <c r="I138" s="22">
        <v>127.00141666666667</v>
      </c>
      <c r="J138" s="22">
        <v>30.501750000000001</v>
      </c>
      <c r="K138" s="27">
        <v>0</v>
      </c>
      <c r="L138" s="27">
        <v>0</v>
      </c>
      <c r="M138" s="27">
        <v>0</v>
      </c>
      <c r="N138" s="21">
        <v>23.1</v>
      </c>
      <c r="O138" s="24">
        <v>31.965371839165044</v>
      </c>
      <c r="P138" s="31">
        <v>-0.49521062470588251</v>
      </c>
      <c r="Q138" s="31">
        <v>-3.6871118541176484</v>
      </c>
      <c r="R138" s="26" t="s">
        <v>280</v>
      </c>
      <c r="S138" s="26"/>
      <c r="T138" s="71" t="s">
        <v>626</v>
      </c>
    </row>
    <row r="139" spans="1:20" s="14" customFormat="1">
      <c r="A139" s="26" t="s">
        <v>144</v>
      </c>
      <c r="B139" s="26">
        <v>9</v>
      </c>
      <c r="C139" s="26" t="s">
        <v>507</v>
      </c>
      <c r="D139" s="25">
        <v>42912</v>
      </c>
      <c r="E139" s="1">
        <f t="shared" si="6"/>
        <v>2017</v>
      </c>
      <c r="F139" s="1">
        <f t="shared" si="7"/>
        <v>6</v>
      </c>
      <c r="G139" s="4">
        <f t="shared" si="8"/>
        <v>26</v>
      </c>
      <c r="H139" s="6">
        <v>0.14166666666666666</v>
      </c>
      <c r="I139" s="22">
        <v>127.00253333333333</v>
      </c>
      <c r="J139" s="22">
        <v>29.998549999999998</v>
      </c>
      <c r="K139" s="27">
        <v>0</v>
      </c>
      <c r="L139" s="27">
        <v>0</v>
      </c>
      <c r="M139" s="27">
        <v>0</v>
      </c>
      <c r="N139" s="21">
        <v>23.7</v>
      </c>
      <c r="O139" s="24">
        <v>32.348092399151469</v>
      </c>
      <c r="P139" s="31">
        <v>-0.31242148235294143</v>
      </c>
      <c r="Q139" s="31">
        <v>-2.4538831070588234</v>
      </c>
      <c r="R139" s="26" t="s">
        <v>280</v>
      </c>
      <c r="S139" s="26"/>
      <c r="T139" s="71" t="s">
        <v>626</v>
      </c>
    </row>
    <row r="140" spans="1:20" s="14" customFormat="1">
      <c r="A140" s="26" t="s">
        <v>144</v>
      </c>
      <c r="B140" s="26">
        <v>10</v>
      </c>
      <c r="C140" s="26" t="s">
        <v>507</v>
      </c>
      <c r="D140" s="25">
        <v>42912</v>
      </c>
      <c r="E140" s="1">
        <f t="shared" si="6"/>
        <v>2017</v>
      </c>
      <c r="F140" s="1">
        <f t="shared" si="7"/>
        <v>6</v>
      </c>
      <c r="G140" s="4">
        <f t="shared" si="8"/>
        <v>26</v>
      </c>
      <c r="H140" s="6">
        <v>0.27152777777777776</v>
      </c>
      <c r="I140" s="22">
        <v>126.5003</v>
      </c>
      <c r="J140" s="22">
        <v>30.000116666666667</v>
      </c>
      <c r="K140" s="27">
        <v>0</v>
      </c>
      <c r="L140" s="27">
        <v>0</v>
      </c>
      <c r="M140" s="27">
        <v>0</v>
      </c>
      <c r="N140" s="21">
        <v>24</v>
      </c>
      <c r="O140" s="24">
        <v>33.03572002530116</v>
      </c>
      <c r="P140" s="31">
        <v>-0.16373040000000039</v>
      </c>
      <c r="Q140" s="31">
        <v>-1.6140836199999997</v>
      </c>
      <c r="R140" s="26" t="s">
        <v>280</v>
      </c>
      <c r="S140" s="26"/>
      <c r="T140" s="71" t="s">
        <v>626</v>
      </c>
    </row>
    <row r="141" spans="1:20" s="14" customFormat="1">
      <c r="A141" s="26" t="s">
        <v>144</v>
      </c>
      <c r="B141" s="26">
        <v>11</v>
      </c>
      <c r="C141" s="26" t="s">
        <v>507</v>
      </c>
      <c r="D141" s="25">
        <v>42912</v>
      </c>
      <c r="E141" s="1">
        <f t="shared" si="6"/>
        <v>2017</v>
      </c>
      <c r="F141" s="1">
        <f t="shared" si="7"/>
        <v>6</v>
      </c>
      <c r="G141" s="4">
        <f t="shared" si="8"/>
        <v>26</v>
      </c>
      <c r="H141" s="6">
        <v>0.38958333333333334</v>
      </c>
      <c r="I141" s="22">
        <v>125.99888333333332</v>
      </c>
      <c r="J141" s="22">
        <v>30.001333333333335</v>
      </c>
      <c r="K141" s="27">
        <v>0</v>
      </c>
      <c r="L141" s="27">
        <v>0</v>
      </c>
      <c r="M141" s="27">
        <v>0</v>
      </c>
      <c r="N141" s="21">
        <v>23.5</v>
      </c>
      <c r="O141" s="24">
        <v>31.392098774150014</v>
      </c>
      <c r="P141" s="31">
        <v>-0.70292173764705868</v>
      </c>
      <c r="Q141" s="31">
        <v>-5.3111932929411765</v>
      </c>
      <c r="R141" s="26" t="s">
        <v>280</v>
      </c>
      <c r="S141" s="26"/>
      <c r="T141" s="71" t="s">
        <v>626</v>
      </c>
    </row>
    <row r="142" spans="1:20" s="14" customFormat="1">
      <c r="A142" s="26" t="s">
        <v>144</v>
      </c>
      <c r="B142" s="26">
        <v>12</v>
      </c>
      <c r="C142" s="26" t="s">
        <v>507</v>
      </c>
      <c r="D142" s="25">
        <v>42912</v>
      </c>
      <c r="E142" s="1">
        <f t="shared" si="6"/>
        <v>2017</v>
      </c>
      <c r="F142" s="1">
        <f t="shared" si="7"/>
        <v>6</v>
      </c>
      <c r="G142" s="4">
        <f t="shared" si="8"/>
        <v>26</v>
      </c>
      <c r="H142" s="6">
        <v>0.5395833333333333</v>
      </c>
      <c r="I142" s="22">
        <v>125.50145000000001</v>
      </c>
      <c r="J142" s="22">
        <v>29.998833333333334</v>
      </c>
      <c r="K142" s="27">
        <v>0</v>
      </c>
      <c r="L142" s="27">
        <v>0</v>
      </c>
      <c r="M142" s="27">
        <v>0</v>
      </c>
      <c r="N142" s="21">
        <v>23.6</v>
      </c>
      <c r="O142" s="24">
        <v>32.164204545531675</v>
      </c>
      <c r="P142" s="31">
        <v>-0.49338501529411771</v>
      </c>
      <c r="Q142" s="31">
        <v>-3.975040465882353</v>
      </c>
      <c r="R142" s="26" t="s">
        <v>280</v>
      </c>
      <c r="S142" s="26"/>
      <c r="T142" s="71" t="s">
        <v>626</v>
      </c>
    </row>
    <row r="143" spans="1:20" s="14" customFormat="1">
      <c r="A143" s="26" t="s">
        <v>144</v>
      </c>
      <c r="B143" s="26">
        <v>13</v>
      </c>
      <c r="C143" s="26" t="s">
        <v>507</v>
      </c>
      <c r="D143" s="25">
        <v>42912</v>
      </c>
      <c r="E143" s="1">
        <f t="shared" si="6"/>
        <v>2017</v>
      </c>
      <c r="F143" s="1">
        <f t="shared" si="7"/>
        <v>6</v>
      </c>
      <c r="G143" s="4">
        <f t="shared" si="8"/>
        <v>26</v>
      </c>
      <c r="H143" s="6">
        <v>0.68263888888888891</v>
      </c>
      <c r="I143" s="22">
        <v>124.99968333333334</v>
      </c>
      <c r="J143" s="22">
        <v>29.999066666666668</v>
      </c>
      <c r="K143" s="27">
        <v>0</v>
      </c>
      <c r="L143" s="27">
        <v>0</v>
      </c>
      <c r="M143" s="27">
        <v>0</v>
      </c>
      <c r="N143" s="21">
        <v>23.8</v>
      </c>
      <c r="O143" s="24">
        <v>31.67309858574923</v>
      </c>
      <c r="P143" s="31">
        <v>-0.45699293294117638</v>
      </c>
      <c r="Q143" s="31">
        <v>-3.7331434588235295</v>
      </c>
      <c r="R143" s="26" t="s">
        <v>280</v>
      </c>
      <c r="S143" s="26"/>
      <c r="T143" s="71" t="s">
        <v>626</v>
      </c>
    </row>
    <row r="144" spans="1:20" s="14" customFormat="1">
      <c r="A144" s="26" t="s">
        <v>144</v>
      </c>
      <c r="B144" s="26">
        <v>14</v>
      </c>
      <c r="C144" s="26" t="s">
        <v>507</v>
      </c>
      <c r="D144" s="25">
        <v>42912</v>
      </c>
      <c r="E144" s="1">
        <f t="shared" si="6"/>
        <v>2017</v>
      </c>
      <c r="F144" s="1">
        <f t="shared" si="7"/>
        <v>6</v>
      </c>
      <c r="G144" s="4">
        <f t="shared" si="8"/>
        <v>26</v>
      </c>
      <c r="H144" s="6">
        <v>0.81041666666666667</v>
      </c>
      <c r="I144" s="22">
        <v>124.49743333333335</v>
      </c>
      <c r="J144" s="22">
        <v>29.999749999999999</v>
      </c>
      <c r="K144" s="27">
        <v>0</v>
      </c>
      <c r="L144" s="27">
        <v>0</v>
      </c>
      <c r="M144" s="27">
        <v>0</v>
      </c>
      <c r="N144" s="21">
        <v>24.5</v>
      </c>
      <c r="O144" s="24">
        <v>33.496215394727891</v>
      </c>
      <c r="P144" s="31">
        <v>-7.6353370588235547E-2</v>
      </c>
      <c r="Q144" s="31">
        <v>-0.97844539176470668</v>
      </c>
      <c r="R144" s="26" t="s">
        <v>280</v>
      </c>
      <c r="S144" s="26"/>
      <c r="T144" s="71" t="s">
        <v>626</v>
      </c>
    </row>
    <row r="145" spans="1:20" s="14" customFormat="1">
      <c r="A145" s="26" t="s">
        <v>144</v>
      </c>
      <c r="B145" s="26">
        <v>15</v>
      </c>
      <c r="C145" s="26" t="s">
        <v>507</v>
      </c>
      <c r="D145" s="25">
        <v>42912</v>
      </c>
      <c r="E145" s="1">
        <f t="shared" si="6"/>
        <v>2017</v>
      </c>
      <c r="F145" s="1">
        <f t="shared" si="7"/>
        <v>6</v>
      </c>
      <c r="G145" s="4">
        <f t="shared" si="8"/>
        <v>26</v>
      </c>
      <c r="H145" s="6">
        <v>0.93333333333333324</v>
      </c>
      <c r="I145" s="22">
        <v>124.00108333333333</v>
      </c>
      <c r="J145" s="22">
        <v>30.000699999999998</v>
      </c>
      <c r="K145" s="27">
        <v>0</v>
      </c>
      <c r="L145" s="27">
        <v>0</v>
      </c>
      <c r="M145" s="27">
        <v>0</v>
      </c>
      <c r="N145" s="21">
        <v>24.3</v>
      </c>
      <c r="O145" s="24">
        <v>33.814542933354076</v>
      </c>
      <c r="P145" s="31">
        <v>-7.7734588235294444E-2</v>
      </c>
      <c r="Q145" s="31">
        <v>-0.43661504470587964</v>
      </c>
      <c r="R145" s="26" t="s">
        <v>280</v>
      </c>
      <c r="S145" s="26"/>
      <c r="T145" s="71" t="s">
        <v>626</v>
      </c>
    </row>
    <row r="146" spans="1:20" s="14" customFormat="1">
      <c r="A146" s="26" t="s">
        <v>144</v>
      </c>
      <c r="B146" s="26">
        <v>16</v>
      </c>
      <c r="C146" s="26" t="s">
        <v>507</v>
      </c>
      <c r="D146" s="25">
        <v>42913</v>
      </c>
      <c r="E146" s="1">
        <f t="shared" si="6"/>
        <v>2017</v>
      </c>
      <c r="F146" s="1">
        <f t="shared" si="7"/>
        <v>6</v>
      </c>
      <c r="G146" s="4">
        <f t="shared" si="8"/>
        <v>27</v>
      </c>
      <c r="H146" s="6">
        <v>6.8749999999999992E-2</v>
      </c>
      <c r="I146" s="22">
        <v>124.24991666666668</v>
      </c>
      <c r="J146" s="22">
        <v>30.501983333333332</v>
      </c>
      <c r="K146" s="27">
        <v>0</v>
      </c>
      <c r="L146" s="27">
        <v>0</v>
      </c>
      <c r="M146" s="27">
        <v>0</v>
      </c>
      <c r="N146" s="21">
        <v>23.7</v>
      </c>
      <c r="O146" s="24">
        <v>32.79807657391666</v>
      </c>
      <c r="P146" s="31">
        <v>-0.24461884705882331</v>
      </c>
      <c r="Q146" s="31">
        <v>-1.6262029976470584</v>
      </c>
      <c r="R146" s="26" t="s">
        <v>280</v>
      </c>
      <c r="S146" s="26"/>
      <c r="T146" s="71" t="s">
        <v>626</v>
      </c>
    </row>
    <row r="147" spans="1:20" s="14" customFormat="1">
      <c r="A147" s="26" t="s">
        <v>144</v>
      </c>
      <c r="B147" s="26">
        <v>17</v>
      </c>
      <c r="C147" s="26" t="s">
        <v>507</v>
      </c>
      <c r="D147" s="25">
        <v>42913</v>
      </c>
      <c r="E147" s="1">
        <f t="shared" si="6"/>
        <v>2017</v>
      </c>
      <c r="F147" s="1">
        <f t="shared" si="7"/>
        <v>6</v>
      </c>
      <c r="G147" s="4">
        <f t="shared" si="8"/>
        <v>27</v>
      </c>
      <c r="H147" s="6">
        <v>0.14166666666666666</v>
      </c>
      <c r="I147" s="22">
        <v>124.49133333333333</v>
      </c>
      <c r="J147" s="22">
        <v>30.499616666666665</v>
      </c>
      <c r="K147" s="27">
        <v>0</v>
      </c>
      <c r="L147" s="27">
        <v>0</v>
      </c>
      <c r="M147" s="27">
        <v>0</v>
      </c>
      <c r="N147" s="21">
        <v>23.8</v>
      </c>
      <c r="O147" s="24">
        <v>32.944338764959824</v>
      </c>
      <c r="P147" s="31">
        <v>-0.20055613647058834</v>
      </c>
      <c r="Q147" s="31">
        <v>-1.4617003411764689</v>
      </c>
      <c r="R147" s="26" t="s">
        <v>280</v>
      </c>
      <c r="S147" s="26"/>
      <c r="T147" s="71" t="s">
        <v>626</v>
      </c>
    </row>
    <row r="148" spans="1:20" s="14" customFormat="1">
      <c r="A148" s="26" t="s">
        <v>144</v>
      </c>
      <c r="B148" s="26">
        <v>18</v>
      </c>
      <c r="C148" s="26" t="s">
        <v>507</v>
      </c>
      <c r="D148" s="25">
        <v>42913</v>
      </c>
      <c r="E148" s="1">
        <f t="shared" si="6"/>
        <v>2017</v>
      </c>
      <c r="F148" s="1">
        <f t="shared" si="7"/>
        <v>6</v>
      </c>
      <c r="G148" s="4">
        <f t="shared" si="8"/>
        <v>27</v>
      </c>
      <c r="H148" s="6">
        <v>0.24930555555555556</v>
      </c>
      <c r="I148" s="22">
        <v>124.99981666666667</v>
      </c>
      <c r="J148" s="22">
        <v>30.499533333333336</v>
      </c>
      <c r="K148" s="27">
        <v>0</v>
      </c>
      <c r="L148" s="27">
        <v>0</v>
      </c>
      <c r="M148" s="27">
        <v>0</v>
      </c>
      <c r="N148" s="21">
        <v>23.7</v>
      </c>
      <c r="O148" s="24">
        <v>32.521745676628882</v>
      </c>
      <c r="P148" s="31">
        <v>-0.26167190588235312</v>
      </c>
      <c r="Q148" s="31">
        <v>-2.0487042847058827</v>
      </c>
      <c r="R148" s="26" t="s">
        <v>280</v>
      </c>
      <c r="S148" s="26"/>
      <c r="T148" s="71" t="s">
        <v>626</v>
      </c>
    </row>
    <row r="149" spans="1:20" s="14" customFormat="1">
      <c r="A149" s="26" t="s">
        <v>144</v>
      </c>
      <c r="B149" s="26">
        <v>19</v>
      </c>
      <c r="C149" s="26" t="s">
        <v>507</v>
      </c>
      <c r="D149" s="25">
        <v>42913</v>
      </c>
      <c r="E149" s="1">
        <f t="shared" si="6"/>
        <v>2017</v>
      </c>
      <c r="F149" s="1">
        <f t="shared" si="7"/>
        <v>6</v>
      </c>
      <c r="G149" s="4">
        <f t="shared" si="8"/>
        <v>27</v>
      </c>
      <c r="H149" s="6">
        <v>0.50277777777777777</v>
      </c>
      <c r="I149" s="22">
        <v>125.50018333333334</v>
      </c>
      <c r="J149" s="22">
        <v>30.499333333333336</v>
      </c>
      <c r="K149" s="27">
        <v>0</v>
      </c>
      <c r="L149" s="27">
        <v>0</v>
      </c>
      <c r="M149" s="27">
        <v>0</v>
      </c>
      <c r="N149" s="21">
        <v>22.8</v>
      </c>
      <c r="O149" s="24">
        <v>31.786447206573708</v>
      </c>
      <c r="P149" s="31">
        <v>-0.40924967529411749</v>
      </c>
      <c r="Q149" s="31">
        <v>-3.0421292682352936</v>
      </c>
      <c r="R149" s="26" t="s">
        <v>280</v>
      </c>
      <c r="S149" s="26"/>
      <c r="T149" s="71" t="s">
        <v>626</v>
      </c>
    </row>
    <row r="150" spans="1:20" s="14" customFormat="1">
      <c r="A150" s="26" t="s">
        <v>144</v>
      </c>
      <c r="B150" s="26">
        <v>20</v>
      </c>
      <c r="C150" s="26" t="s">
        <v>507</v>
      </c>
      <c r="D150" s="25">
        <v>42913</v>
      </c>
      <c r="E150" s="1">
        <f t="shared" si="6"/>
        <v>2017</v>
      </c>
      <c r="F150" s="1">
        <f t="shared" si="7"/>
        <v>6</v>
      </c>
      <c r="G150" s="4">
        <f t="shared" si="8"/>
        <v>27</v>
      </c>
      <c r="H150" s="6">
        <v>0.62083333333333335</v>
      </c>
      <c r="I150" s="22">
        <v>126.00058333333332</v>
      </c>
      <c r="J150" s="22">
        <v>30.498666666666665</v>
      </c>
      <c r="K150" s="27">
        <v>0</v>
      </c>
      <c r="L150" s="27">
        <v>0</v>
      </c>
      <c r="M150" s="27">
        <v>0</v>
      </c>
      <c r="N150" s="21">
        <v>22.6</v>
      </c>
      <c r="O150" s="24">
        <v>31.276201526653765</v>
      </c>
      <c r="P150" s="31">
        <v>-0.58449528470588241</v>
      </c>
      <c r="Q150" s="31">
        <v>-4.2660032117647066</v>
      </c>
      <c r="R150" s="26" t="s">
        <v>280</v>
      </c>
      <c r="S150" s="26"/>
      <c r="T150" s="71" t="s">
        <v>626</v>
      </c>
    </row>
    <row r="151" spans="1:20" s="14" customFormat="1">
      <c r="A151" s="26" t="s">
        <v>144</v>
      </c>
      <c r="B151" s="26">
        <v>21</v>
      </c>
      <c r="C151" s="26" t="s">
        <v>507</v>
      </c>
      <c r="D151" s="25">
        <v>42913</v>
      </c>
      <c r="E151" s="1">
        <f t="shared" si="6"/>
        <v>2017</v>
      </c>
      <c r="F151" s="1">
        <f t="shared" si="7"/>
        <v>6</v>
      </c>
      <c r="G151" s="4">
        <f t="shared" si="8"/>
        <v>27</v>
      </c>
      <c r="H151" s="6">
        <v>0.7368055555555556</v>
      </c>
      <c r="I151" s="22">
        <v>126.49875</v>
      </c>
      <c r="J151" s="22">
        <v>30.50085</v>
      </c>
      <c r="K151" s="27">
        <v>0</v>
      </c>
      <c r="L151" s="27">
        <v>0</v>
      </c>
      <c r="M151" s="27">
        <v>0</v>
      </c>
      <c r="N151" s="21">
        <v>23.4</v>
      </c>
      <c r="O151" s="24">
        <v>30.699003617452146</v>
      </c>
      <c r="P151" s="31">
        <v>-0.86085057411764698</v>
      </c>
      <c r="Q151" s="31">
        <v>-6.5629541152941169</v>
      </c>
      <c r="R151" s="26" t="s">
        <v>280</v>
      </c>
      <c r="S151" s="26"/>
      <c r="T151" s="71" t="s">
        <v>626</v>
      </c>
    </row>
    <row r="152" spans="1:20" s="14" customFormat="1">
      <c r="A152" s="26" t="s">
        <v>144</v>
      </c>
      <c r="B152" s="26">
        <v>22</v>
      </c>
      <c r="C152" s="26" t="s">
        <v>507</v>
      </c>
      <c r="D152" s="25">
        <v>42913</v>
      </c>
      <c r="E152" s="1">
        <f t="shared" si="6"/>
        <v>2017</v>
      </c>
      <c r="F152" s="1">
        <f t="shared" si="7"/>
        <v>6</v>
      </c>
      <c r="G152" s="4">
        <f t="shared" si="8"/>
        <v>27</v>
      </c>
      <c r="H152" s="6">
        <v>0.93194444444444446</v>
      </c>
      <c r="I152" s="22">
        <v>125.99848333333334</v>
      </c>
      <c r="J152" s="22">
        <v>30.999616666666665</v>
      </c>
      <c r="K152" s="27">
        <v>0</v>
      </c>
      <c r="L152" s="27">
        <v>0</v>
      </c>
      <c r="M152" s="27">
        <v>0</v>
      </c>
      <c r="N152" s="21">
        <v>23.4</v>
      </c>
      <c r="O152" s="24">
        <v>31.073914565927939</v>
      </c>
      <c r="P152" s="31">
        <v>-0.57835618352941154</v>
      </c>
      <c r="Q152" s="31">
        <v>-3.9973535788235299</v>
      </c>
      <c r="R152" s="26" t="s">
        <v>280</v>
      </c>
      <c r="S152" s="26"/>
      <c r="T152" s="71" t="s">
        <v>626</v>
      </c>
    </row>
    <row r="153" spans="1:20" s="14" customFormat="1">
      <c r="A153" s="26" t="s">
        <v>144</v>
      </c>
      <c r="B153" s="26">
        <v>23</v>
      </c>
      <c r="C153" s="26" t="s">
        <v>507</v>
      </c>
      <c r="D153" s="25">
        <v>42914</v>
      </c>
      <c r="E153" s="1">
        <f t="shared" si="6"/>
        <v>2017</v>
      </c>
      <c r="F153" s="1">
        <f t="shared" si="7"/>
        <v>6</v>
      </c>
      <c r="G153" s="4">
        <f t="shared" si="8"/>
        <v>28</v>
      </c>
      <c r="H153" s="6">
        <v>0.40763888888888888</v>
      </c>
      <c r="I153" s="22">
        <v>126.74951666666666</v>
      </c>
      <c r="J153" s="22">
        <v>31.750316666666667</v>
      </c>
      <c r="K153" s="27">
        <v>0</v>
      </c>
      <c r="L153" s="27">
        <v>0</v>
      </c>
      <c r="M153" s="27">
        <v>0</v>
      </c>
      <c r="N153" s="21">
        <v>24.1</v>
      </c>
      <c r="O153" s="24">
        <v>31.418240575734426</v>
      </c>
      <c r="P153" s="31">
        <v>-0.51847302117647009</v>
      </c>
      <c r="Q153" s="31">
        <v>-3.7222487929411763</v>
      </c>
      <c r="R153" s="26" t="s">
        <v>280</v>
      </c>
      <c r="S153" s="26"/>
      <c r="T153" s="71" t="s">
        <v>626</v>
      </c>
    </row>
    <row r="154" spans="1:20" s="14" customFormat="1">
      <c r="A154" s="26" t="s">
        <v>144</v>
      </c>
      <c r="B154" s="26" t="s">
        <v>268</v>
      </c>
      <c r="C154" s="26" t="s">
        <v>507</v>
      </c>
      <c r="D154" s="25">
        <v>42915</v>
      </c>
      <c r="E154" s="1">
        <f t="shared" si="6"/>
        <v>2017</v>
      </c>
      <c r="F154" s="1">
        <f t="shared" si="7"/>
        <v>6</v>
      </c>
      <c r="G154" s="4">
        <f t="shared" si="8"/>
        <v>29</v>
      </c>
      <c r="H154" s="6">
        <v>1.3888888888888889E-3</v>
      </c>
      <c r="I154" s="22">
        <v>127.24956666666665</v>
      </c>
      <c r="J154" s="22">
        <v>31.749916666666667</v>
      </c>
      <c r="K154" s="27">
        <v>0</v>
      </c>
      <c r="L154" s="27">
        <v>0</v>
      </c>
      <c r="M154" s="27">
        <v>0</v>
      </c>
      <c r="N154" s="21">
        <v>24.1</v>
      </c>
      <c r="O154" s="24">
        <v>31.510008429429501</v>
      </c>
      <c r="P154" s="31">
        <v>-0.3202027905882352</v>
      </c>
      <c r="Q154" s="31">
        <v>-2.4266650164705874</v>
      </c>
      <c r="R154" s="26" t="s">
        <v>280</v>
      </c>
      <c r="S154" s="26">
        <v>1</v>
      </c>
      <c r="T154" s="71" t="s">
        <v>626</v>
      </c>
    </row>
    <row r="155" spans="1:20" s="14" customFormat="1">
      <c r="A155" s="26" t="s">
        <v>144</v>
      </c>
      <c r="B155" s="26" t="s">
        <v>268</v>
      </c>
      <c r="C155" s="26" t="s">
        <v>507</v>
      </c>
      <c r="D155" s="25">
        <v>42915</v>
      </c>
      <c r="E155" s="1">
        <f t="shared" si="6"/>
        <v>2017</v>
      </c>
      <c r="F155" s="1">
        <f t="shared" si="7"/>
        <v>6</v>
      </c>
      <c r="G155" s="4">
        <f t="shared" si="8"/>
        <v>29</v>
      </c>
      <c r="H155" s="6">
        <v>1.3888888888888889E-3</v>
      </c>
      <c r="I155" s="22">
        <v>127.24956666666665</v>
      </c>
      <c r="J155" s="22">
        <v>31.749916666666667</v>
      </c>
      <c r="K155" s="27">
        <v>10</v>
      </c>
      <c r="L155" s="27">
        <v>10</v>
      </c>
      <c r="M155" s="27">
        <v>0</v>
      </c>
      <c r="N155" s="21">
        <v>23.2925</v>
      </c>
      <c r="O155" s="24">
        <v>33.491653199227024</v>
      </c>
      <c r="P155" s="31">
        <v>-1.6957519999999837E-2</v>
      </c>
      <c r="Q155" s="31">
        <v>-0.48735263999999923</v>
      </c>
      <c r="R155" s="26" t="s">
        <v>280</v>
      </c>
      <c r="S155" s="26">
        <v>1</v>
      </c>
      <c r="T155" s="71" t="s">
        <v>626</v>
      </c>
    </row>
    <row r="156" spans="1:20" s="14" customFormat="1">
      <c r="A156" s="26" t="s">
        <v>144</v>
      </c>
      <c r="B156" s="26" t="s">
        <v>268</v>
      </c>
      <c r="C156" s="26" t="s">
        <v>507</v>
      </c>
      <c r="D156" s="25">
        <v>42915</v>
      </c>
      <c r="E156" s="1">
        <f t="shared" si="6"/>
        <v>2017</v>
      </c>
      <c r="F156" s="1">
        <f t="shared" si="7"/>
        <v>6</v>
      </c>
      <c r="G156" s="4">
        <f t="shared" si="8"/>
        <v>29</v>
      </c>
      <c r="H156" s="6">
        <v>1.3888888888888889E-3</v>
      </c>
      <c r="I156" s="22">
        <v>127.24956666666665</v>
      </c>
      <c r="J156" s="22">
        <v>31.749916666666667</v>
      </c>
      <c r="K156" s="27">
        <v>20</v>
      </c>
      <c r="L156" s="27">
        <v>20</v>
      </c>
      <c r="M156" s="27">
        <v>0</v>
      </c>
      <c r="N156" s="21">
        <v>20.791</v>
      </c>
      <c r="O156" s="24">
        <v>34.051185418763474</v>
      </c>
      <c r="P156" s="31">
        <v>0.12414607058823579</v>
      </c>
      <c r="Q156" s="31">
        <v>0.3708484164705883</v>
      </c>
      <c r="R156" s="26" t="s">
        <v>280</v>
      </c>
      <c r="S156" s="26">
        <v>1</v>
      </c>
      <c r="T156" s="71" t="s">
        <v>626</v>
      </c>
    </row>
    <row r="157" spans="1:20" s="14" customFormat="1">
      <c r="A157" s="26" t="s">
        <v>144</v>
      </c>
      <c r="B157" s="26" t="s">
        <v>268</v>
      </c>
      <c r="C157" s="26" t="s">
        <v>507</v>
      </c>
      <c r="D157" s="25">
        <v>42915</v>
      </c>
      <c r="E157" s="1">
        <f t="shared" si="6"/>
        <v>2017</v>
      </c>
      <c r="F157" s="1">
        <f t="shared" si="7"/>
        <v>6</v>
      </c>
      <c r="G157" s="4">
        <f t="shared" si="8"/>
        <v>29</v>
      </c>
      <c r="H157" s="6">
        <v>1.3888888888888889E-3</v>
      </c>
      <c r="I157" s="22">
        <v>127.24956666666665</v>
      </c>
      <c r="J157" s="22">
        <v>31.749916666666667</v>
      </c>
      <c r="K157" s="27">
        <v>30</v>
      </c>
      <c r="L157" s="27">
        <v>30</v>
      </c>
      <c r="M157" s="27">
        <v>0</v>
      </c>
      <c r="N157" s="21">
        <v>20.930700000000002</v>
      </c>
      <c r="O157" s="24">
        <v>34.488633070026012</v>
      </c>
      <c r="P157" s="31">
        <v>0.20381078117647067</v>
      </c>
      <c r="Q157" s="31">
        <v>1.3031223529411768</v>
      </c>
      <c r="R157" s="26" t="s">
        <v>280</v>
      </c>
      <c r="S157" s="26">
        <v>1</v>
      </c>
      <c r="T157" s="71" t="s">
        <v>626</v>
      </c>
    </row>
    <row r="158" spans="1:20" s="14" customFormat="1">
      <c r="A158" s="26" t="s">
        <v>144</v>
      </c>
      <c r="B158" s="26" t="s">
        <v>268</v>
      </c>
      <c r="C158" s="26" t="s">
        <v>507</v>
      </c>
      <c r="D158" s="25">
        <v>42915</v>
      </c>
      <c r="E158" s="1">
        <f t="shared" si="6"/>
        <v>2017</v>
      </c>
      <c r="F158" s="1">
        <f t="shared" si="7"/>
        <v>6</v>
      </c>
      <c r="G158" s="4">
        <f t="shared" si="8"/>
        <v>29</v>
      </c>
      <c r="H158" s="6">
        <v>1.3888888888888889E-3</v>
      </c>
      <c r="I158" s="22">
        <v>127.24956666666665</v>
      </c>
      <c r="J158" s="22">
        <v>31.749916666666667</v>
      </c>
      <c r="K158" s="27">
        <v>50</v>
      </c>
      <c r="L158" s="27">
        <v>50</v>
      </c>
      <c r="M158" s="27">
        <v>0</v>
      </c>
      <c r="N158" s="21">
        <v>19.640699999999999</v>
      </c>
      <c r="O158" s="24">
        <v>34.701618063288237</v>
      </c>
      <c r="P158" s="31">
        <v>0.27920325176470584</v>
      </c>
      <c r="Q158" s="31">
        <v>1.5759908894117629</v>
      </c>
      <c r="R158" s="26" t="s">
        <v>280</v>
      </c>
      <c r="S158" s="26">
        <v>1</v>
      </c>
      <c r="T158" s="71" t="s">
        <v>626</v>
      </c>
    </row>
    <row r="159" spans="1:20" s="14" customFormat="1">
      <c r="A159" s="26" t="s">
        <v>144</v>
      </c>
      <c r="B159" s="26" t="s">
        <v>268</v>
      </c>
      <c r="C159" s="26" t="s">
        <v>507</v>
      </c>
      <c r="D159" s="25">
        <v>42915</v>
      </c>
      <c r="E159" s="1">
        <f t="shared" si="6"/>
        <v>2017</v>
      </c>
      <c r="F159" s="1">
        <f t="shared" si="7"/>
        <v>6</v>
      </c>
      <c r="G159" s="4">
        <f t="shared" si="8"/>
        <v>29</v>
      </c>
      <c r="H159" s="6">
        <v>1.3888888888888889E-3</v>
      </c>
      <c r="I159" s="22">
        <v>127.24956666666665</v>
      </c>
      <c r="J159" s="22">
        <v>31.749916666666667</v>
      </c>
      <c r="K159" s="27">
        <v>75</v>
      </c>
      <c r="L159" s="27">
        <v>75</v>
      </c>
      <c r="M159" s="27">
        <v>0</v>
      </c>
      <c r="N159" s="21">
        <v>17.8504</v>
      </c>
      <c r="O159" s="24">
        <v>34.429930192902326</v>
      </c>
      <c r="P159" s="31">
        <v>0.18268892235294154</v>
      </c>
      <c r="Q159" s="31">
        <v>1.1437953458823529</v>
      </c>
      <c r="R159" s="26" t="s">
        <v>280</v>
      </c>
      <c r="S159" s="26">
        <v>1</v>
      </c>
      <c r="T159" s="71" t="s">
        <v>626</v>
      </c>
    </row>
    <row r="160" spans="1:20" s="14" customFormat="1">
      <c r="A160" s="26" t="s">
        <v>144</v>
      </c>
      <c r="B160" s="26" t="s">
        <v>268</v>
      </c>
      <c r="C160" s="26" t="s">
        <v>507</v>
      </c>
      <c r="D160" s="25">
        <v>42915</v>
      </c>
      <c r="E160" s="1">
        <f t="shared" si="6"/>
        <v>2017</v>
      </c>
      <c r="F160" s="1">
        <f t="shared" si="7"/>
        <v>6</v>
      </c>
      <c r="G160" s="4">
        <f t="shared" si="8"/>
        <v>29</v>
      </c>
      <c r="H160" s="6">
        <v>1.3888888888888889E-3</v>
      </c>
      <c r="I160" s="22">
        <v>127.24956666666665</v>
      </c>
      <c r="J160" s="22">
        <v>31.749916666666667</v>
      </c>
      <c r="K160" s="27">
        <v>100</v>
      </c>
      <c r="L160" s="27">
        <v>100</v>
      </c>
      <c r="M160" s="27">
        <v>0</v>
      </c>
      <c r="N160" s="21">
        <v>14.704000000000001</v>
      </c>
      <c r="O160" s="24">
        <v>34.301151747016476</v>
      </c>
      <c r="P160" s="31">
        <v>0.15595451294117635</v>
      </c>
      <c r="Q160" s="31">
        <v>0.70611292235294165</v>
      </c>
      <c r="R160" s="26" t="s">
        <v>280</v>
      </c>
      <c r="S160" s="26">
        <v>1</v>
      </c>
      <c r="T160" s="71" t="s">
        <v>626</v>
      </c>
    </row>
    <row r="161" spans="1:20" s="14" customFormat="1">
      <c r="A161" s="26" t="s">
        <v>144</v>
      </c>
      <c r="B161" s="26" t="s">
        <v>268</v>
      </c>
      <c r="C161" s="26" t="s">
        <v>507</v>
      </c>
      <c r="D161" s="25">
        <v>42915</v>
      </c>
      <c r="E161" s="1">
        <f t="shared" si="6"/>
        <v>2017</v>
      </c>
      <c r="F161" s="1">
        <f t="shared" si="7"/>
        <v>6</v>
      </c>
      <c r="G161" s="4">
        <f t="shared" si="8"/>
        <v>29</v>
      </c>
      <c r="H161" s="6">
        <v>1.3888888888888889E-3</v>
      </c>
      <c r="I161" s="22">
        <v>127.24956666666665</v>
      </c>
      <c r="J161" s="22">
        <v>31.749916666666667</v>
      </c>
      <c r="K161" s="27">
        <v>122</v>
      </c>
      <c r="L161" s="27">
        <v>122</v>
      </c>
      <c r="M161" s="27">
        <v>0</v>
      </c>
      <c r="N161" s="21">
        <v>14.5358</v>
      </c>
      <c r="O161" s="24">
        <v>34.36515999789394</v>
      </c>
      <c r="P161" s="31">
        <v>0.15921327647058803</v>
      </c>
      <c r="Q161" s="31">
        <v>0.73151981411764666</v>
      </c>
      <c r="R161" s="26" t="s">
        <v>280</v>
      </c>
      <c r="S161" s="26">
        <v>1</v>
      </c>
      <c r="T161" s="71" t="s">
        <v>626</v>
      </c>
    </row>
    <row r="162" spans="1:20" s="14" customFormat="1">
      <c r="A162" s="26" t="s">
        <v>144</v>
      </c>
      <c r="B162" s="26">
        <v>27</v>
      </c>
      <c r="C162" s="26" t="s">
        <v>507</v>
      </c>
      <c r="D162" s="25">
        <v>42915</v>
      </c>
      <c r="E162" s="1">
        <f t="shared" si="6"/>
        <v>2017</v>
      </c>
      <c r="F162" s="1">
        <f t="shared" si="7"/>
        <v>6</v>
      </c>
      <c r="G162" s="4">
        <f t="shared" si="8"/>
        <v>29</v>
      </c>
      <c r="H162" s="6">
        <v>0.85902777777777783</v>
      </c>
      <c r="I162" s="22">
        <v>127.75023333333334</v>
      </c>
      <c r="J162" s="22">
        <v>31.750133333333334</v>
      </c>
      <c r="K162" s="27">
        <v>0</v>
      </c>
      <c r="L162" s="27">
        <v>0</v>
      </c>
      <c r="M162" s="27">
        <v>0</v>
      </c>
      <c r="N162" s="21">
        <v>24.3</v>
      </c>
      <c r="O162" s="24">
        <v>32.342976493763167</v>
      </c>
      <c r="P162" s="31">
        <v>-0.33455458823529405</v>
      </c>
      <c r="Q162" s="31">
        <v>-2.5100141670588236</v>
      </c>
      <c r="R162" s="26" t="s">
        <v>280</v>
      </c>
      <c r="S162" s="26"/>
      <c r="T162" s="71" t="s">
        <v>626</v>
      </c>
    </row>
    <row r="163" spans="1:20" s="14" customFormat="1">
      <c r="A163" s="26" t="s">
        <v>144</v>
      </c>
      <c r="B163" s="26">
        <v>29</v>
      </c>
      <c r="C163" s="26" t="s">
        <v>507</v>
      </c>
      <c r="D163" s="25">
        <v>42915</v>
      </c>
      <c r="E163" s="1">
        <f t="shared" si="6"/>
        <v>2017</v>
      </c>
      <c r="F163" s="1">
        <f t="shared" si="7"/>
        <v>6</v>
      </c>
      <c r="G163" s="4">
        <f t="shared" si="8"/>
        <v>29</v>
      </c>
      <c r="H163" s="6">
        <v>0.99444444444444446</v>
      </c>
      <c r="I163" s="22">
        <v>128.25238333333334</v>
      </c>
      <c r="J163" s="22">
        <v>31.741383333333332</v>
      </c>
      <c r="K163" s="27">
        <v>0</v>
      </c>
      <c r="L163" s="27">
        <v>0</v>
      </c>
      <c r="M163" s="27">
        <v>0</v>
      </c>
      <c r="N163" s="21">
        <v>25.1</v>
      </c>
      <c r="O163" s="24">
        <v>33.79163201713564</v>
      </c>
      <c r="P163" s="31">
        <v>-3.1277529411768423E-3</v>
      </c>
      <c r="Q163" s="31">
        <v>-5.1806428235293467E-2</v>
      </c>
      <c r="R163" s="26" t="s">
        <v>280</v>
      </c>
      <c r="S163" s="26"/>
      <c r="T163" s="71" t="s">
        <v>626</v>
      </c>
    </row>
    <row r="164" spans="1:20" s="14" customFormat="1">
      <c r="A164" s="26" t="s">
        <v>144</v>
      </c>
      <c r="B164" s="26" t="s">
        <v>269</v>
      </c>
      <c r="C164" s="26" t="s">
        <v>507</v>
      </c>
      <c r="D164" s="25">
        <v>42917</v>
      </c>
      <c r="E164" s="1">
        <f t="shared" si="6"/>
        <v>2017</v>
      </c>
      <c r="F164" s="1">
        <f t="shared" si="7"/>
        <v>7</v>
      </c>
      <c r="G164" s="4">
        <f t="shared" si="8"/>
        <v>1</v>
      </c>
      <c r="H164" s="6">
        <v>0</v>
      </c>
      <c r="I164" s="22">
        <v>128.75143333333335</v>
      </c>
      <c r="J164" s="22">
        <v>31.748983333333335</v>
      </c>
      <c r="K164" s="27">
        <v>0</v>
      </c>
      <c r="L164" s="27">
        <v>0</v>
      </c>
      <c r="M164" s="27">
        <v>0</v>
      </c>
      <c r="N164" s="21">
        <v>25</v>
      </c>
      <c r="O164" s="24">
        <v>33.702172353922279</v>
      </c>
      <c r="P164" s="31">
        <v>2.2332582352941222E-2</v>
      </c>
      <c r="Q164" s="31">
        <v>0.10093855058823564</v>
      </c>
      <c r="R164" s="26" t="s">
        <v>280</v>
      </c>
      <c r="S164" s="26">
        <v>1</v>
      </c>
      <c r="T164" s="71" t="s">
        <v>626</v>
      </c>
    </row>
    <row r="165" spans="1:20" s="14" customFormat="1">
      <c r="A165" s="26" t="s">
        <v>144</v>
      </c>
      <c r="B165" s="26" t="s">
        <v>269</v>
      </c>
      <c r="C165" s="26" t="s">
        <v>507</v>
      </c>
      <c r="D165" s="25">
        <v>42917</v>
      </c>
      <c r="E165" s="1">
        <f t="shared" si="6"/>
        <v>2017</v>
      </c>
      <c r="F165" s="1">
        <f t="shared" si="7"/>
        <v>7</v>
      </c>
      <c r="G165" s="4">
        <f t="shared" si="8"/>
        <v>1</v>
      </c>
      <c r="H165" s="6">
        <v>0</v>
      </c>
      <c r="I165" s="22">
        <v>128.75143333333335</v>
      </c>
      <c r="J165" s="22">
        <v>31.748983333333335</v>
      </c>
      <c r="K165" s="27">
        <v>10</v>
      </c>
      <c r="L165" s="27">
        <v>10</v>
      </c>
      <c r="M165" s="27">
        <v>0</v>
      </c>
      <c r="N165" s="21">
        <v>25.180399999999999</v>
      </c>
      <c r="O165" s="24">
        <v>33.834787933467894</v>
      </c>
      <c r="P165" s="31">
        <v>7.5035117647058724E-2</v>
      </c>
      <c r="Q165" s="31">
        <v>0.33104936941176533</v>
      </c>
      <c r="R165" s="26" t="s">
        <v>280</v>
      </c>
      <c r="S165" s="26">
        <v>1</v>
      </c>
      <c r="T165" s="71" t="s">
        <v>626</v>
      </c>
    </row>
    <row r="166" spans="1:20" s="14" customFormat="1">
      <c r="A166" s="26" t="s">
        <v>144</v>
      </c>
      <c r="B166" s="26" t="s">
        <v>269</v>
      </c>
      <c r="C166" s="26" t="s">
        <v>507</v>
      </c>
      <c r="D166" s="25">
        <v>42917</v>
      </c>
      <c r="E166" s="1">
        <f t="shared" si="6"/>
        <v>2017</v>
      </c>
      <c r="F166" s="1">
        <f t="shared" si="7"/>
        <v>7</v>
      </c>
      <c r="G166" s="4">
        <f t="shared" si="8"/>
        <v>1</v>
      </c>
      <c r="H166" s="6">
        <v>0</v>
      </c>
      <c r="I166" s="22">
        <v>128.75143333333335</v>
      </c>
      <c r="J166" s="22">
        <v>31.748983333333335</v>
      </c>
      <c r="K166" s="27">
        <v>20</v>
      </c>
      <c r="L166" s="27">
        <v>20</v>
      </c>
      <c r="M166" s="27">
        <v>0</v>
      </c>
      <c r="N166" s="21">
        <v>23.770499999999998</v>
      </c>
      <c r="O166" s="24">
        <v>33.911288200653665</v>
      </c>
      <c r="P166" s="31">
        <v>0.11696275294117631</v>
      </c>
      <c r="Q166" s="31">
        <v>0.5819743482352937</v>
      </c>
      <c r="R166" s="26" t="s">
        <v>280</v>
      </c>
      <c r="S166" s="26">
        <v>1</v>
      </c>
      <c r="T166" s="71" t="s">
        <v>626</v>
      </c>
    </row>
    <row r="167" spans="1:20" s="14" customFormat="1">
      <c r="A167" s="26" t="s">
        <v>144</v>
      </c>
      <c r="B167" s="26" t="s">
        <v>269</v>
      </c>
      <c r="C167" s="26" t="s">
        <v>507</v>
      </c>
      <c r="D167" s="25">
        <v>42917</v>
      </c>
      <c r="E167" s="1">
        <f t="shared" si="6"/>
        <v>2017</v>
      </c>
      <c r="F167" s="1">
        <f t="shared" si="7"/>
        <v>7</v>
      </c>
      <c r="G167" s="4">
        <f t="shared" si="8"/>
        <v>1</v>
      </c>
      <c r="H167" s="6">
        <v>0</v>
      </c>
      <c r="I167" s="22">
        <v>128.75143333333335</v>
      </c>
      <c r="J167" s="22">
        <v>31.748983333333335</v>
      </c>
      <c r="K167" s="27">
        <v>30</v>
      </c>
      <c r="L167" s="27">
        <v>30</v>
      </c>
      <c r="M167" s="27">
        <v>0</v>
      </c>
      <c r="N167" s="21">
        <v>22.718399999999999</v>
      </c>
      <c r="O167" s="24">
        <v>33.95353765290114</v>
      </c>
      <c r="P167" s="31">
        <v>8.3669388235293907E-2</v>
      </c>
      <c r="Q167" s="31">
        <v>0.46727700705882214</v>
      </c>
      <c r="R167" s="26" t="s">
        <v>280</v>
      </c>
      <c r="S167" s="26">
        <v>1</v>
      </c>
      <c r="T167" s="71" t="s">
        <v>626</v>
      </c>
    </row>
    <row r="168" spans="1:20" s="14" customFormat="1">
      <c r="A168" s="26" t="s">
        <v>144</v>
      </c>
      <c r="B168" s="26" t="s">
        <v>269</v>
      </c>
      <c r="C168" s="26" t="s">
        <v>507</v>
      </c>
      <c r="D168" s="25">
        <v>42917</v>
      </c>
      <c r="E168" s="1">
        <f t="shared" si="6"/>
        <v>2017</v>
      </c>
      <c r="F168" s="1">
        <f t="shared" si="7"/>
        <v>7</v>
      </c>
      <c r="G168" s="4">
        <f t="shared" si="8"/>
        <v>1</v>
      </c>
      <c r="H168" s="6">
        <v>0</v>
      </c>
      <c r="I168" s="22">
        <v>128.75143333333335</v>
      </c>
      <c r="J168" s="22">
        <v>31.748983333333335</v>
      </c>
      <c r="K168" s="27">
        <v>50</v>
      </c>
      <c r="L168" s="27">
        <v>50</v>
      </c>
      <c r="M168" s="27">
        <v>0</v>
      </c>
      <c r="N168" s="21">
        <v>20.7514</v>
      </c>
      <c r="O168" s="24">
        <v>34.120225162635641</v>
      </c>
      <c r="P168" s="31">
        <v>0.11913327941176455</v>
      </c>
      <c r="Q168" s="31">
        <v>0.87112984901960822</v>
      </c>
      <c r="R168" s="26" t="s">
        <v>280</v>
      </c>
      <c r="S168" s="26">
        <v>1</v>
      </c>
      <c r="T168" s="71" t="s">
        <v>626</v>
      </c>
    </row>
    <row r="169" spans="1:20" s="14" customFormat="1">
      <c r="A169" s="26" t="s">
        <v>144</v>
      </c>
      <c r="B169" s="26" t="s">
        <v>269</v>
      </c>
      <c r="C169" s="26" t="s">
        <v>507</v>
      </c>
      <c r="D169" s="25">
        <v>42917</v>
      </c>
      <c r="E169" s="1">
        <f t="shared" si="6"/>
        <v>2017</v>
      </c>
      <c r="F169" s="1">
        <f t="shared" si="7"/>
        <v>7</v>
      </c>
      <c r="G169" s="4">
        <f t="shared" si="8"/>
        <v>1</v>
      </c>
      <c r="H169" s="6">
        <v>0</v>
      </c>
      <c r="I169" s="22">
        <v>128.75143333333335</v>
      </c>
      <c r="J169" s="22">
        <v>31.748983333333335</v>
      </c>
      <c r="K169" s="27">
        <v>75</v>
      </c>
      <c r="L169" s="27">
        <v>75</v>
      </c>
      <c r="M169" s="27">
        <v>0</v>
      </c>
      <c r="N169" s="21">
        <v>19.7667</v>
      </c>
      <c r="O169" s="24">
        <v>34.621553982221947</v>
      </c>
      <c r="P169" s="31">
        <v>0.22560866470588237</v>
      </c>
      <c r="Q169" s="31">
        <v>1.6150820611764711</v>
      </c>
      <c r="R169" s="26" t="s">
        <v>280</v>
      </c>
      <c r="S169" s="26">
        <v>1</v>
      </c>
      <c r="T169" s="71" t="s">
        <v>626</v>
      </c>
    </row>
    <row r="170" spans="1:20" s="14" customFormat="1">
      <c r="A170" s="26" t="s">
        <v>144</v>
      </c>
      <c r="B170" s="26" t="s">
        <v>269</v>
      </c>
      <c r="C170" s="26" t="s">
        <v>507</v>
      </c>
      <c r="D170" s="25">
        <v>42917</v>
      </c>
      <c r="E170" s="1">
        <f t="shared" si="6"/>
        <v>2017</v>
      </c>
      <c r="F170" s="1">
        <f t="shared" si="7"/>
        <v>7</v>
      </c>
      <c r="G170" s="4">
        <f t="shared" si="8"/>
        <v>1</v>
      </c>
      <c r="H170" s="6">
        <v>0</v>
      </c>
      <c r="I170" s="22">
        <v>128.75143333333335</v>
      </c>
      <c r="J170" s="22">
        <v>31.748983333333335</v>
      </c>
      <c r="K170" s="27">
        <v>100</v>
      </c>
      <c r="L170" s="27">
        <v>100</v>
      </c>
      <c r="M170" s="27">
        <v>0</v>
      </c>
      <c r="N170" s="21">
        <v>18.6218</v>
      </c>
      <c r="O170" s="24">
        <v>34.660011755128934</v>
      </c>
      <c r="P170" s="31">
        <v>0.27973429999999944</v>
      </c>
      <c r="Q170" s="31">
        <v>1.6904611999999997</v>
      </c>
      <c r="R170" s="26" t="s">
        <v>280</v>
      </c>
      <c r="S170" s="26">
        <v>1</v>
      </c>
      <c r="T170" s="71" t="s">
        <v>626</v>
      </c>
    </row>
    <row r="171" spans="1:20" s="14" customFormat="1">
      <c r="A171" s="26" t="s">
        <v>144</v>
      </c>
      <c r="B171" s="26" t="s">
        <v>269</v>
      </c>
      <c r="C171" s="26" t="s">
        <v>507</v>
      </c>
      <c r="D171" s="25">
        <v>42917</v>
      </c>
      <c r="E171" s="1">
        <f t="shared" si="6"/>
        <v>2017</v>
      </c>
      <c r="F171" s="1">
        <f t="shared" si="7"/>
        <v>7</v>
      </c>
      <c r="G171" s="4">
        <f t="shared" si="8"/>
        <v>1</v>
      </c>
      <c r="H171" s="6">
        <v>0</v>
      </c>
      <c r="I171" s="22">
        <v>128.75143333333335</v>
      </c>
      <c r="J171" s="22">
        <v>31.748983333333335</v>
      </c>
      <c r="K171" s="27">
        <v>125</v>
      </c>
      <c r="L171" s="27">
        <v>125</v>
      </c>
      <c r="M171" s="27">
        <v>0</v>
      </c>
      <c r="N171" s="21">
        <v>17.142600000000002</v>
      </c>
      <c r="O171" s="24">
        <v>34.644044093335211</v>
      </c>
      <c r="P171" s="31">
        <v>0.26555113529411756</v>
      </c>
      <c r="Q171" s="31">
        <v>1.6140540588235304</v>
      </c>
      <c r="R171" s="26" t="s">
        <v>280</v>
      </c>
      <c r="S171" s="26">
        <v>1</v>
      </c>
      <c r="T171" s="71" t="s">
        <v>626</v>
      </c>
    </row>
    <row r="172" spans="1:20" s="14" customFormat="1">
      <c r="A172" s="26" t="s">
        <v>144</v>
      </c>
      <c r="B172" s="26" t="s">
        <v>269</v>
      </c>
      <c r="C172" s="26" t="s">
        <v>507</v>
      </c>
      <c r="D172" s="25">
        <v>42917</v>
      </c>
      <c r="E172" s="1">
        <f t="shared" si="6"/>
        <v>2017</v>
      </c>
      <c r="F172" s="1">
        <f t="shared" si="7"/>
        <v>7</v>
      </c>
      <c r="G172" s="4">
        <f t="shared" si="8"/>
        <v>1</v>
      </c>
      <c r="H172" s="6">
        <v>0</v>
      </c>
      <c r="I172" s="22">
        <v>128.75143333333335</v>
      </c>
      <c r="J172" s="22">
        <v>31.748983333333335</v>
      </c>
      <c r="K172" s="27">
        <v>150</v>
      </c>
      <c r="L172" s="27">
        <v>150</v>
      </c>
      <c r="M172" s="27">
        <v>0</v>
      </c>
      <c r="N172" s="21">
        <v>16.0746</v>
      </c>
      <c r="O172" s="24">
        <v>34.626702342062472</v>
      </c>
      <c r="P172" s="31">
        <v>0.25096137058823498</v>
      </c>
      <c r="Q172" s="31">
        <v>1.3049603176470601</v>
      </c>
      <c r="R172" s="26" t="s">
        <v>280</v>
      </c>
      <c r="S172" s="26">
        <v>1</v>
      </c>
      <c r="T172" s="71" t="s">
        <v>626</v>
      </c>
    </row>
    <row r="173" spans="1:20" s="14" customFormat="1">
      <c r="A173" s="26" t="s">
        <v>144</v>
      </c>
      <c r="B173" s="26" t="s">
        <v>269</v>
      </c>
      <c r="C173" s="26" t="s">
        <v>507</v>
      </c>
      <c r="D173" s="25">
        <v>42917</v>
      </c>
      <c r="E173" s="1">
        <f t="shared" si="6"/>
        <v>2017</v>
      </c>
      <c r="F173" s="1">
        <f t="shared" si="7"/>
        <v>7</v>
      </c>
      <c r="G173" s="4">
        <f t="shared" si="8"/>
        <v>1</v>
      </c>
      <c r="H173" s="6">
        <v>0</v>
      </c>
      <c r="I173" s="22">
        <v>128.75143333333335</v>
      </c>
      <c r="J173" s="22">
        <v>31.748983333333335</v>
      </c>
      <c r="K173" s="27">
        <v>200</v>
      </c>
      <c r="L173" s="27">
        <v>200</v>
      </c>
      <c r="M173" s="27">
        <v>0</v>
      </c>
      <c r="N173" s="21">
        <v>14.614000000000001</v>
      </c>
      <c r="O173" s="24">
        <v>34.570370089194341</v>
      </c>
      <c r="P173" s="31">
        <v>0.18920600588235259</v>
      </c>
      <c r="Q173" s="31">
        <v>1.0869776164705893</v>
      </c>
      <c r="R173" s="26" t="s">
        <v>280</v>
      </c>
      <c r="S173" s="26">
        <v>1</v>
      </c>
      <c r="T173" s="71" t="s">
        <v>626</v>
      </c>
    </row>
    <row r="174" spans="1:20" s="14" customFormat="1">
      <c r="A174" s="26" t="s">
        <v>144</v>
      </c>
      <c r="B174" s="26" t="s">
        <v>269</v>
      </c>
      <c r="C174" s="26" t="s">
        <v>507</v>
      </c>
      <c r="D174" s="25">
        <v>42917</v>
      </c>
      <c r="E174" s="1">
        <f t="shared" si="6"/>
        <v>2017</v>
      </c>
      <c r="F174" s="1">
        <f t="shared" si="7"/>
        <v>7</v>
      </c>
      <c r="G174" s="4">
        <f t="shared" si="8"/>
        <v>1</v>
      </c>
      <c r="H174" s="6">
        <v>0</v>
      </c>
      <c r="I174" s="22">
        <v>128.75143333333335</v>
      </c>
      <c r="J174" s="22">
        <v>31.748983333333335</v>
      </c>
      <c r="K174" s="27">
        <v>300</v>
      </c>
      <c r="L174" s="27">
        <v>300</v>
      </c>
      <c r="M174" s="27">
        <v>0</v>
      </c>
      <c r="N174" s="21">
        <v>12.0878</v>
      </c>
      <c r="O174" s="24">
        <v>34.456819770669519</v>
      </c>
      <c r="P174" s="31">
        <v>0.16865277450980409</v>
      </c>
      <c r="Q174" s="31">
        <v>0.64750083529411739</v>
      </c>
      <c r="R174" s="26" t="s">
        <v>280</v>
      </c>
      <c r="S174" s="26">
        <v>1</v>
      </c>
      <c r="T174" s="71" t="s">
        <v>626</v>
      </c>
    </row>
    <row r="175" spans="1:20" s="14" customFormat="1">
      <c r="A175" s="26" t="s">
        <v>144</v>
      </c>
      <c r="B175" s="26" t="s">
        <v>269</v>
      </c>
      <c r="C175" s="26" t="s">
        <v>507</v>
      </c>
      <c r="D175" s="25">
        <v>42917</v>
      </c>
      <c r="E175" s="1">
        <f t="shared" si="6"/>
        <v>2017</v>
      </c>
      <c r="F175" s="1">
        <f t="shared" si="7"/>
        <v>7</v>
      </c>
      <c r="G175" s="4">
        <f t="shared" si="8"/>
        <v>1</v>
      </c>
      <c r="H175" s="6">
        <v>0</v>
      </c>
      <c r="I175" s="22">
        <v>128.75143333333335</v>
      </c>
      <c r="J175" s="22">
        <v>31.748983333333335</v>
      </c>
      <c r="K175" s="27">
        <v>500</v>
      </c>
      <c r="L175" s="27">
        <v>500</v>
      </c>
      <c r="M175" s="27">
        <v>0</v>
      </c>
      <c r="N175" s="21">
        <v>7.7553999999999998</v>
      </c>
      <c r="O175" s="24">
        <v>34.346468130610468</v>
      </c>
      <c r="P175" s="31">
        <v>-5.0998923529411933E-2</v>
      </c>
      <c r="Q175" s="31">
        <v>-0.59096478588235257</v>
      </c>
      <c r="R175" s="26" t="s">
        <v>280</v>
      </c>
      <c r="S175" s="26">
        <v>1</v>
      </c>
      <c r="T175" s="71" t="s">
        <v>626</v>
      </c>
    </row>
    <row r="176" spans="1:20" s="14" customFormat="1">
      <c r="A176" s="26" t="s">
        <v>144</v>
      </c>
      <c r="B176" s="26">
        <v>33</v>
      </c>
      <c r="C176" s="26" t="s">
        <v>507</v>
      </c>
      <c r="D176" s="25">
        <v>42917</v>
      </c>
      <c r="E176" s="1">
        <f t="shared" si="6"/>
        <v>2017</v>
      </c>
      <c r="F176" s="1">
        <f t="shared" si="7"/>
        <v>7</v>
      </c>
      <c r="G176" s="4">
        <f t="shared" si="8"/>
        <v>1</v>
      </c>
      <c r="H176" s="6">
        <v>0.4145833333333333</v>
      </c>
      <c r="I176" s="22">
        <v>129.24976666666666</v>
      </c>
      <c r="J176" s="22">
        <v>31.749083333333331</v>
      </c>
      <c r="K176" s="27">
        <v>0</v>
      </c>
      <c r="L176" s="27">
        <v>0</v>
      </c>
      <c r="M176" s="27">
        <v>0</v>
      </c>
      <c r="N176" s="21">
        <v>25.6</v>
      </c>
      <c r="O176" s="24">
        <v>34.036464443453646</v>
      </c>
      <c r="P176" s="31">
        <v>0.12131195411764728</v>
      </c>
      <c r="Q176" s="31">
        <v>0.14862355882353029</v>
      </c>
      <c r="R176" s="26" t="s">
        <v>280</v>
      </c>
      <c r="S176" s="26"/>
      <c r="T176" s="71" t="s">
        <v>626</v>
      </c>
    </row>
    <row r="177" spans="1:20" s="14" customFormat="1">
      <c r="A177" s="26" t="s">
        <v>144</v>
      </c>
      <c r="B177" s="26">
        <v>35</v>
      </c>
      <c r="C177" s="26" t="s">
        <v>507</v>
      </c>
      <c r="D177" s="25">
        <v>42917</v>
      </c>
      <c r="E177" s="1">
        <f t="shared" si="6"/>
        <v>2017</v>
      </c>
      <c r="F177" s="1">
        <f t="shared" si="7"/>
        <v>7</v>
      </c>
      <c r="G177" s="4">
        <f t="shared" si="8"/>
        <v>1</v>
      </c>
      <c r="H177" s="6">
        <v>0.58472222222222225</v>
      </c>
      <c r="I177" s="22">
        <v>129.66651666666667</v>
      </c>
      <c r="J177" s="22">
        <v>31.750250000000001</v>
      </c>
      <c r="K177" s="27">
        <v>0</v>
      </c>
      <c r="L177" s="27">
        <v>0</v>
      </c>
      <c r="M177" s="27">
        <v>0</v>
      </c>
      <c r="N177" s="21">
        <v>24.3</v>
      </c>
      <c r="O177" s="24">
        <v>33.895444019565545</v>
      </c>
      <c r="P177" s="31">
        <v>0.13670327294117657</v>
      </c>
      <c r="Q177" s="31">
        <v>0.12455235058823533</v>
      </c>
      <c r="R177" s="26" t="s">
        <v>280</v>
      </c>
      <c r="S177" s="26"/>
      <c r="T177" s="71" t="s">
        <v>626</v>
      </c>
    </row>
    <row r="178" spans="1:20" s="14" customFormat="1">
      <c r="A178" s="1" t="s">
        <v>288</v>
      </c>
      <c r="B178" s="1">
        <v>73</v>
      </c>
      <c r="C178" s="1" t="s">
        <v>507</v>
      </c>
      <c r="D178" s="5">
        <v>43217</v>
      </c>
      <c r="E178" s="1">
        <f t="shared" si="6"/>
        <v>2018</v>
      </c>
      <c r="F178" s="1">
        <f t="shared" si="7"/>
        <v>4</v>
      </c>
      <c r="G178" s="4">
        <f t="shared" si="8"/>
        <v>27</v>
      </c>
      <c r="H178" s="8">
        <v>0.43541666666666662</v>
      </c>
      <c r="I178" s="11">
        <v>126.72799999999999</v>
      </c>
      <c r="J178" s="11">
        <v>31.703166666666601</v>
      </c>
      <c r="K178" s="9">
        <v>5</v>
      </c>
      <c r="L178" s="9">
        <v>5</v>
      </c>
      <c r="M178" s="9">
        <v>0</v>
      </c>
      <c r="N178" s="12">
        <v>17.515000000000001</v>
      </c>
      <c r="O178" s="11">
        <v>34.3081866666666</v>
      </c>
      <c r="P178" s="31">
        <v>0.32161552117647108</v>
      </c>
      <c r="Q178" s="31">
        <v>1.1108187058823535</v>
      </c>
      <c r="R178" s="26" t="s">
        <v>280</v>
      </c>
      <c r="S178" s="26"/>
      <c r="T178" s="71" t="s">
        <v>626</v>
      </c>
    </row>
    <row r="179" spans="1:20" s="14" customFormat="1">
      <c r="A179" s="1" t="s">
        <v>288</v>
      </c>
      <c r="B179" s="1">
        <v>74</v>
      </c>
      <c r="C179" s="1" t="s">
        <v>507</v>
      </c>
      <c r="D179" s="5">
        <v>43217</v>
      </c>
      <c r="E179" s="1">
        <f t="shared" si="6"/>
        <v>2018</v>
      </c>
      <c r="F179" s="1">
        <f t="shared" si="7"/>
        <v>4</v>
      </c>
      <c r="G179" s="4">
        <f t="shared" si="8"/>
        <v>27</v>
      </c>
      <c r="H179" s="8">
        <v>0.59583333333333333</v>
      </c>
      <c r="I179" s="11">
        <v>127.191</v>
      </c>
      <c r="J179" s="11">
        <v>31.748999999999999</v>
      </c>
      <c r="K179" s="9">
        <v>5</v>
      </c>
      <c r="L179" s="9">
        <v>5</v>
      </c>
      <c r="M179" s="9">
        <v>0</v>
      </c>
      <c r="N179" s="12">
        <v>18.758333333333301</v>
      </c>
      <c r="O179" s="11">
        <v>34.346020000000003</v>
      </c>
      <c r="P179" s="31">
        <v>0.26648417176470596</v>
      </c>
      <c r="Q179" s="31">
        <v>1.2070350588235303</v>
      </c>
      <c r="R179" s="26" t="s">
        <v>280</v>
      </c>
      <c r="S179" s="26"/>
      <c r="T179" s="71" t="s">
        <v>626</v>
      </c>
    </row>
    <row r="180" spans="1:20" s="14" customFormat="1">
      <c r="A180" s="1" t="s">
        <v>288</v>
      </c>
      <c r="B180" s="1">
        <v>75</v>
      </c>
      <c r="C180" s="1" t="s">
        <v>507</v>
      </c>
      <c r="D180" s="5">
        <v>43217</v>
      </c>
      <c r="E180" s="1">
        <f t="shared" si="6"/>
        <v>2018</v>
      </c>
      <c r="F180" s="1">
        <f t="shared" si="7"/>
        <v>4</v>
      </c>
      <c r="G180" s="4">
        <f t="shared" si="8"/>
        <v>27</v>
      </c>
      <c r="H180" s="8">
        <v>0.83472222222222225</v>
      </c>
      <c r="I180" s="11">
        <v>127.691499999999</v>
      </c>
      <c r="J180" s="11">
        <v>31.75</v>
      </c>
      <c r="K180" s="9">
        <v>5</v>
      </c>
      <c r="L180" s="9">
        <v>5</v>
      </c>
      <c r="M180" s="9">
        <v>0</v>
      </c>
      <c r="N180" s="12">
        <v>18.788333333333298</v>
      </c>
      <c r="O180" s="11">
        <v>34.536853333333298</v>
      </c>
      <c r="P180" s="31">
        <v>0.24862796235294149</v>
      </c>
      <c r="Q180" s="31">
        <v>1.2583054117647077</v>
      </c>
      <c r="R180" s="26" t="s">
        <v>280</v>
      </c>
      <c r="S180" s="26"/>
      <c r="T180" s="71" t="s">
        <v>626</v>
      </c>
    </row>
    <row r="181" spans="1:20" s="14" customFormat="1">
      <c r="A181" s="1" t="s">
        <v>288</v>
      </c>
      <c r="B181" s="1">
        <v>76</v>
      </c>
      <c r="C181" s="1" t="s">
        <v>507</v>
      </c>
      <c r="D181" s="5">
        <v>43217</v>
      </c>
      <c r="E181" s="1">
        <f t="shared" si="6"/>
        <v>2018</v>
      </c>
      <c r="F181" s="1">
        <f t="shared" si="7"/>
        <v>4</v>
      </c>
      <c r="G181" s="4">
        <f t="shared" si="8"/>
        <v>27</v>
      </c>
      <c r="H181" s="8">
        <v>0.98333333333333339</v>
      </c>
      <c r="I181" s="11">
        <v>128.191</v>
      </c>
      <c r="J181" s="11">
        <v>31.748999999999999</v>
      </c>
      <c r="K181" s="9">
        <v>5</v>
      </c>
      <c r="L181" s="9">
        <v>5</v>
      </c>
      <c r="M181" s="9">
        <v>0</v>
      </c>
      <c r="N181" s="12">
        <v>18.2633333333333</v>
      </c>
      <c r="O181" s="11">
        <v>34.3051866666666</v>
      </c>
      <c r="P181" s="31">
        <v>0.30573391294117624</v>
      </c>
      <c r="Q181" s="31">
        <v>1.2737377647058814</v>
      </c>
      <c r="R181" s="26" t="s">
        <v>280</v>
      </c>
      <c r="S181" s="26"/>
      <c r="T181" s="71" t="s">
        <v>626</v>
      </c>
    </row>
    <row r="182" spans="1:20" s="14" customFormat="1">
      <c r="A182" s="1" t="s">
        <v>288</v>
      </c>
      <c r="B182" s="1">
        <v>77</v>
      </c>
      <c r="C182" s="1" t="s">
        <v>507</v>
      </c>
      <c r="D182" s="5">
        <v>43218</v>
      </c>
      <c r="E182" s="1">
        <f t="shared" si="6"/>
        <v>2018</v>
      </c>
      <c r="F182" s="1">
        <f t="shared" si="7"/>
        <v>4</v>
      </c>
      <c r="G182" s="4">
        <f t="shared" si="8"/>
        <v>28</v>
      </c>
      <c r="H182" s="8">
        <v>0.13472222222222222</v>
      </c>
      <c r="I182" s="11">
        <v>128.749333333333</v>
      </c>
      <c r="J182" s="11">
        <v>31.750166666666601</v>
      </c>
      <c r="K182" s="9">
        <v>5</v>
      </c>
      <c r="L182" s="9">
        <v>5</v>
      </c>
      <c r="M182" s="9">
        <v>0</v>
      </c>
      <c r="N182" s="12">
        <v>20.76</v>
      </c>
      <c r="O182" s="11">
        <v>34.517186666666603</v>
      </c>
      <c r="P182" s="31">
        <v>0.29238131294117675</v>
      </c>
      <c r="Q182" s="31">
        <v>1.5611345482352945</v>
      </c>
      <c r="R182" s="26" t="s">
        <v>280</v>
      </c>
      <c r="S182" s="26"/>
      <c r="T182" s="71" t="s">
        <v>626</v>
      </c>
    </row>
    <row r="183" spans="1:20" s="14" customFormat="1">
      <c r="A183" s="1" t="s">
        <v>288</v>
      </c>
      <c r="B183" s="1">
        <v>78</v>
      </c>
      <c r="C183" s="1" t="s">
        <v>507</v>
      </c>
      <c r="D183" s="5">
        <v>43218</v>
      </c>
      <c r="E183" s="1">
        <f t="shared" si="6"/>
        <v>2018</v>
      </c>
      <c r="F183" s="1">
        <f t="shared" si="7"/>
        <v>4</v>
      </c>
      <c r="G183" s="4">
        <f t="shared" si="8"/>
        <v>28</v>
      </c>
      <c r="H183" s="8">
        <v>0.43263888888888885</v>
      </c>
      <c r="I183" s="11">
        <v>129.19133333333301</v>
      </c>
      <c r="J183" s="11">
        <v>31.748999999999999</v>
      </c>
      <c r="K183" s="9">
        <v>5</v>
      </c>
      <c r="L183" s="9">
        <v>5</v>
      </c>
      <c r="M183" s="9">
        <v>0</v>
      </c>
      <c r="N183" s="12">
        <v>19.801666666666598</v>
      </c>
      <c r="O183" s="11">
        <v>34.504519999999999</v>
      </c>
      <c r="P183" s="31">
        <v>0.40747188352941199</v>
      </c>
      <c r="Q183" s="31">
        <v>1.4992079858823537</v>
      </c>
      <c r="R183" s="26" t="s">
        <v>280</v>
      </c>
      <c r="S183" s="26"/>
      <c r="T183" s="71" t="s">
        <v>626</v>
      </c>
    </row>
    <row r="184" spans="1:20" s="14" customFormat="1">
      <c r="A184" s="1" t="s">
        <v>288</v>
      </c>
      <c r="B184" s="1">
        <v>79</v>
      </c>
      <c r="C184" s="1" t="s">
        <v>507</v>
      </c>
      <c r="D184" s="5">
        <v>43218</v>
      </c>
      <c r="E184" s="1">
        <f t="shared" si="6"/>
        <v>2018</v>
      </c>
      <c r="F184" s="1">
        <f t="shared" si="7"/>
        <v>4</v>
      </c>
      <c r="G184" s="4">
        <f t="shared" si="8"/>
        <v>28</v>
      </c>
      <c r="H184" s="8">
        <v>0.58819444444444446</v>
      </c>
      <c r="I184" s="11">
        <v>129.61099999999999</v>
      </c>
      <c r="J184" s="11">
        <v>31.748999999999999</v>
      </c>
      <c r="K184" s="9">
        <v>5</v>
      </c>
      <c r="L184" s="9">
        <v>5</v>
      </c>
      <c r="M184" s="9">
        <v>0</v>
      </c>
      <c r="N184" s="12">
        <v>20.231666666666602</v>
      </c>
      <c r="O184" s="11">
        <v>34.564019999999999</v>
      </c>
      <c r="P184" s="31">
        <v>0.3090842941176466</v>
      </c>
      <c r="Q184" s="31">
        <v>1.5039841435294115</v>
      </c>
      <c r="R184" s="26" t="s">
        <v>280</v>
      </c>
      <c r="S184" s="26"/>
      <c r="T184" s="71" t="s">
        <v>626</v>
      </c>
    </row>
    <row r="185" spans="1:20" s="14" customFormat="1">
      <c r="A185" s="1" t="s">
        <v>288</v>
      </c>
      <c r="B185" s="1">
        <v>77</v>
      </c>
      <c r="C185" s="1" t="s">
        <v>507</v>
      </c>
      <c r="D185" s="5">
        <v>43218</v>
      </c>
      <c r="E185" s="1">
        <f t="shared" si="6"/>
        <v>2018</v>
      </c>
      <c r="F185" s="1">
        <f t="shared" si="7"/>
        <v>4</v>
      </c>
      <c r="G185" s="4">
        <f t="shared" si="8"/>
        <v>28</v>
      </c>
      <c r="H185" s="8">
        <v>0.1388888888888889</v>
      </c>
      <c r="I185" s="11">
        <f t="shared" ref="I185:I196" si="9">128+45.03/60</f>
        <v>128.75049999999999</v>
      </c>
      <c r="J185" s="11">
        <f t="shared" ref="J185:J196" si="10">31+45.11/60</f>
        <v>31.751833333333334</v>
      </c>
      <c r="K185" s="9">
        <v>0</v>
      </c>
      <c r="L185" s="9">
        <v>0</v>
      </c>
      <c r="M185" s="27">
        <v>0</v>
      </c>
      <c r="N185" s="12">
        <v>20.399999999999999</v>
      </c>
      <c r="O185" s="11">
        <v>34.539070808994424</v>
      </c>
      <c r="P185" s="31">
        <v>0.23809677176470689</v>
      </c>
      <c r="Q185" s="31">
        <v>1.6143117070588247</v>
      </c>
      <c r="R185" s="26" t="s">
        <v>280</v>
      </c>
      <c r="S185" s="26">
        <v>1</v>
      </c>
      <c r="T185" s="71" t="s">
        <v>626</v>
      </c>
    </row>
    <row r="186" spans="1:20" s="14" customFormat="1">
      <c r="A186" s="1" t="s">
        <v>288</v>
      </c>
      <c r="B186" s="1">
        <v>77</v>
      </c>
      <c r="C186" s="1" t="s">
        <v>507</v>
      </c>
      <c r="D186" s="5">
        <v>43218</v>
      </c>
      <c r="E186" s="1">
        <f t="shared" si="6"/>
        <v>2018</v>
      </c>
      <c r="F186" s="1">
        <f t="shared" si="7"/>
        <v>4</v>
      </c>
      <c r="G186" s="4">
        <f t="shared" si="8"/>
        <v>28</v>
      </c>
      <c r="H186" s="8">
        <v>0.1388888888888889</v>
      </c>
      <c r="I186" s="11">
        <f t="shared" si="9"/>
        <v>128.75049999999999</v>
      </c>
      <c r="J186" s="11">
        <f t="shared" si="10"/>
        <v>31.751833333333334</v>
      </c>
      <c r="K186" s="9">
        <v>496.91899999999998</v>
      </c>
      <c r="L186" s="9">
        <v>500</v>
      </c>
      <c r="M186" s="9">
        <v>0</v>
      </c>
      <c r="N186" s="12">
        <v>7.5964</v>
      </c>
      <c r="O186" s="11">
        <v>34.348199999999999</v>
      </c>
      <c r="P186" s="31">
        <v>-2.0890804705882005E-2</v>
      </c>
      <c r="Q186" s="31">
        <v>-0.81595637882352889</v>
      </c>
      <c r="R186" s="26" t="s">
        <v>280</v>
      </c>
      <c r="S186" s="26">
        <v>1</v>
      </c>
      <c r="T186" s="71" t="s">
        <v>626</v>
      </c>
    </row>
    <row r="187" spans="1:20" s="14" customFormat="1">
      <c r="A187" s="1" t="s">
        <v>288</v>
      </c>
      <c r="B187" s="1">
        <v>77</v>
      </c>
      <c r="C187" s="1" t="s">
        <v>507</v>
      </c>
      <c r="D187" s="5">
        <v>43218</v>
      </c>
      <c r="E187" s="1">
        <f t="shared" si="6"/>
        <v>2018</v>
      </c>
      <c r="F187" s="1">
        <f t="shared" si="7"/>
        <v>4</v>
      </c>
      <c r="G187" s="4">
        <f t="shared" si="8"/>
        <v>28</v>
      </c>
      <c r="H187" s="8">
        <v>0.1388888888888889</v>
      </c>
      <c r="I187" s="11">
        <f t="shared" si="9"/>
        <v>128.75049999999999</v>
      </c>
      <c r="J187" s="11">
        <f t="shared" si="10"/>
        <v>31.751833333333334</v>
      </c>
      <c r="K187" s="9">
        <v>298.50299999999999</v>
      </c>
      <c r="L187" s="9">
        <v>300</v>
      </c>
      <c r="M187" s="9">
        <v>0</v>
      </c>
      <c r="N187" s="12">
        <v>10.964</v>
      </c>
      <c r="O187" s="11">
        <v>34.403300000000002</v>
      </c>
      <c r="P187" s="31">
        <v>6.4053138823529032E-2</v>
      </c>
      <c r="Q187" s="31">
        <v>-0.27926420470588198</v>
      </c>
      <c r="R187" s="26" t="s">
        <v>280</v>
      </c>
      <c r="S187" s="26">
        <v>1</v>
      </c>
      <c r="T187" s="71" t="s">
        <v>626</v>
      </c>
    </row>
    <row r="188" spans="1:20" s="14" customFormat="1">
      <c r="A188" s="1" t="s">
        <v>288</v>
      </c>
      <c r="B188" s="1">
        <v>77</v>
      </c>
      <c r="C188" s="1" t="s">
        <v>507</v>
      </c>
      <c r="D188" s="5">
        <v>43218</v>
      </c>
      <c r="E188" s="1">
        <f t="shared" si="6"/>
        <v>2018</v>
      </c>
      <c r="F188" s="1">
        <f t="shared" si="7"/>
        <v>4</v>
      </c>
      <c r="G188" s="4">
        <f t="shared" si="8"/>
        <v>28</v>
      </c>
      <c r="H188" s="8">
        <v>0.1388888888888889</v>
      </c>
      <c r="I188" s="11">
        <f t="shared" si="9"/>
        <v>128.75049999999999</v>
      </c>
      <c r="J188" s="11">
        <f t="shared" si="10"/>
        <v>31.751833333333334</v>
      </c>
      <c r="K188" s="9">
        <v>199.35900000000001</v>
      </c>
      <c r="L188" s="9">
        <v>200</v>
      </c>
      <c r="M188" s="9">
        <v>0</v>
      </c>
      <c r="N188" s="12">
        <v>13.787699999999999</v>
      </c>
      <c r="O188" s="11">
        <v>34.516100000000002</v>
      </c>
      <c r="P188" s="31">
        <v>0.14027499294117662</v>
      </c>
      <c r="Q188" s="31">
        <v>0.60621215176470677</v>
      </c>
      <c r="R188" s="26" t="s">
        <v>280</v>
      </c>
      <c r="S188" s="26">
        <v>1</v>
      </c>
      <c r="T188" s="71" t="s">
        <v>626</v>
      </c>
    </row>
    <row r="189" spans="1:20" s="14" customFormat="1">
      <c r="A189" s="1" t="s">
        <v>288</v>
      </c>
      <c r="B189" s="1">
        <v>77</v>
      </c>
      <c r="C189" s="1" t="s">
        <v>507</v>
      </c>
      <c r="D189" s="5">
        <v>43218</v>
      </c>
      <c r="E189" s="1">
        <f t="shared" si="6"/>
        <v>2018</v>
      </c>
      <c r="F189" s="1">
        <f t="shared" si="7"/>
        <v>4</v>
      </c>
      <c r="G189" s="4">
        <f t="shared" si="8"/>
        <v>28</v>
      </c>
      <c r="H189" s="8">
        <v>0.1388888888888889</v>
      </c>
      <c r="I189" s="11">
        <f t="shared" si="9"/>
        <v>128.75049999999999</v>
      </c>
      <c r="J189" s="11">
        <f t="shared" si="10"/>
        <v>31.751833333333334</v>
      </c>
      <c r="K189" s="9">
        <v>149.12799999999999</v>
      </c>
      <c r="L189" s="9">
        <v>150</v>
      </c>
      <c r="M189" s="9">
        <v>0</v>
      </c>
      <c r="N189" s="12">
        <v>15.886900000000001</v>
      </c>
      <c r="O189" s="11">
        <v>34.598599999999998</v>
      </c>
      <c r="P189" s="31">
        <v>0.2461594164705887</v>
      </c>
      <c r="Q189" s="31">
        <v>1.2358899658823521</v>
      </c>
      <c r="R189" s="26" t="s">
        <v>280</v>
      </c>
      <c r="S189" s="26">
        <v>1</v>
      </c>
      <c r="T189" s="71" t="s">
        <v>626</v>
      </c>
    </row>
    <row r="190" spans="1:20" s="14" customFormat="1">
      <c r="A190" s="1" t="s">
        <v>288</v>
      </c>
      <c r="B190" s="1">
        <v>77</v>
      </c>
      <c r="C190" s="1" t="s">
        <v>507</v>
      </c>
      <c r="D190" s="5">
        <v>43218</v>
      </c>
      <c r="E190" s="1">
        <f t="shared" si="6"/>
        <v>2018</v>
      </c>
      <c r="F190" s="1">
        <f t="shared" si="7"/>
        <v>4</v>
      </c>
      <c r="G190" s="4">
        <f t="shared" si="8"/>
        <v>28</v>
      </c>
      <c r="H190" s="8">
        <v>0.1388888888888889</v>
      </c>
      <c r="I190" s="11">
        <f t="shared" si="9"/>
        <v>128.75049999999999</v>
      </c>
      <c r="J190" s="11">
        <f t="shared" si="10"/>
        <v>31.751833333333334</v>
      </c>
      <c r="K190" s="9">
        <v>124.42700000000001</v>
      </c>
      <c r="L190" s="9">
        <v>125</v>
      </c>
      <c r="M190" s="9">
        <v>0</v>
      </c>
      <c r="N190" s="12">
        <v>16.661200000000001</v>
      </c>
      <c r="O190" s="11">
        <v>34.6053</v>
      </c>
      <c r="P190" s="31">
        <v>0.18452000000000002</v>
      </c>
      <c r="Q190" s="31">
        <v>1.1182904800000006</v>
      </c>
      <c r="R190" s="26" t="s">
        <v>280</v>
      </c>
      <c r="S190" s="26">
        <v>1</v>
      </c>
      <c r="T190" s="71" t="s">
        <v>626</v>
      </c>
    </row>
    <row r="191" spans="1:20" s="14" customFormat="1">
      <c r="A191" s="1" t="s">
        <v>288</v>
      </c>
      <c r="B191" s="1">
        <v>77</v>
      </c>
      <c r="C191" s="1" t="s">
        <v>507</v>
      </c>
      <c r="D191" s="5">
        <v>43218</v>
      </c>
      <c r="E191" s="1">
        <f t="shared" si="6"/>
        <v>2018</v>
      </c>
      <c r="F191" s="1">
        <f t="shared" si="7"/>
        <v>4</v>
      </c>
      <c r="G191" s="4">
        <f t="shared" si="8"/>
        <v>28</v>
      </c>
      <c r="H191" s="8">
        <v>0.1388888888888889</v>
      </c>
      <c r="I191" s="11">
        <f t="shared" si="9"/>
        <v>128.75049999999999</v>
      </c>
      <c r="J191" s="11">
        <f t="shared" si="10"/>
        <v>31.751833333333334</v>
      </c>
      <c r="K191" s="9">
        <v>99.552000000000007</v>
      </c>
      <c r="L191" s="9">
        <v>100</v>
      </c>
      <c r="M191" s="9">
        <v>0</v>
      </c>
      <c r="N191" s="12">
        <v>17.321999999999999</v>
      </c>
      <c r="O191" s="11">
        <v>34.571199999999997</v>
      </c>
      <c r="P191" s="31">
        <v>0.25085018352941191</v>
      </c>
      <c r="Q191" s="31">
        <v>1.3963788141176483</v>
      </c>
      <c r="R191" s="26" t="s">
        <v>280</v>
      </c>
      <c r="S191" s="26">
        <v>1</v>
      </c>
      <c r="T191" s="71" t="s">
        <v>626</v>
      </c>
    </row>
    <row r="192" spans="1:20" s="14" customFormat="1">
      <c r="A192" s="1" t="s">
        <v>288</v>
      </c>
      <c r="B192" s="1">
        <v>77</v>
      </c>
      <c r="C192" s="1" t="s">
        <v>507</v>
      </c>
      <c r="D192" s="5">
        <v>43218</v>
      </c>
      <c r="E192" s="1">
        <f t="shared" si="6"/>
        <v>2018</v>
      </c>
      <c r="F192" s="1">
        <f t="shared" si="7"/>
        <v>4</v>
      </c>
      <c r="G192" s="4">
        <f t="shared" si="8"/>
        <v>28</v>
      </c>
      <c r="H192" s="8">
        <v>0.1388888888888889</v>
      </c>
      <c r="I192" s="11">
        <f t="shared" si="9"/>
        <v>128.75049999999999</v>
      </c>
      <c r="J192" s="11">
        <f t="shared" si="10"/>
        <v>31.751833333333334</v>
      </c>
      <c r="K192" s="9">
        <v>74.632999999999996</v>
      </c>
      <c r="L192" s="9">
        <v>75</v>
      </c>
      <c r="M192" s="9">
        <v>0</v>
      </c>
      <c r="N192" s="12">
        <v>18.441500000000001</v>
      </c>
      <c r="O192" s="11">
        <v>34.5625</v>
      </c>
      <c r="P192" s="31">
        <v>0.2731842070588244</v>
      </c>
      <c r="Q192" s="31">
        <v>1.470337728235295</v>
      </c>
      <c r="R192" s="26" t="s">
        <v>280</v>
      </c>
      <c r="S192" s="26">
        <v>1</v>
      </c>
      <c r="T192" s="71" t="s">
        <v>626</v>
      </c>
    </row>
    <row r="193" spans="1:20" s="14" customFormat="1">
      <c r="A193" s="1" t="s">
        <v>288</v>
      </c>
      <c r="B193" s="1">
        <v>77</v>
      </c>
      <c r="C193" s="1" t="s">
        <v>507</v>
      </c>
      <c r="D193" s="5">
        <v>43218</v>
      </c>
      <c r="E193" s="1">
        <f t="shared" si="6"/>
        <v>2018</v>
      </c>
      <c r="F193" s="1">
        <f t="shared" si="7"/>
        <v>4</v>
      </c>
      <c r="G193" s="4">
        <f t="shared" si="8"/>
        <v>28</v>
      </c>
      <c r="H193" s="8">
        <v>0.1388888888888889</v>
      </c>
      <c r="I193" s="11">
        <f t="shared" si="9"/>
        <v>128.75049999999999</v>
      </c>
      <c r="J193" s="11">
        <f t="shared" si="10"/>
        <v>31.751833333333334</v>
      </c>
      <c r="K193" s="9">
        <v>49.737000000000002</v>
      </c>
      <c r="L193" s="9">
        <v>50</v>
      </c>
      <c r="M193" s="9">
        <v>0</v>
      </c>
      <c r="N193" s="12">
        <v>19.648</v>
      </c>
      <c r="O193" s="11">
        <v>34.568199999999997</v>
      </c>
      <c r="P193" s="31">
        <v>0.27352015058823564</v>
      </c>
      <c r="Q193" s="31">
        <v>1.5692391423529433</v>
      </c>
      <c r="R193" s="26" t="s">
        <v>280</v>
      </c>
      <c r="S193" s="26">
        <v>1</v>
      </c>
      <c r="T193" s="71" t="s">
        <v>626</v>
      </c>
    </row>
    <row r="194" spans="1:20" s="14" customFormat="1">
      <c r="A194" s="1" t="s">
        <v>288</v>
      </c>
      <c r="B194" s="1">
        <v>77</v>
      </c>
      <c r="C194" s="1" t="s">
        <v>507</v>
      </c>
      <c r="D194" s="5">
        <v>43218</v>
      </c>
      <c r="E194" s="1">
        <f t="shared" ref="E194:E224" si="11">YEAR(D194)</f>
        <v>2018</v>
      </c>
      <c r="F194" s="1">
        <f t="shared" ref="F194:F224" si="12">MONTH(D194)</f>
        <v>4</v>
      </c>
      <c r="G194" s="4">
        <f t="shared" ref="G194:G224" si="13">DAY(D194)</f>
        <v>28</v>
      </c>
      <c r="H194" s="8">
        <v>0.1388888888888889</v>
      </c>
      <c r="I194" s="11">
        <f t="shared" si="9"/>
        <v>128.75049999999999</v>
      </c>
      <c r="J194" s="11">
        <f t="shared" si="10"/>
        <v>31.751833333333334</v>
      </c>
      <c r="K194" s="9">
        <v>30.356000000000002</v>
      </c>
      <c r="L194" s="9">
        <v>30</v>
      </c>
      <c r="M194" s="9">
        <v>0</v>
      </c>
      <c r="N194" s="12">
        <v>20.6648</v>
      </c>
      <c r="O194" s="11">
        <v>34.543399999999998</v>
      </c>
      <c r="P194" s="31">
        <v>0.26793353411764764</v>
      </c>
      <c r="Q194" s="31">
        <v>1.3227368164705897</v>
      </c>
      <c r="R194" s="26" t="s">
        <v>280</v>
      </c>
      <c r="S194" s="26">
        <v>1</v>
      </c>
      <c r="T194" s="71" t="s">
        <v>626</v>
      </c>
    </row>
    <row r="195" spans="1:20" s="14" customFormat="1">
      <c r="A195" s="1" t="s">
        <v>288</v>
      </c>
      <c r="B195" s="1">
        <v>77</v>
      </c>
      <c r="C195" s="1" t="s">
        <v>507</v>
      </c>
      <c r="D195" s="5">
        <v>43218</v>
      </c>
      <c r="E195" s="1">
        <f t="shared" si="11"/>
        <v>2018</v>
      </c>
      <c r="F195" s="1">
        <f t="shared" si="12"/>
        <v>4</v>
      </c>
      <c r="G195" s="4">
        <f t="shared" si="13"/>
        <v>28</v>
      </c>
      <c r="H195" s="8">
        <v>0.1388888888888889</v>
      </c>
      <c r="I195" s="11">
        <f t="shared" si="9"/>
        <v>128.75049999999999</v>
      </c>
      <c r="J195" s="11">
        <f t="shared" si="10"/>
        <v>31.751833333333334</v>
      </c>
      <c r="K195" s="9">
        <v>19.852</v>
      </c>
      <c r="L195" s="9">
        <v>20</v>
      </c>
      <c r="M195" s="9">
        <v>0</v>
      </c>
      <c r="N195" s="12">
        <v>20.7607</v>
      </c>
      <c r="O195" s="11">
        <v>34.5349</v>
      </c>
      <c r="P195" s="31">
        <v>0.28096067764705923</v>
      </c>
      <c r="Q195" s="31">
        <v>1.5599194505882359</v>
      </c>
      <c r="R195" s="26" t="s">
        <v>280</v>
      </c>
      <c r="S195" s="26">
        <v>1</v>
      </c>
      <c r="T195" s="71" t="s">
        <v>626</v>
      </c>
    </row>
    <row r="196" spans="1:20" s="14" customFormat="1">
      <c r="A196" s="1" t="s">
        <v>288</v>
      </c>
      <c r="B196" s="1">
        <v>77</v>
      </c>
      <c r="C196" s="1" t="s">
        <v>507</v>
      </c>
      <c r="D196" s="5">
        <v>43218</v>
      </c>
      <c r="E196" s="1">
        <f t="shared" si="11"/>
        <v>2018</v>
      </c>
      <c r="F196" s="1">
        <f t="shared" si="12"/>
        <v>4</v>
      </c>
      <c r="G196" s="4">
        <f t="shared" si="13"/>
        <v>28</v>
      </c>
      <c r="H196" s="8">
        <v>0.1388888888888889</v>
      </c>
      <c r="I196" s="11">
        <f t="shared" si="9"/>
        <v>128.75049999999999</v>
      </c>
      <c r="J196" s="11">
        <f t="shared" si="10"/>
        <v>31.751833333333334</v>
      </c>
      <c r="K196" s="9">
        <v>10.051</v>
      </c>
      <c r="L196" s="9">
        <v>10</v>
      </c>
      <c r="M196" s="9">
        <v>0</v>
      </c>
      <c r="N196" s="12">
        <v>20.765999999999998</v>
      </c>
      <c r="O196" s="11">
        <v>34.534799999999997</v>
      </c>
      <c r="P196" s="31">
        <v>0.22741221176470572</v>
      </c>
      <c r="Q196" s="31">
        <v>1.4157268137254899</v>
      </c>
      <c r="R196" s="26" t="s">
        <v>280</v>
      </c>
      <c r="S196" s="26">
        <v>1</v>
      </c>
      <c r="T196" s="71" t="s">
        <v>626</v>
      </c>
    </row>
    <row r="197" spans="1:20" s="14" customFormat="1">
      <c r="A197" s="1" t="s">
        <v>288</v>
      </c>
      <c r="B197" s="1">
        <v>74</v>
      </c>
      <c r="C197" s="1" t="s">
        <v>507</v>
      </c>
      <c r="D197" s="5">
        <v>43217</v>
      </c>
      <c r="E197" s="1">
        <f t="shared" si="11"/>
        <v>2018</v>
      </c>
      <c r="F197" s="1">
        <f t="shared" si="12"/>
        <v>4</v>
      </c>
      <c r="G197" s="4">
        <f t="shared" si="13"/>
        <v>27</v>
      </c>
      <c r="H197" s="8">
        <v>0.67291666666666661</v>
      </c>
      <c r="I197" s="11">
        <f t="shared" ref="I197:I204" si="14">127+14.7/60</f>
        <v>127.245</v>
      </c>
      <c r="J197" s="11">
        <f t="shared" ref="J197:J204" si="15">31+44.51/60</f>
        <v>31.741833333333332</v>
      </c>
      <c r="K197" s="9">
        <v>0</v>
      </c>
      <c r="L197" s="9">
        <v>0</v>
      </c>
      <c r="M197" s="27">
        <v>0</v>
      </c>
      <c r="N197" s="12">
        <v>18.5</v>
      </c>
      <c r="O197" s="11">
        <v>34.423077337816231</v>
      </c>
      <c r="P197" s="31">
        <v>0.29155665411764686</v>
      </c>
      <c r="Q197" s="31">
        <v>1.2402765764705901</v>
      </c>
      <c r="R197" s="26" t="s">
        <v>280</v>
      </c>
      <c r="S197" s="26">
        <v>1</v>
      </c>
      <c r="T197" s="71" t="s">
        <v>626</v>
      </c>
    </row>
    <row r="198" spans="1:20" s="14" customFormat="1">
      <c r="A198" s="1" t="s">
        <v>288</v>
      </c>
      <c r="B198" s="1">
        <v>74</v>
      </c>
      <c r="C198" s="1" t="s">
        <v>507</v>
      </c>
      <c r="D198" s="5">
        <v>43217</v>
      </c>
      <c r="E198" s="1">
        <f t="shared" si="11"/>
        <v>2018</v>
      </c>
      <c r="F198" s="1">
        <f t="shared" si="12"/>
        <v>4</v>
      </c>
      <c r="G198" s="4">
        <f t="shared" si="13"/>
        <v>27</v>
      </c>
      <c r="H198" s="8">
        <v>0.67291666666666661</v>
      </c>
      <c r="I198" s="11">
        <f t="shared" si="14"/>
        <v>127.245</v>
      </c>
      <c r="J198" s="11">
        <f t="shared" si="15"/>
        <v>31.741833333333332</v>
      </c>
      <c r="K198" s="9">
        <v>120.161</v>
      </c>
      <c r="L198" s="9">
        <v>120</v>
      </c>
      <c r="M198" s="9">
        <v>0</v>
      </c>
      <c r="N198" s="12">
        <v>14.1845</v>
      </c>
      <c r="O198" s="11">
        <v>34.536200000000001</v>
      </c>
      <c r="P198" s="31">
        <v>0.11924613647058835</v>
      </c>
      <c r="Q198" s="31">
        <v>0.76698190588235349</v>
      </c>
      <c r="R198" s="26" t="s">
        <v>280</v>
      </c>
      <c r="S198" s="26">
        <v>1</v>
      </c>
      <c r="T198" s="71" t="s">
        <v>626</v>
      </c>
    </row>
    <row r="199" spans="1:20" s="14" customFormat="1">
      <c r="A199" s="1" t="s">
        <v>288</v>
      </c>
      <c r="B199" s="1">
        <v>74</v>
      </c>
      <c r="C199" s="1" t="s">
        <v>507</v>
      </c>
      <c r="D199" s="5">
        <v>43217</v>
      </c>
      <c r="E199" s="1">
        <f t="shared" si="11"/>
        <v>2018</v>
      </c>
      <c r="F199" s="1">
        <f t="shared" si="12"/>
        <v>4</v>
      </c>
      <c r="G199" s="4">
        <f t="shared" si="13"/>
        <v>27</v>
      </c>
      <c r="H199" s="8">
        <v>0.67291666666666661</v>
      </c>
      <c r="I199" s="11">
        <f t="shared" si="14"/>
        <v>127.245</v>
      </c>
      <c r="J199" s="11">
        <f t="shared" si="15"/>
        <v>31.741833333333332</v>
      </c>
      <c r="K199" s="9">
        <v>100.437</v>
      </c>
      <c r="L199" s="9">
        <v>100</v>
      </c>
      <c r="M199" s="9">
        <v>0</v>
      </c>
      <c r="N199" s="12">
        <v>14.6144</v>
      </c>
      <c r="O199" s="11">
        <v>34.544499999999999</v>
      </c>
      <c r="P199" s="31">
        <v>0.24819223882352959</v>
      </c>
      <c r="Q199" s="31">
        <v>1.1027328352941197</v>
      </c>
      <c r="R199" s="26" t="s">
        <v>280</v>
      </c>
      <c r="S199" s="26">
        <v>1</v>
      </c>
      <c r="T199" s="71" t="s">
        <v>626</v>
      </c>
    </row>
    <row r="200" spans="1:20" s="14" customFormat="1">
      <c r="A200" s="1" t="s">
        <v>288</v>
      </c>
      <c r="B200" s="1">
        <v>74</v>
      </c>
      <c r="C200" s="1" t="s">
        <v>507</v>
      </c>
      <c r="D200" s="5">
        <v>43217</v>
      </c>
      <c r="E200" s="1">
        <f t="shared" si="11"/>
        <v>2018</v>
      </c>
      <c r="F200" s="1">
        <f t="shared" si="12"/>
        <v>4</v>
      </c>
      <c r="G200" s="4">
        <f t="shared" si="13"/>
        <v>27</v>
      </c>
      <c r="H200" s="8">
        <v>0.67291666666666661</v>
      </c>
      <c r="I200" s="11">
        <f t="shared" si="14"/>
        <v>127.245</v>
      </c>
      <c r="J200" s="11">
        <f t="shared" si="15"/>
        <v>31.741833333333332</v>
      </c>
      <c r="K200" s="9">
        <v>75.191999999999993</v>
      </c>
      <c r="L200" s="9">
        <v>75</v>
      </c>
      <c r="M200" s="9">
        <v>0</v>
      </c>
      <c r="N200" s="12">
        <v>15.2354</v>
      </c>
      <c r="O200" s="11">
        <v>34.563099999999999</v>
      </c>
      <c r="P200" s="31">
        <v>0.18699930117647034</v>
      </c>
      <c r="Q200" s="31">
        <v>1.0981833647058821</v>
      </c>
      <c r="R200" s="26" t="s">
        <v>280</v>
      </c>
      <c r="S200" s="26">
        <v>1</v>
      </c>
      <c r="T200" s="71" t="s">
        <v>626</v>
      </c>
    </row>
    <row r="201" spans="1:20" s="14" customFormat="1">
      <c r="A201" s="1" t="s">
        <v>288</v>
      </c>
      <c r="B201" s="1">
        <v>74</v>
      </c>
      <c r="C201" s="1" t="s">
        <v>507</v>
      </c>
      <c r="D201" s="5">
        <v>43217</v>
      </c>
      <c r="E201" s="1">
        <f t="shared" si="11"/>
        <v>2018</v>
      </c>
      <c r="F201" s="1">
        <f t="shared" si="12"/>
        <v>4</v>
      </c>
      <c r="G201" s="4">
        <f t="shared" si="13"/>
        <v>27</v>
      </c>
      <c r="H201" s="8">
        <v>0.67291666666666661</v>
      </c>
      <c r="I201" s="11">
        <f t="shared" si="14"/>
        <v>127.245</v>
      </c>
      <c r="J201" s="11">
        <f t="shared" si="15"/>
        <v>31.741833333333332</v>
      </c>
      <c r="K201" s="9">
        <v>50.343000000000004</v>
      </c>
      <c r="L201" s="9">
        <v>50</v>
      </c>
      <c r="M201" s="9">
        <v>0</v>
      </c>
      <c r="N201" s="12">
        <v>16.259399999999999</v>
      </c>
      <c r="O201" s="11">
        <v>34.591500000000003</v>
      </c>
      <c r="P201" s="31">
        <v>0.20970318352941208</v>
      </c>
      <c r="Q201" s="31">
        <v>1.2152256941176489</v>
      </c>
      <c r="R201" s="26" t="s">
        <v>280</v>
      </c>
      <c r="S201" s="26">
        <v>1</v>
      </c>
      <c r="T201" s="71" t="s">
        <v>626</v>
      </c>
    </row>
    <row r="202" spans="1:20" s="14" customFormat="1">
      <c r="A202" s="1" t="s">
        <v>288</v>
      </c>
      <c r="B202" s="1">
        <v>74</v>
      </c>
      <c r="C202" s="1" t="s">
        <v>507</v>
      </c>
      <c r="D202" s="5">
        <v>43217</v>
      </c>
      <c r="E202" s="1">
        <f t="shared" si="11"/>
        <v>2018</v>
      </c>
      <c r="F202" s="1">
        <f t="shared" si="12"/>
        <v>4</v>
      </c>
      <c r="G202" s="4">
        <f t="shared" si="13"/>
        <v>27</v>
      </c>
      <c r="H202" s="8">
        <v>0.67291666666666661</v>
      </c>
      <c r="I202" s="11">
        <f t="shared" si="14"/>
        <v>127.245</v>
      </c>
      <c r="J202" s="11">
        <f t="shared" si="15"/>
        <v>31.741833333333332</v>
      </c>
      <c r="K202" s="9">
        <v>29.709</v>
      </c>
      <c r="L202" s="9">
        <v>30</v>
      </c>
      <c r="M202" s="9">
        <v>0</v>
      </c>
      <c r="N202" s="12">
        <v>16.9588</v>
      </c>
      <c r="O202" s="11">
        <v>34.380800000000001</v>
      </c>
      <c r="P202" s="31">
        <v>0.18913824588235273</v>
      </c>
      <c r="Q202" s="31">
        <v>1.0117434235294134</v>
      </c>
      <c r="R202" s="26" t="s">
        <v>280</v>
      </c>
      <c r="S202" s="26">
        <v>1</v>
      </c>
      <c r="T202" s="71" t="s">
        <v>626</v>
      </c>
    </row>
    <row r="203" spans="1:20" s="14" customFormat="1">
      <c r="A203" s="1" t="s">
        <v>288</v>
      </c>
      <c r="B203" s="1">
        <v>74</v>
      </c>
      <c r="C203" s="1" t="s">
        <v>507</v>
      </c>
      <c r="D203" s="5">
        <v>43217</v>
      </c>
      <c r="E203" s="1">
        <f t="shared" si="11"/>
        <v>2018</v>
      </c>
      <c r="F203" s="1">
        <f t="shared" si="12"/>
        <v>4</v>
      </c>
      <c r="G203" s="4">
        <f t="shared" si="13"/>
        <v>27</v>
      </c>
      <c r="H203" s="8">
        <v>0.67291666666666661</v>
      </c>
      <c r="I203" s="11">
        <f t="shared" si="14"/>
        <v>127.245</v>
      </c>
      <c r="J203" s="11">
        <f t="shared" si="15"/>
        <v>31.741833333333332</v>
      </c>
      <c r="K203" s="9">
        <v>20.119</v>
      </c>
      <c r="L203" s="9">
        <v>20</v>
      </c>
      <c r="M203" s="9">
        <v>0</v>
      </c>
      <c r="N203" s="12">
        <v>18.5899</v>
      </c>
      <c r="O203" s="11">
        <v>34.436900000000001</v>
      </c>
      <c r="P203" s="31">
        <v>0.15888233529411777</v>
      </c>
      <c r="Q203" s="31">
        <v>1.0002027411764693</v>
      </c>
      <c r="R203" s="26" t="s">
        <v>280</v>
      </c>
      <c r="S203" s="26">
        <v>1</v>
      </c>
      <c r="T203" s="71" t="s">
        <v>626</v>
      </c>
    </row>
    <row r="204" spans="1:20" s="14" customFormat="1">
      <c r="A204" s="1" t="s">
        <v>288</v>
      </c>
      <c r="B204" s="1">
        <v>74</v>
      </c>
      <c r="C204" s="1" t="s">
        <v>507</v>
      </c>
      <c r="D204" s="5">
        <v>43217</v>
      </c>
      <c r="E204" s="1">
        <f t="shared" si="11"/>
        <v>2018</v>
      </c>
      <c r="F204" s="1">
        <f t="shared" si="12"/>
        <v>4</v>
      </c>
      <c r="G204" s="4">
        <f t="shared" si="13"/>
        <v>27</v>
      </c>
      <c r="H204" s="8">
        <v>0.67291666666666661</v>
      </c>
      <c r="I204" s="11">
        <f t="shared" si="14"/>
        <v>127.245</v>
      </c>
      <c r="J204" s="11">
        <f t="shared" si="15"/>
        <v>31.741833333333332</v>
      </c>
      <c r="K204" s="9">
        <v>10.151999999999999</v>
      </c>
      <c r="L204" s="9">
        <v>10</v>
      </c>
      <c r="M204" s="9">
        <v>0</v>
      </c>
      <c r="N204" s="12">
        <v>18.779800000000002</v>
      </c>
      <c r="O204" s="11">
        <v>34.408499999999997</v>
      </c>
      <c r="P204" s="31">
        <v>0.16797583764705903</v>
      </c>
      <c r="Q204" s="31">
        <v>1.0524352705882336</v>
      </c>
      <c r="R204" s="26" t="s">
        <v>280</v>
      </c>
      <c r="S204" s="26">
        <v>1</v>
      </c>
      <c r="T204" s="71" t="s">
        <v>626</v>
      </c>
    </row>
    <row r="205" spans="1:20" s="14" customFormat="1">
      <c r="A205" s="1" t="s">
        <v>285</v>
      </c>
      <c r="B205" s="1">
        <v>81</v>
      </c>
      <c r="C205" s="1" t="s">
        <v>507</v>
      </c>
      <c r="D205" s="5">
        <v>43169</v>
      </c>
      <c r="E205" s="1">
        <f t="shared" si="11"/>
        <v>2018</v>
      </c>
      <c r="F205" s="1">
        <f t="shared" si="12"/>
        <v>3</v>
      </c>
      <c r="G205" s="4">
        <f t="shared" si="13"/>
        <v>10</v>
      </c>
      <c r="H205" s="8">
        <v>0.22013888888888888</v>
      </c>
      <c r="I205" s="11">
        <f t="shared" ref="I205:I212" si="16">127+25.01/60</f>
        <v>127.41683333333333</v>
      </c>
      <c r="J205" s="11">
        <f t="shared" ref="J205:J212" si="17">31+41.99/60</f>
        <v>31.699833333333334</v>
      </c>
      <c r="K205" s="9">
        <v>0</v>
      </c>
      <c r="L205" s="9">
        <v>0</v>
      </c>
      <c r="M205" s="27">
        <v>0</v>
      </c>
      <c r="N205" s="12">
        <v>16.899999999999999</v>
      </c>
      <c r="O205" s="11">
        <v>34.678849704828004</v>
      </c>
      <c r="P205" s="31">
        <v>0.30004527411764714</v>
      </c>
      <c r="Q205" s="31">
        <v>1.6905158823529405</v>
      </c>
      <c r="R205" s="26" t="s">
        <v>280</v>
      </c>
      <c r="S205" s="26">
        <v>1</v>
      </c>
      <c r="T205" s="71" t="s">
        <v>626</v>
      </c>
    </row>
    <row r="206" spans="1:20" s="14" customFormat="1">
      <c r="A206" s="1" t="s">
        <v>285</v>
      </c>
      <c r="B206" s="1">
        <v>81</v>
      </c>
      <c r="C206" s="1" t="s">
        <v>507</v>
      </c>
      <c r="D206" s="5">
        <v>43169</v>
      </c>
      <c r="E206" s="1">
        <f t="shared" si="11"/>
        <v>2018</v>
      </c>
      <c r="F206" s="1">
        <f t="shared" si="12"/>
        <v>3</v>
      </c>
      <c r="G206" s="4">
        <f t="shared" si="13"/>
        <v>10</v>
      </c>
      <c r="H206" s="8">
        <v>0.22013888888888888</v>
      </c>
      <c r="I206" s="11">
        <f t="shared" si="16"/>
        <v>127.41683333333333</v>
      </c>
      <c r="J206" s="11">
        <f t="shared" si="17"/>
        <v>31.699833333333334</v>
      </c>
      <c r="K206" s="9">
        <v>127.925</v>
      </c>
      <c r="L206" s="9">
        <v>128</v>
      </c>
      <c r="M206" s="9">
        <v>0</v>
      </c>
      <c r="N206" s="12">
        <v>13.59</v>
      </c>
      <c r="O206" s="11">
        <v>34.371899999999997</v>
      </c>
      <c r="P206" s="31">
        <v>0.20593960470588257</v>
      </c>
      <c r="Q206" s="31">
        <v>0.88190041411764497</v>
      </c>
      <c r="R206" s="26" t="s">
        <v>280</v>
      </c>
      <c r="S206" s="26">
        <v>1</v>
      </c>
      <c r="T206" s="71" t="s">
        <v>626</v>
      </c>
    </row>
    <row r="207" spans="1:20" s="14" customFormat="1">
      <c r="A207" s="1" t="s">
        <v>285</v>
      </c>
      <c r="B207" s="1">
        <v>81</v>
      </c>
      <c r="C207" s="1" t="s">
        <v>507</v>
      </c>
      <c r="D207" s="5">
        <v>43169</v>
      </c>
      <c r="E207" s="1">
        <f t="shared" si="11"/>
        <v>2018</v>
      </c>
      <c r="F207" s="1">
        <f t="shared" si="12"/>
        <v>3</v>
      </c>
      <c r="G207" s="4">
        <f t="shared" si="13"/>
        <v>10</v>
      </c>
      <c r="H207" s="8">
        <v>0.22013888888888888</v>
      </c>
      <c r="I207" s="11">
        <f t="shared" si="16"/>
        <v>127.41683333333333</v>
      </c>
      <c r="J207" s="11">
        <f t="shared" si="17"/>
        <v>31.699833333333334</v>
      </c>
      <c r="K207" s="9">
        <v>98.825999999999993</v>
      </c>
      <c r="L207" s="9">
        <v>100</v>
      </c>
      <c r="M207" s="9">
        <v>0</v>
      </c>
      <c r="N207" s="12">
        <v>14.175000000000001</v>
      </c>
      <c r="O207" s="11">
        <v>34.446800000000003</v>
      </c>
      <c r="P207" s="31">
        <v>0.21104952235294094</v>
      </c>
      <c r="Q207" s="31">
        <v>1.0891296470588241</v>
      </c>
      <c r="R207" s="26" t="s">
        <v>280</v>
      </c>
      <c r="S207" s="26">
        <v>1</v>
      </c>
      <c r="T207" s="71" t="s">
        <v>626</v>
      </c>
    </row>
    <row r="208" spans="1:20" s="14" customFormat="1">
      <c r="A208" s="1" t="s">
        <v>285</v>
      </c>
      <c r="B208" s="1">
        <v>81</v>
      </c>
      <c r="C208" s="1" t="s">
        <v>507</v>
      </c>
      <c r="D208" s="5">
        <v>43169</v>
      </c>
      <c r="E208" s="1">
        <f t="shared" si="11"/>
        <v>2018</v>
      </c>
      <c r="F208" s="1">
        <f t="shared" si="12"/>
        <v>3</v>
      </c>
      <c r="G208" s="4">
        <f t="shared" si="13"/>
        <v>10</v>
      </c>
      <c r="H208" s="8">
        <v>0.22013888888888888</v>
      </c>
      <c r="I208" s="11">
        <f t="shared" si="16"/>
        <v>127.41683333333333</v>
      </c>
      <c r="J208" s="11">
        <f t="shared" si="17"/>
        <v>31.699833333333334</v>
      </c>
      <c r="K208" s="9">
        <v>75.406000000000006</v>
      </c>
      <c r="L208" s="9">
        <v>75</v>
      </c>
      <c r="M208" s="9">
        <v>0</v>
      </c>
      <c r="N208" s="12">
        <v>15.598000000000001</v>
      </c>
      <c r="O208" s="11">
        <v>34.590600000000002</v>
      </c>
      <c r="P208" s="31">
        <v>0.24888668000000003</v>
      </c>
      <c r="Q208" s="31">
        <v>1.3989371199999994</v>
      </c>
      <c r="R208" s="26" t="s">
        <v>280</v>
      </c>
      <c r="S208" s="26">
        <v>1</v>
      </c>
      <c r="T208" s="71" t="s">
        <v>626</v>
      </c>
    </row>
    <row r="209" spans="1:20" s="14" customFormat="1">
      <c r="A209" s="1" t="s">
        <v>285</v>
      </c>
      <c r="B209" s="1">
        <v>81</v>
      </c>
      <c r="C209" s="1" t="s">
        <v>507</v>
      </c>
      <c r="D209" s="5">
        <v>43169</v>
      </c>
      <c r="E209" s="1">
        <f t="shared" si="11"/>
        <v>2018</v>
      </c>
      <c r="F209" s="1">
        <f t="shared" si="12"/>
        <v>3</v>
      </c>
      <c r="G209" s="4">
        <f t="shared" si="13"/>
        <v>10</v>
      </c>
      <c r="H209" s="8">
        <v>0.22013888888888888</v>
      </c>
      <c r="I209" s="11">
        <f t="shared" si="16"/>
        <v>127.41683333333333</v>
      </c>
      <c r="J209" s="11">
        <f t="shared" si="17"/>
        <v>31.699833333333334</v>
      </c>
      <c r="K209" s="9">
        <v>49.612000000000002</v>
      </c>
      <c r="L209" s="9">
        <v>50</v>
      </c>
      <c r="M209" s="9">
        <v>0</v>
      </c>
      <c r="N209" s="12">
        <v>15.9863</v>
      </c>
      <c r="O209" s="11">
        <v>34.5974</v>
      </c>
      <c r="P209" s="31">
        <v>0.25197639764705881</v>
      </c>
      <c r="Q209" s="31">
        <v>1.446621952941177</v>
      </c>
      <c r="R209" s="26" t="s">
        <v>280</v>
      </c>
      <c r="S209" s="26">
        <v>1</v>
      </c>
      <c r="T209" s="71" t="s">
        <v>626</v>
      </c>
    </row>
    <row r="210" spans="1:20" s="14" customFormat="1">
      <c r="A210" s="1" t="s">
        <v>285</v>
      </c>
      <c r="B210" s="1">
        <v>81</v>
      </c>
      <c r="C210" s="1" t="s">
        <v>507</v>
      </c>
      <c r="D210" s="5">
        <v>43169</v>
      </c>
      <c r="E210" s="1">
        <f t="shared" si="11"/>
        <v>2018</v>
      </c>
      <c r="F210" s="1">
        <f t="shared" si="12"/>
        <v>3</v>
      </c>
      <c r="G210" s="4">
        <f t="shared" si="13"/>
        <v>10</v>
      </c>
      <c r="H210" s="8">
        <v>0.22013888888888888</v>
      </c>
      <c r="I210" s="11">
        <f t="shared" si="16"/>
        <v>127.41683333333333</v>
      </c>
      <c r="J210" s="11">
        <f t="shared" si="17"/>
        <v>31.699833333333334</v>
      </c>
      <c r="K210" s="9">
        <v>30.087</v>
      </c>
      <c r="L210" s="9">
        <v>30</v>
      </c>
      <c r="M210" s="9">
        <v>0</v>
      </c>
      <c r="N210" s="12">
        <v>16.8459</v>
      </c>
      <c r="O210" s="11">
        <v>34.671300000000002</v>
      </c>
      <c r="P210" s="31">
        <v>0.34895491029411829</v>
      </c>
      <c r="Q210" s="31">
        <v>1.6373584058823543</v>
      </c>
      <c r="R210" s="26" t="s">
        <v>280</v>
      </c>
      <c r="S210" s="26">
        <v>1</v>
      </c>
      <c r="T210" s="71" t="s">
        <v>626</v>
      </c>
    </row>
    <row r="211" spans="1:20" s="14" customFormat="1">
      <c r="A211" s="1" t="s">
        <v>285</v>
      </c>
      <c r="B211" s="1">
        <v>81</v>
      </c>
      <c r="C211" s="1" t="s">
        <v>507</v>
      </c>
      <c r="D211" s="5">
        <v>43169</v>
      </c>
      <c r="E211" s="1">
        <f t="shared" si="11"/>
        <v>2018</v>
      </c>
      <c r="F211" s="1">
        <f t="shared" si="12"/>
        <v>3</v>
      </c>
      <c r="G211" s="4">
        <f t="shared" si="13"/>
        <v>10</v>
      </c>
      <c r="H211" s="8">
        <v>0.22013888888888888</v>
      </c>
      <c r="I211" s="11">
        <f t="shared" si="16"/>
        <v>127.41683333333333</v>
      </c>
      <c r="J211" s="11">
        <f t="shared" si="17"/>
        <v>31.699833333333334</v>
      </c>
      <c r="K211" s="9">
        <v>19.48</v>
      </c>
      <c r="L211" s="9">
        <v>20</v>
      </c>
      <c r="M211" s="9">
        <v>0</v>
      </c>
      <c r="N211" s="12">
        <v>16.8506</v>
      </c>
      <c r="O211" s="11">
        <v>34.672400000000003</v>
      </c>
      <c r="P211" s="31">
        <v>0.28239823294117716</v>
      </c>
      <c r="Q211" s="31">
        <v>1.5053844988235294</v>
      </c>
      <c r="R211" s="26" t="s">
        <v>280</v>
      </c>
      <c r="S211" s="26">
        <v>1</v>
      </c>
      <c r="T211" s="71" t="s">
        <v>626</v>
      </c>
    </row>
    <row r="212" spans="1:20" s="17" customFormat="1">
      <c r="A212" s="1" t="s">
        <v>285</v>
      </c>
      <c r="B212" s="1">
        <v>81</v>
      </c>
      <c r="C212" s="1" t="s">
        <v>507</v>
      </c>
      <c r="D212" s="5">
        <v>43169</v>
      </c>
      <c r="E212" s="1">
        <f t="shared" si="11"/>
        <v>2018</v>
      </c>
      <c r="F212" s="1">
        <f t="shared" si="12"/>
        <v>3</v>
      </c>
      <c r="G212" s="4">
        <f t="shared" si="13"/>
        <v>10</v>
      </c>
      <c r="H212" s="8">
        <v>0.22013888888888888</v>
      </c>
      <c r="I212" s="11">
        <f t="shared" si="16"/>
        <v>127.41683333333333</v>
      </c>
      <c r="J212" s="11">
        <f t="shared" si="17"/>
        <v>31.699833333333334</v>
      </c>
      <c r="K212" s="9">
        <v>10.099</v>
      </c>
      <c r="L212" s="9">
        <v>10</v>
      </c>
      <c r="M212" s="9">
        <v>0</v>
      </c>
      <c r="N212" s="12">
        <v>16.8474</v>
      </c>
      <c r="O212" s="11">
        <v>34.6721</v>
      </c>
      <c r="P212" s="31">
        <v>0.27619503058823547</v>
      </c>
      <c r="Q212" s="31">
        <v>1.652515411764707</v>
      </c>
      <c r="R212" s="26" t="s">
        <v>280</v>
      </c>
      <c r="S212" s="26">
        <v>1</v>
      </c>
      <c r="T212" s="71" t="s">
        <v>626</v>
      </c>
    </row>
    <row r="213" spans="1:20" s="17" customFormat="1">
      <c r="A213" s="1" t="s">
        <v>285</v>
      </c>
      <c r="B213" s="1" t="s">
        <v>291</v>
      </c>
      <c r="C213" s="1" t="s">
        <v>507</v>
      </c>
      <c r="D213" s="5">
        <v>43170</v>
      </c>
      <c r="E213" s="1">
        <f t="shared" si="11"/>
        <v>2018</v>
      </c>
      <c r="F213" s="1">
        <f t="shared" si="12"/>
        <v>3</v>
      </c>
      <c r="G213" s="4">
        <f t="shared" si="13"/>
        <v>11</v>
      </c>
      <c r="H213" s="8">
        <v>0.33263888888888887</v>
      </c>
      <c r="I213" s="11">
        <f t="shared" ref="I213:I224" si="18">128+44.94/60</f>
        <v>128.749</v>
      </c>
      <c r="J213" s="11">
        <f t="shared" ref="J213:J224" si="19">31+44.96/60</f>
        <v>31.749333333333333</v>
      </c>
      <c r="K213" s="9">
        <v>0</v>
      </c>
      <c r="L213" s="9">
        <v>0</v>
      </c>
      <c r="M213" s="27">
        <v>0</v>
      </c>
      <c r="N213" s="12">
        <v>16.8</v>
      </c>
      <c r="O213" s="11">
        <v>34.727415113292814</v>
      </c>
      <c r="P213" s="31">
        <v>0.30746653823529391</v>
      </c>
      <c r="Q213" s="31">
        <v>1.7107060313725491</v>
      </c>
      <c r="R213" s="26" t="s">
        <v>280</v>
      </c>
      <c r="S213" s="26">
        <v>1</v>
      </c>
      <c r="T213" s="71" t="s">
        <v>626</v>
      </c>
    </row>
    <row r="214" spans="1:20" s="17" customFormat="1">
      <c r="A214" s="1" t="s">
        <v>285</v>
      </c>
      <c r="B214" s="1" t="s">
        <v>291</v>
      </c>
      <c r="C214" s="1" t="s">
        <v>507</v>
      </c>
      <c r="D214" s="5">
        <v>43170</v>
      </c>
      <c r="E214" s="1">
        <f t="shared" si="11"/>
        <v>2018</v>
      </c>
      <c r="F214" s="1">
        <f t="shared" si="12"/>
        <v>3</v>
      </c>
      <c r="G214" s="4">
        <f t="shared" si="13"/>
        <v>11</v>
      </c>
      <c r="H214" s="8">
        <v>0.33263888888888887</v>
      </c>
      <c r="I214" s="11">
        <f t="shared" si="18"/>
        <v>128.749</v>
      </c>
      <c r="J214" s="11">
        <f t="shared" si="19"/>
        <v>31.749333333333333</v>
      </c>
      <c r="K214" s="9">
        <v>496.58600000000001</v>
      </c>
      <c r="L214" s="9">
        <v>500</v>
      </c>
      <c r="M214" s="9">
        <v>0</v>
      </c>
      <c r="N214" s="12">
        <v>7.3901000000000003</v>
      </c>
      <c r="O214" s="11">
        <v>34.34330169995355</v>
      </c>
      <c r="P214" s="31">
        <v>-3.3176167058823314E-2</v>
      </c>
      <c r="Q214" s="31">
        <v>-0.70024767647058894</v>
      </c>
      <c r="R214" s="26" t="s">
        <v>280</v>
      </c>
      <c r="S214" s="26">
        <v>1</v>
      </c>
      <c r="T214" s="71" t="s">
        <v>626</v>
      </c>
    </row>
    <row r="215" spans="1:20" s="17" customFormat="1">
      <c r="A215" s="1" t="s">
        <v>285</v>
      </c>
      <c r="B215" s="1" t="s">
        <v>291</v>
      </c>
      <c r="C215" s="1" t="s">
        <v>507</v>
      </c>
      <c r="D215" s="5">
        <v>43170</v>
      </c>
      <c r="E215" s="1">
        <f t="shared" si="11"/>
        <v>2018</v>
      </c>
      <c r="F215" s="1">
        <f t="shared" si="12"/>
        <v>3</v>
      </c>
      <c r="G215" s="4">
        <f t="shared" si="13"/>
        <v>11</v>
      </c>
      <c r="H215" s="8">
        <v>0.33263888888888887</v>
      </c>
      <c r="I215" s="11">
        <f t="shared" si="18"/>
        <v>128.749</v>
      </c>
      <c r="J215" s="11">
        <f t="shared" si="19"/>
        <v>31.749333333333333</v>
      </c>
      <c r="K215" s="9">
        <v>298.53800000000001</v>
      </c>
      <c r="L215" s="9">
        <v>300</v>
      </c>
      <c r="M215" s="9">
        <v>0</v>
      </c>
      <c r="N215" s="12">
        <v>11.1081</v>
      </c>
      <c r="O215" s="11">
        <v>34.405783367344952</v>
      </c>
      <c r="P215" s="31">
        <v>0.13155462352941183</v>
      </c>
      <c r="Q215" s="31">
        <v>0.25797988823529394</v>
      </c>
      <c r="R215" s="26" t="s">
        <v>280</v>
      </c>
      <c r="S215" s="26">
        <v>1</v>
      </c>
      <c r="T215" s="71" t="s">
        <v>626</v>
      </c>
    </row>
    <row r="216" spans="1:20" s="17" customFormat="1">
      <c r="A216" s="1" t="s">
        <v>285</v>
      </c>
      <c r="B216" s="1" t="s">
        <v>291</v>
      </c>
      <c r="C216" s="1" t="s">
        <v>507</v>
      </c>
      <c r="D216" s="5">
        <v>43170</v>
      </c>
      <c r="E216" s="1">
        <f t="shared" si="11"/>
        <v>2018</v>
      </c>
      <c r="F216" s="1">
        <f t="shared" si="12"/>
        <v>3</v>
      </c>
      <c r="G216" s="4">
        <f t="shared" si="13"/>
        <v>11</v>
      </c>
      <c r="H216" s="8">
        <v>0.33263888888888887</v>
      </c>
      <c r="I216" s="11">
        <f t="shared" si="18"/>
        <v>128.749</v>
      </c>
      <c r="J216" s="11">
        <f t="shared" si="19"/>
        <v>31.749333333333333</v>
      </c>
      <c r="K216" s="9">
        <v>199.60900000000001</v>
      </c>
      <c r="L216" s="9">
        <v>200</v>
      </c>
      <c r="M216" s="9">
        <v>0</v>
      </c>
      <c r="N216" s="12">
        <v>14.760300000000001</v>
      </c>
      <c r="O216" s="11">
        <v>34.650874602854145</v>
      </c>
      <c r="P216" s="31">
        <v>0.22548133411764737</v>
      </c>
      <c r="Q216" s="31">
        <v>1.1317745529411756</v>
      </c>
      <c r="R216" s="26" t="s">
        <v>280</v>
      </c>
      <c r="S216" s="26">
        <v>1</v>
      </c>
      <c r="T216" s="71" t="s">
        <v>626</v>
      </c>
    </row>
    <row r="217" spans="1:20" s="17" customFormat="1">
      <c r="A217" s="1" t="s">
        <v>285</v>
      </c>
      <c r="B217" s="1" t="s">
        <v>291</v>
      </c>
      <c r="C217" s="1" t="s">
        <v>507</v>
      </c>
      <c r="D217" s="5">
        <v>43170</v>
      </c>
      <c r="E217" s="1">
        <f t="shared" si="11"/>
        <v>2018</v>
      </c>
      <c r="F217" s="1">
        <f t="shared" si="12"/>
        <v>3</v>
      </c>
      <c r="G217" s="4">
        <f t="shared" si="13"/>
        <v>11</v>
      </c>
      <c r="H217" s="8">
        <v>0.33263888888888887</v>
      </c>
      <c r="I217" s="11">
        <f t="shared" si="18"/>
        <v>128.749</v>
      </c>
      <c r="J217" s="11">
        <f t="shared" si="19"/>
        <v>31.749333333333333</v>
      </c>
      <c r="K217" s="9">
        <v>149.482</v>
      </c>
      <c r="L217" s="9">
        <v>150</v>
      </c>
      <c r="M217" s="9">
        <v>0</v>
      </c>
      <c r="N217" s="12">
        <v>15.733599999999999</v>
      </c>
      <c r="O217" s="11">
        <v>34.680100282236843</v>
      </c>
      <c r="P217" s="31">
        <v>0.30882812470588283</v>
      </c>
      <c r="Q217" s="31">
        <v>1.5056324176470621</v>
      </c>
      <c r="R217" s="26" t="s">
        <v>280</v>
      </c>
      <c r="S217" s="26">
        <v>1</v>
      </c>
      <c r="T217" s="71" t="s">
        <v>626</v>
      </c>
    </row>
    <row r="218" spans="1:20" s="17" customFormat="1">
      <c r="A218" s="1" t="s">
        <v>285</v>
      </c>
      <c r="B218" s="1" t="s">
        <v>291</v>
      </c>
      <c r="C218" s="1" t="s">
        <v>507</v>
      </c>
      <c r="D218" s="5">
        <v>43170</v>
      </c>
      <c r="E218" s="1">
        <f t="shared" si="11"/>
        <v>2018</v>
      </c>
      <c r="F218" s="1">
        <f t="shared" si="12"/>
        <v>3</v>
      </c>
      <c r="G218" s="4">
        <f t="shared" si="13"/>
        <v>11</v>
      </c>
      <c r="H218" s="8">
        <v>0.33263888888888887</v>
      </c>
      <c r="I218" s="11">
        <f t="shared" si="18"/>
        <v>128.749</v>
      </c>
      <c r="J218" s="11">
        <f t="shared" si="19"/>
        <v>31.749333333333333</v>
      </c>
      <c r="K218" s="9">
        <v>124.471</v>
      </c>
      <c r="L218" s="9">
        <v>125</v>
      </c>
      <c r="M218" s="9">
        <v>0</v>
      </c>
      <c r="N218" s="12">
        <v>16.468900000000001</v>
      </c>
      <c r="O218" s="11">
        <v>34.663147756936503</v>
      </c>
      <c r="P218" s="31">
        <v>0.29695563529411806</v>
      </c>
      <c r="Q218" s="31">
        <v>1.5734944823529435</v>
      </c>
      <c r="R218" s="26" t="s">
        <v>280</v>
      </c>
      <c r="S218" s="26">
        <v>1</v>
      </c>
      <c r="T218" s="71" t="s">
        <v>626</v>
      </c>
    </row>
    <row r="219" spans="1:20" s="17" customFormat="1">
      <c r="A219" s="1" t="s">
        <v>285</v>
      </c>
      <c r="B219" s="1" t="s">
        <v>291</v>
      </c>
      <c r="C219" s="1" t="s">
        <v>507</v>
      </c>
      <c r="D219" s="5">
        <v>43170</v>
      </c>
      <c r="E219" s="1">
        <f t="shared" si="11"/>
        <v>2018</v>
      </c>
      <c r="F219" s="1">
        <f t="shared" si="12"/>
        <v>3</v>
      </c>
      <c r="G219" s="4">
        <f t="shared" si="13"/>
        <v>11</v>
      </c>
      <c r="H219" s="8">
        <v>0.33263888888888887</v>
      </c>
      <c r="I219" s="11">
        <f t="shared" si="18"/>
        <v>128.749</v>
      </c>
      <c r="J219" s="11">
        <f t="shared" si="19"/>
        <v>31.749333333333333</v>
      </c>
      <c r="K219" s="9">
        <v>99.811999999999998</v>
      </c>
      <c r="L219" s="9">
        <v>100</v>
      </c>
      <c r="M219" s="9">
        <v>0</v>
      </c>
      <c r="N219" s="12">
        <v>16.562100000000001</v>
      </c>
      <c r="O219" s="11">
        <v>34.666697303705384</v>
      </c>
      <c r="P219" s="31">
        <v>0.29952880588235309</v>
      </c>
      <c r="Q219" s="31">
        <v>1.6488007470588233</v>
      </c>
      <c r="R219" s="26" t="s">
        <v>280</v>
      </c>
      <c r="S219" s="26">
        <v>1</v>
      </c>
      <c r="T219" s="71" t="s">
        <v>626</v>
      </c>
    </row>
    <row r="220" spans="1:20" s="17" customFormat="1">
      <c r="A220" s="1" t="s">
        <v>285</v>
      </c>
      <c r="B220" s="1" t="s">
        <v>291</v>
      </c>
      <c r="C220" s="1" t="s">
        <v>507</v>
      </c>
      <c r="D220" s="5">
        <v>43170</v>
      </c>
      <c r="E220" s="1">
        <f t="shared" si="11"/>
        <v>2018</v>
      </c>
      <c r="F220" s="1">
        <f t="shared" si="12"/>
        <v>3</v>
      </c>
      <c r="G220" s="4">
        <f t="shared" si="13"/>
        <v>11</v>
      </c>
      <c r="H220" s="8">
        <v>0.33263888888888887</v>
      </c>
      <c r="I220" s="11">
        <f t="shared" si="18"/>
        <v>128.749</v>
      </c>
      <c r="J220" s="11">
        <f t="shared" si="19"/>
        <v>31.749333333333333</v>
      </c>
      <c r="K220" s="9">
        <v>75.048000000000002</v>
      </c>
      <c r="L220" s="9">
        <v>75</v>
      </c>
      <c r="M220" s="9">
        <v>0</v>
      </c>
      <c r="N220" s="12">
        <v>16.660900000000002</v>
      </c>
      <c r="O220" s="11">
        <v>34.667561352548788</v>
      </c>
      <c r="P220" s="31">
        <v>0.26527571647058834</v>
      </c>
      <c r="Q220" s="31">
        <v>1.6318381117647061</v>
      </c>
      <c r="R220" s="26" t="s">
        <v>280</v>
      </c>
      <c r="S220" s="26">
        <v>1</v>
      </c>
      <c r="T220" s="71" t="s">
        <v>626</v>
      </c>
    </row>
    <row r="221" spans="1:20" s="17" customFormat="1">
      <c r="A221" s="1" t="s">
        <v>285</v>
      </c>
      <c r="B221" s="1" t="s">
        <v>291</v>
      </c>
      <c r="C221" s="1" t="s">
        <v>507</v>
      </c>
      <c r="D221" s="5">
        <v>43170</v>
      </c>
      <c r="E221" s="1">
        <f t="shared" si="11"/>
        <v>2018</v>
      </c>
      <c r="F221" s="1">
        <f t="shared" si="12"/>
        <v>3</v>
      </c>
      <c r="G221" s="4">
        <f t="shared" si="13"/>
        <v>11</v>
      </c>
      <c r="H221" s="8">
        <v>0.33263888888888887</v>
      </c>
      <c r="I221" s="11">
        <f t="shared" si="18"/>
        <v>128.749</v>
      </c>
      <c r="J221" s="11">
        <f t="shared" si="19"/>
        <v>31.749333333333333</v>
      </c>
      <c r="K221" s="9">
        <v>49.814</v>
      </c>
      <c r="L221" s="9">
        <v>50</v>
      </c>
      <c r="M221" s="9">
        <v>0</v>
      </c>
      <c r="N221" s="12">
        <v>16.809699999999999</v>
      </c>
      <c r="O221" s="11">
        <v>34.711136418331755</v>
      </c>
      <c r="P221" s="31">
        <v>0.21880305882353013</v>
      </c>
      <c r="Q221" s="31">
        <v>1.4623154705882335</v>
      </c>
      <c r="R221" s="26" t="s">
        <v>280</v>
      </c>
      <c r="S221" s="26">
        <v>1</v>
      </c>
      <c r="T221" s="71" t="s">
        <v>626</v>
      </c>
    </row>
    <row r="222" spans="1:20" s="17" customFormat="1">
      <c r="A222" s="1" t="s">
        <v>285</v>
      </c>
      <c r="B222" s="1" t="s">
        <v>291</v>
      </c>
      <c r="C222" s="1" t="s">
        <v>507</v>
      </c>
      <c r="D222" s="5">
        <v>43170</v>
      </c>
      <c r="E222" s="1">
        <f t="shared" si="11"/>
        <v>2018</v>
      </c>
      <c r="F222" s="1">
        <f t="shared" si="12"/>
        <v>3</v>
      </c>
      <c r="G222" s="4">
        <f t="shared" si="13"/>
        <v>11</v>
      </c>
      <c r="H222" s="8">
        <v>0.33263888888888887</v>
      </c>
      <c r="I222" s="11">
        <f t="shared" si="18"/>
        <v>128.749</v>
      </c>
      <c r="J222" s="11">
        <f t="shared" si="19"/>
        <v>31.749333333333333</v>
      </c>
      <c r="K222" s="9">
        <v>30.137</v>
      </c>
      <c r="L222" s="9">
        <v>30</v>
      </c>
      <c r="M222" s="9">
        <v>0</v>
      </c>
      <c r="N222" s="12">
        <v>16.819099999999999</v>
      </c>
      <c r="O222" s="11">
        <v>34.692740277409229</v>
      </c>
      <c r="P222" s="31">
        <v>0.274886209411765</v>
      </c>
      <c r="Q222" s="31">
        <v>1.5726878352941203</v>
      </c>
      <c r="R222" s="26" t="s">
        <v>280</v>
      </c>
      <c r="S222" s="26">
        <v>1</v>
      </c>
      <c r="T222" s="71" t="s">
        <v>626</v>
      </c>
    </row>
    <row r="223" spans="1:20" s="17" customFormat="1">
      <c r="A223" s="1" t="s">
        <v>285</v>
      </c>
      <c r="B223" s="1" t="s">
        <v>291</v>
      </c>
      <c r="C223" s="1" t="s">
        <v>507</v>
      </c>
      <c r="D223" s="5">
        <v>43170</v>
      </c>
      <c r="E223" s="1">
        <f t="shared" si="11"/>
        <v>2018</v>
      </c>
      <c r="F223" s="1">
        <f t="shared" si="12"/>
        <v>3</v>
      </c>
      <c r="G223" s="4">
        <f t="shared" si="13"/>
        <v>11</v>
      </c>
      <c r="H223" s="8">
        <v>0.33263888888888887</v>
      </c>
      <c r="I223" s="11">
        <f t="shared" si="18"/>
        <v>128.749</v>
      </c>
      <c r="J223" s="11">
        <f t="shared" si="19"/>
        <v>31.749333333333333</v>
      </c>
      <c r="K223" s="9">
        <v>20.126999999999999</v>
      </c>
      <c r="L223" s="9">
        <v>20</v>
      </c>
      <c r="M223" s="9">
        <v>0</v>
      </c>
      <c r="N223" s="12">
        <v>16.815300000000001</v>
      </c>
      <c r="O223" s="11">
        <v>34.690263509701062</v>
      </c>
      <c r="P223" s="31">
        <v>0.30794931428571481</v>
      </c>
      <c r="Q223" s="31">
        <v>1.5404450000000018</v>
      </c>
      <c r="R223" s="26" t="s">
        <v>280</v>
      </c>
      <c r="S223" s="26">
        <v>1</v>
      </c>
      <c r="T223" s="71" t="s">
        <v>626</v>
      </c>
    </row>
    <row r="224" spans="1:20" s="17" customFormat="1">
      <c r="A224" s="1" t="s">
        <v>285</v>
      </c>
      <c r="B224" s="1" t="s">
        <v>291</v>
      </c>
      <c r="C224" s="1" t="s">
        <v>507</v>
      </c>
      <c r="D224" s="5">
        <v>43170</v>
      </c>
      <c r="E224" s="1">
        <f t="shared" si="11"/>
        <v>2018</v>
      </c>
      <c r="F224" s="1">
        <f t="shared" si="12"/>
        <v>3</v>
      </c>
      <c r="G224" s="4">
        <f t="shared" si="13"/>
        <v>11</v>
      </c>
      <c r="H224" s="8">
        <v>0.33263888888888887</v>
      </c>
      <c r="I224" s="11">
        <f t="shared" si="18"/>
        <v>128.749</v>
      </c>
      <c r="J224" s="11">
        <f t="shared" si="19"/>
        <v>31.749333333333333</v>
      </c>
      <c r="K224" s="9">
        <v>10.316000000000001</v>
      </c>
      <c r="L224" s="9">
        <v>10</v>
      </c>
      <c r="M224" s="9">
        <v>0</v>
      </c>
      <c r="N224" s="12">
        <v>16.816299999999998</v>
      </c>
      <c r="O224" s="11">
        <v>34.70914314153729</v>
      </c>
      <c r="P224" s="31">
        <v>0.31584151058823573</v>
      </c>
      <c r="Q224" s="31">
        <v>1.7520976647058841</v>
      </c>
      <c r="R224" s="26" t="s">
        <v>280</v>
      </c>
      <c r="S224" s="26">
        <v>1</v>
      </c>
      <c r="T224" s="71" t="s">
        <v>626</v>
      </c>
    </row>
    <row r="225" spans="1:20" s="17" customFormat="1">
      <c r="A225" s="1" t="s">
        <v>438</v>
      </c>
      <c r="B225" s="1">
        <v>6</v>
      </c>
      <c r="C225" s="1" t="s">
        <v>507</v>
      </c>
      <c r="D225" s="5">
        <v>43277</v>
      </c>
      <c r="E225" s="1">
        <v>2018</v>
      </c>
      <c r="F225" s="1">
        <v>6</v>
      </c>
      <c r="G225" s="4">
        <v>26</v>
      </c>
      <c r="H225" s="8">
        <v>0.71250000000000002</v>
      </c>
      <c r="I225" s="11">
        <v>126.00088333333333</v>
      </c>
      <c r="J225" s="11">
        <v>30.998116666666668</v>
      </c>
      <c r="K225" s="9">
        <v>0</v>
      </c>
      <c r="L225" s="9">
        <v>0</v>
      </c>
      <c r="M225" s="27">
        <v>0</v>
      </c>
      <c r="N225" s="32">
        <v>23.2</v>
      </c>
      <c r="O225" s="11">
        <v>31.584846168433998</v>
      </c>
      <c r="P225" s="33">
        <v>-0.52723648941176493</v>
      </c>
      <c r="Q225" s="33">
        <v>-3.9235428941176478</v>
      </c>
      <c r="R225" s="1" t="s">
        <v>280</v>
      </c>
      <c r="S225" s="1"/>
      <c r="T225" s="71" t="s">
        <v>626</v>
      </c>
    </row>
    <row r="226" spans="1:20" s="17" customFormat="1">
      <c r="A226" s="1" t="s">
        <v>438</v>
      </c>
      <c r="B226" s="1">
        <v>7</v>
      </c>
      <c r="C226" s="1" t="s">
        <v>507</v>
      </c>
      <c r="D226" s="5">
        <v>43277</v>
      </c>
      <c r="E226" s="1">
        <v>2018</v>
      </c>
      <c r="F226" s="1">
        <v>6</v>
      </c>
      <c r="G226" s="4">
        <v>26</v>
      </c>
      <c r="H226" s="8">
        <v>0.85416666666666663</v>
      </c>
      <c r="I226" s="11">
        <v>125.99908333333335</v>
      </c>
      <c r="J226" s="11">
        <v>30.502633333333335</v>
      </c>
      <c r="K226" s="9">
        <v>0</v>
      </c>
      <c r="L226" s="9">
        <v>0</v>
      </c>
      <c r="M226" s="27">
        <v>0</v>
      </c>
      <c r="N226" s="32">
        <v>23.7</v>
      </c>
      <c r="O226" s="11">
        <v>31.21836993903079</v>
      </c>
      <c r="P226" s="33">
        <v>-0.61201263529411754</v>
      </c>
      <c r="Q226" s="33">
        <v>-4.4839399929411758</v>
      </c>
      <c r="R226" s="1" t="s">
        <v>280</v>
      </c>
      <c r="S226" s="1"/>
      <c r="T226" s="71" t="s">
        <v>626</v>
      </c>
    </row>
    <row r="227" spans="1:20" s="17" customFormat="1">
      <c r="A227" s="1" t="s">
        <v>438</v>
      </c>
      <c r="B227" s="1">
        <v>8</v>
      </c>
      <c r="C227" s="1" t="s">
        <v>507</v>
      </c>
      <c r="D227" s="5">
        <v>43277</v>
      </c>
      <c r="E227" s="1">
        <v>2018</v>
      </c>
      <c r="F227" s="1">
        <v>6</v>
      </c>
      <c r="G227" s="4">
        <v>26</v>
      </c>
      <c r="H227" s="8">
        <v>0.99305555555555547</v>
      </c>
      <c r="I227" s="11">
        <v>125.50178333333332</v>
      </c>
      <c r="J227" s="11">
        <v>30.501100000000001</v>
      </c>
      <c r="K227" s="9">
        <v>0</v>
      </c>
      <c r="L227" s="9">
        <v>0</v>
      </c>
      <c r="M227" s="27">
        <v>0</v>
      </c>
      <c r="N227" s="32">
        <v>23.599999999999998</v>
      </c>
      <c r="O227" s="11">
        <v>31.646936262644918</v>
      </c>
      <c r="P227" s="33">
        <v>-0.46409486117647059</v>
      </c>
      <c r="Q227" s="33">
        <v>-3.7706201317647068</v>
      </c>
      <c r="R227" s="1" t="s">
        <v>280</v>
      </c>
      <c r="S227" s="1"/>
      <c r="T227" s="71" t="s">
        <v>626</v>
      </c>
    </row>
    <row r="228" spans="1:20" s="17" customFormat="1">
      <c r="A228" s="1" t="s">
        <v>438</v>
      </c>
      <c r="B228" s="1">
        <v>9</v>
      </c>
      <c r="C228" s="1" t="s">
        <v>507</v>
      </c>
      <c r="D228" s="5">
        <v>43278</v>
      </c>
      <c r="E228" s="1">
        <v>2018</v>
      </c>
      <c r="F228" s="1">
        <v>6</v>
      </c>
      <c r="G228" s="4">
        <v>27</v>
      </c>
      <c r="H228" s="8">
        <v>0.14166666666666666</v>
      </c>
      <c r="I228" s="11">
        <v>125.00319999999999</v>
      </c>
      <c r="J228" s="11">
        <v>30.500183333333332</v>
      </c>
      <c r="K228" s="9">
        <v>0</v>
      </c>
      <c r="L228" s="9">
        <v>0</v>
      </c>
      <c r="M228" s="27">
        <v>0</v>
      </c>
      <c r="N228" s="32">
        <v>25</v>
      </c>
      <c r="O228" s="11">
        <v>33.039715990138149</v>
      </c>
      <c r="P228" s="33">
        <v>-0.16682100705882408</v>
      </c>
      <c r="Q228" s="33">
        <v>-1.574374710588236</v>
      </c>
      <c r="R228" s="1" t="s">
        <v>280</v>
      </c>
      <c r="S228" s="1"/>
      <c r="T228" s="71" t="s">
        <v>626</v>
      </c>
    </row>
    <row r="229" spans="1:20">
      <c r="A229" s="1" t="s">
        <v>438</v>
      </c>
      <c r="B229" s="1">
        <v>10</v>
      </c>
      <c r="C229" s="1" t="s">
        <v>507</v>
      </c>
      <c r="D229" s="5">
        <v>43278</v>
      </c>
      <c r="E229" s="1">
        <v>2018</v>
      </c>
      <c r="F229" s="1">
        <v>6</v>
      </c>
      <c r="G229" s="4">
        <v>27</v>
      </c>
      <c r="H229" s="8">
        <v>0.28055555555555556</v>
      </c>
      <c r="I229" s="11">
        <v>124.50005000000002</v>
      </c>
      <c r="J229" s="11">
        <v>30.500800000000002</v>
      </c>
      <c r="K229" s="9">
        <v>0</v>
      </c>
      <c r="L229" s="9">
        <v>0</v>
      </c>
      <c r="M229" s="27">
        <v>0</v>
      </c>
      <c r="N229" s="32">
        <v>25</v>
      </c>
      <c r="O229" s="11">
        <v>33.28549901338544</v>
      </c>
      <c r="P229" s="33">
        <v>-0.11528171294117673</v>
      </c>
      <c r="Q229" s="33">
        <v>-1.0392259294117654</v>
      </c>
      <c r="R229" s="1" t="s">
        <v>280</v>
      </c>
      <c r="T229" s="71" t="s">
        <v>626</v>
      </c>
    </row>
    <row r="230" spans="1:20">
      <c r="A230" s="1" t="s">
        <v>438</v>
      </c>
      <c r="B230" s="1">
        <v>11</v>
      </c>
      <c r="C230" s="1" t="s">
        <v>507</v>
      </c>
      <c r="D230" s="5">
        <v>43278</v>
      </c>
      <c r="E230" s="1">
        <v>2018</v>
      </c>
      <c r="F230" s="1">
        <v>6</v>
      </c>
      <c r="G230" s="4">
        <v>27</v>
      </c>
      <c r="H230" s="8">
        <v>0.36736111111111108</v>
      </c>
      <c r="I230" s="11">
        <v>124.25164999999998</v>
      </c>
      <c r="J230" s="11">
        <v>30.502083333333331</v>
      </c>
      <c r="K230" s="9">
        <v>0</v>
      </c>
      <c r="L230" s="9">
        <v>0</v>
      </c>
      <c r="M230" s="27">
        <v>0</v>
      </c>
      <c r="N230" s="32">
        <v>25.099999999999998</v>
      </c>
      <c r="O230" s="11">
        <v>33.543683640623634</v>
      </c>
      <c r="P230" s="33">
        <v>-3.9494978823529259E-2</v>
      </c>
      <c r="Q230" s="33">
        <v>-0.666729468235296</v>
      </c>
      <c r="R230" s="1" t="s">
        <v>280</v>
      </c>
      <c r="S230" s="26">
        <v>1</v>
      </c>
      <c r="T230" s="71" t="s">
        <v>626</v>
      </c>
    </row>
    <row r="231" spans="1:20">
      <c r="A231" s="1" t="s">
        <v>438</v>
      </c>
      <c r="B231" s="1">
        <v>11</v>
      </c>
      <c r="C231" s="1" t="s">
        <v>507</v>
      </c>
      <c r="D231" s="5">
        <v>43278</v>
      </c>
      <c r="E231" s="1">
        <v>2018</v>
      </c>
      <c r="F231" s="1">
        <v>6</v>
      </c>
      <c r="G231" s="4">
        <v>27</v>
      </c>
      <c r="H231" s="8">
        <v>0.36736111111111108</v>
      </c>
      <c r="I231" s="11">
        <v>124.25164999999998</v>
      </c>
      <c r="J231" s="11">
        <v>30.502083333333331</v>
      </c>
      <c r="K231" s="9">
        <v>56.079000000000001</v>
      </c>
      <c r="L231" s="9">
        <v>56</v>
      </c>
      <c r="M231" s="9">
        <v>0</v>
      </c>
      <c r="N231" s="12">
        <v>21.344000000000001</v>
      </c>
      <c r="O231" s="11">
        <v>34.038899999999998</v>
      </c>
      <c r="P231" s="33">
        <v>0.10230999529411777</v>
      </c>
      <c r="Q231" s="33">
        <v>0.3881995529411757</v>
      </c>
      <c r="R231" s="1" t="s">
        <v>280</v>
      </c>
      <c r="S231" s="26">
        <v>1</v>
      </c>
      <c r="T231" s="71" t="s">
        <v>626</v>
      </c>
    </row>
    <row r="232" spans="1:20">
      <c r="A232" s="1" t="s">
        <v>438</v>
      </c>
      <c r="B232" s="1">
        <v>11</v>
      </c>
      <c r="C232" s="1" t="s">
        <v>507</v>
      </c>
      <c r="D232" s="5">
        <v>43278</v>
      </c>
      <c r="E232" s="1">
        <v>2018</v>
      </c>
      <c r="F232" s="1">
        <v>6</v>
      </c>
      <c r="G232" s="4">
        <v>27</v>
      </c>
      <c r="H232" s="8">
        <v>0.36736111111111108</v>
      </c>
      <c r="I232" s="11">
        <v>124.25164999999998</v>
      </c>
      <c r="J232" s="11">
        <v>30.502083333333331</v>
      </c>
      <c r="K232" s="9">
        <v>30.486000000000001</v>
      </c>
      <c r="L232" s="9">
        <v>30</v>
      </c>
      <c r="M232" s="9">
        <v>0</v>
      </c>
      <c r="N232" s="12">
        <v>21.435300000000002</v>
      </c>
      <c r="O232" s="11">
        <v>34.022500000000001</v>
      </c>
      <c r="P232" s="33">
        <v>2.8500931764705584E-2</v>
      </c>
      <c r="Q232" s="33">
        <v>0.13831631764705854</v>
      </c>
      <c r="R232" s="1" t="s">
        <v>280</v>
      </c>
      <c r="S232" s="26">
        <v>1</v>
      </c>
      <c r="T232" s="71" t="s">
        <v>626</v>
      </c>
    </row>
    <row r="233" spans="1:20">
      <c r="A233" s="1" t="s">
        <v>438</v>
      </c>
      <c r="B233" s="1">
        <v>11</v>
      </c>
      <c r="C233" s="1" t="s">
        <v>507</v>
      </c>
      <c r="D233" s="5">
        <v>43278</v>
      </c>
      <c r="E233" s="1">
        <v>2018</v>
      </c>
      <c r="F233" s="1">
        <v>6</v>
      </c>
      <c r="G233" s="4">
        <v>27</v>
      </c>
      <c r="H233" s="8">
        <v>0.36736111111111108</v>
      </c>
      <c r="I233" s="11">
        <v>124.25164999999998</v>
      </c>
      <c r="J233" s="11">
        <v>30.502083333333331</v>
      </c>
      <c r="K233" s="9">
        <v>20.36</v>
      </c>
      <c r="L233" s="9">
        <v>20</v>
      </c>
      <c r="M233" s="9">
        <v>0</v>
      </c>
      <c r="N233" s="12">
        <v>25.136500000000002</v>
      </c>
      <c r="O233" s="11">
        <v>33.543100000000003</v>
      </c>
      <c r="P233" s="33">
        <v>-0.10680769411764701</v>
      </c>
      <c r="Q233" s="33">
        <v>-0.93537850117647103</v>
      </c>
      <c r="R233" s="1" t="s">
        <v>280</v>
      </c>
      <c r="S233" s="26">
        <v>1</v>
      </c>
      <c r="T233" s="71" t="s">
        <v>626</v>
      </c>
    </row>
    <row r="234" spans="1:20">
      <c r="A234" s="1" t="s">
        <v>438</v>
      </c>
      <c r="B234" s="1">
        <v>11</v>
      </c>
      <c r="C234" s="1" t="s">
        <v>507</v>
      </c>
      <c r="D234" s="5">
        <v>43278</v>
      </c>
      <c r="E234" s="1">
        <v>2018</v>
      </c>
      <c r="F234" s="1">
        <v>6</v>
      </c>
      <c r="G234" s="4">
        <v>27</v>
      </c>
      <c r="H234" s="8">
        <v>0.36736111111111108</v>
      </c>
      <c r="I234" s="11">
        <v>124.25164999999998</v>
      </c>
      <c r="J234" s="11">
        <v>30.502083333333331</v>
      </c>
      <c r="K234" s="9">
        <v>9.9819999999999993</v>
      </c>
      <c r="L234" s="9">
        <v>10</v>
      </c>
      <c r="M234" s="9">
        <v>0</v>
      </c>
      <c r="N234" s="12">
        <v>25.1569</v>
      </c>
      <c r="O234" s="11">
        <v>33.544499999999999</v>
      </c>
      <c r="P234" s="33">
        <v>-0.11150616000000002</v>
      </c>
      <c r="Q234" s="33">
        <v>-0.82709383999999986</v>
      </c>
      <c r="R234" s="1" t="s">
        <v>280</v>
      </c>
      <c r="S234" s="26">
        <v>1</v>
      </c>
      <c r="T234" s="71" t="s">
        <v>626</v>
      </c>
    </row>
    <row r="235" spans="1:20">
      <c r="A235" s="1" t="s">
        <v>438</v>
      </c>
      <c r="B235" s="1">
        <v>12</v>
      </c>
      <c r="C235" s="1" t="s">
        <v>507</v>
      </c>
      <c r="D235" s="5">
        <v>43278</v>
      </c>
      <c r="E235" s="1">
        <v>2018</v>
      </c>
      <c r="F235" s="1">
        <v>6</v>
      </c>
      <c r="G235" s="4">
        <v>27</v>
      </c>
      <c r="H235" s="8">
        <v>0.57430555555555551</v>
      </c>
      <c r="I235" s="11">
        <v>124.00256666666668</v>
      </c>
      <c r="J235" s="11">
        <v>29.999983333333329</v>
      </c>
      <c r="K235" s="9">
        <v>0</v>
      </c>
      <c r="L235" s="9">
        <v>0</v>
      </c>
      <c r="M235" s="27">
        <v>0</v>
      </c>
      <c r="N235" s="32">
        <v>26.099999999999998</v>
      </c>
      <c r="O235" s="11">
        <v>34.119348058154763</v>
      </c>
      <c r="P235" s="33">
        <v>-5.3591858823534011E-3</v>
      </c>
      <c r="Q235" s="33">
        <v>6.911166117646772E-2</v>
      </c>
      <c r="R235" s="1" t="s">
        <v>280</v>
      </c>
      <c r="T235" s="71" t="s">
        <v>626</v>
      </c>
    </row>
    <row r="236" spans="1:20">
      <c r="A236" s="1" t="s">
        <v>438</v>
      </c>
      <c r="B236" s="1">
        <v>13</v>
      </c>
      <c r="C236" s="1" t="s">
        <v>507</v>
      </c>
      <c r="D236" s="5">
        <v>43278</v>
      </c>
      <c r="E236" s="1">
        <v>2018</v>
      </c>
      <c r="F236" s="1">
        <v>6</v>
      </c>
      <c r="G236" s="4">
        <v>27</v>
      </c>
      <c r="H236" s="8">
        <v>0.69861111111111107</v>
      </c>
      <c r="I236" s="11">
        <v>124.50233333333334</v>
      </c>
      <c r="J236" s="11">
        <v>29.995883333333332</v>
      </c>
      <c r="K236" s="9">
        <v>0</v>
      </c>
      <c r="L236" s="9">
        <v>0</v>
      </c>
      <c r="M236" s="27">
        <v>0</v>
      </c>
      <c r="N236" s="32">
        <v>25.8</v>
      </c>
      <c r="O236" s="11">
        <v>34.008892705856873</v>
      </c>
      <c r="P236" s="33">
        <v>3.8233468235293611E-2</v>
      </c>
      <c r="Q236" s="33">
        <v>1.4940442352941119E-2</v>
      </c>
      <c r="R236" s="1" t="s">
        <v>280</v>
      </c>
      <c r="T236" s="71" t="s">
        <v>626</v>
      </c>
    </row>
    <row r="237" spans="1:20">
      <c r="A237" s="1" t="s">
        <v>438</v>
      </c>
      <c r="B237" s="1">
        <v>14</v>
      </c>
      <c r="C237" s="1" t="s">
        <v>507</v>
      </c>
      <c r="D237" s="5">
        <v>43278</v>
      </c>
      <c r="E237" s="1">
        <v>2018</v>
      </c>
      <c r="F237" s="1">
        <v>6</v>
      </c>
      <c r="G237" s="4">
        <v>27</v>
      </c>
      <c r="H237" s="8">
        <v>0.83680555555555547</v>
      </c>
      <c r="I237" s="11">
        <v>124.99823333333333</v>
      </c>
      <c r="J237" s="11">
        <v>30.000616666666666</v>
      </c>
      <c r="K237" s="9">
        <v>0</v>
      </c>
      <c r="L237" s="9">
        <v>0</v>
      </c>
      <c r="M237" s="27">
        <v>0</v>
      </c>
      <c r="N237" s="32">
        <v>25.3</v>
      </c>
      <c r="O237" s="11">
        <v>33.378658915544158</v>
      </c>
      <c r="P237" s="33">
        <v>-4.0226117647058857E-2</v>
      </c>
      <c r="Q237" s="33">
        <v>-0.77175553647058948</v>
      </c>
      <c r="R237" s="1" t="s">
        <v>280</v>
      </c>
      <c r="T237" s="71" t="s">
        <v>626</v>
      </c>
    </row>
    <row r="238" spans="1:20">
      <c r="A238" s="1" t="s">
        <v>438</v>
      </c>
      <c r="B238" s="1">
        <v>15</v>
      </c>
      <c r="C238" s="1" t="s">
        <v>507</v>
      </c>
      <c r="D238" s="5">
        <v>43278</v>
      </c>
      <c r="E238" s="1">
        <v>2018</v>
      </c>
      <c r="F238" s="1">
        <v>6</v>
      </c>
      <c r="G238" s="4">
        <v>27</v>
      </c>
      <c r="H238" s="8">
        <v>0.96458333333333324</v>
      </c>
      <c r="I238" s="11">
        <v>125.50108333333334</v>
      </c>
      <c r="J238" s="11">
        <v>30.000916666666669</v>
      </c>
      <c r="K238" s="9">
        <v>0</v>
      </c>
      <c r="L238" s="9">
        <v>0</v>
      </c>
      <c r="M238" s="27">
        <v>0</v>
      </c>
      <c r="N238" s="32">
        <v>25.099999999999998</v>
      </c>
      <c r="O238" s="11">
        <v>33.160991416517028</v>
      </c>
      <c r="P238" s="33">
        <v>-0.16188282352941163</v>
      </c>
      <c r="Q238" s="33">
        <v>-1.2577018752941171</v>
      </c>
      <c r="R238" s="1" t="s">
        <v>280</v>
      </c>
      <c r="T238" s="71" t="s">
        <v>626</v>
      </c>
    </row>
    <row r="239" spans="1:20">
      <c r="A239" s="1" t="s">
        <v>438</v>
      </c>
      <c r="B239" s="1">
        <v>16</v>
      </c>
      <c r="C239" s="1" t="s">
        <v>507</v>
      </c>
      <c r="D239" s="5">
        <v>43279</v>
      </c>
      <c r="E239" s="1">
        <v>2018</v>
      </c>
      <c r="F239" s="1">
        <v>6</v>
      </c>
      <c r="G239" s="4">
        <v>28</v>
      </c>
      <c r="H239" s="8">
        <v>8.6111111111111124E-2</v>
      </c>
      <c r="I239" s="11">
        <v>126.00436666666666</v>
      </c>
      <c r="J239" s="11">
        <v>30.018416666666667</v>
      </c>
      <c r="K239" s="9">
        <v>0</v>
      </c>
      <c r="L239" s="9">
        <v>0</v>
      </c>
      <c r="M239" s="27">
        <v>0</v>
      </c>
      <c r="N239" s="32">
        <v>24.7</v>
      </c>
      <c r="O239" s="11">
        <v>32.505120678097065</v>
      </c>
      <c r="P239" s="33">
        <v>-0.3100283294117645</v>
      </c>
      <c r="Q239" s="33">
        <v>-2.2276763741176477</v>
      </c>
      <c r="R239" s="1" t="s">
        <v>280</v>
      </c>
      <c r="T239" s="71" t="s">
        <v>626</v>
      </c>
    </row>
    <row r="240" spans="1:20">
      <c r="A240" s="1" t="s">
        <v>438</v>
      </c>
      <c r="B240" s="1">
        <v>17</v>
      </c>
      <c r="C240" s="1" t="s">
        <v>507</v>
      </c>
      <c r="D240" s="5">
        <v>43280</v>
      </c>
      <c r="E240" s="1">
        <v>2018</v>
      </c>
      <c r="F240" s="1">
        <v>6</v>
      </c>
      <c r="G240" s="4">
        <v>29</v>
      </c>
      <c r="H240" s="8">
        <v>0.55069444444444449</v>
      </c>
      <c r="I240" s="11">
        <v>126.46005000000001</v>
      </c>
      <c r="J240" s="11">
        <v>29.995150000000002</v>
      </c>
      <c r="K240" s="9">
        <v>0</v>
      </c>
      <c r="L240" s="9">
        <v>0</v>
      </c>
      <c r="M240" s="27">
        <v>0</v>
      </c>
      <c r="N240" s="32">
        <v>25.3</v>
      </c>
      <c r="O240" s="11">
        <v>32.560161798541408</v>
      </c>
      <c r="P240" s="33">
        <v>-0.27681125647058802</v>
      </c>
      <c r="Q240" s="33">
        <v>-2.1101902129411769</v>
      </c>
      <c r="R240" s="1" t="s">
        <v>280</v>
      </c>
      <c r="T240" s="71" t="s">
        <v>626</v>
      </c>
    </row>
    <row r="241" spans="1:20">
      <c r="A241" s="1" t="s">
        <v>438</v>
      </c>
      <c r="B241" s="1">
        <v>18</v>
      </c>
      <c r="C241" s="1" t="s">
        <v>507</v>
      </c>
      <c r="D241" s="5">
        <v>43280</v>
      </c>
      <c r="E241" s="1">
        <v>2018</v>
      </c>
      <c r="F241" s="1">
        <v>6</v>
      </c>
      <c r="G241" s="4">
        <v>29</v>
      </c>
      <c r="H241" s="8">
        <v>0.7090277777777777</v>
      </c>
      <c r="I241" s="11">
        <v>126.50051666666666</v>
      </c>
      <c r="J241" s="11">
        <v>30.49966666666667</v>
      </c>
      <c r="K241" s="9">
        <v>0</v>
      </c>
      <c r="L241" s="9">
        <v>0</v>
      </c>
      <c r="M241" s="27">
        <v>0</v>
      </c>
      <c r="N241" s="32">
        <v>24.2</v>
      </c>
      <c r="O241" s="11">
        <v>31.229813626017449</v>
      </c>
      <c r="P241" s="33">
        <v>-0.56842885176470581</v>
      </c>
      <c r="Q241" s="33">
        <v>-4.2926991035294115</v>
      </c>
      <c r="R241" s="1" t="s">
        <v>280</v>
      </c>
      <c r="T241" s="71" t="s">
        <v>626</v>
      </c>
    </row>
    <row r="242" spans="1:20">
      <c r="A242" s="1" t="s">
        <v>438</v>
      </c>
      <c r="B242" s="1">
        <v>19</v>
      </c>
      <c r="C242" s="1" t="s">
        <v>507</v>
      </c>
      <c r="D242" s="5">
        <v>43280</v>
      </c>
      <c r="E242" s="1">
        <v>2018</v>
      </c>
      <c r="F242" s="1">
        <v>6</v>
      </c>
      <c r="G242" s="4">
        <v>29</v>
      </c>
      <c r="H242" s="8">
        <v>0.85902777777777783</v>
      </c>
      <c r="I242" s="11">
        <v>126.52151666666667</v>
      </c>
      <c r="J242" s="11">
        <v>30.968299999999999</v>
      </c>
      <c r="K242" s="9">
        <v>0</v>
      </c>
      <c r="L242" s="9">
        <v>0</v>
      </c>
      <c r="M242" s="27">
        <v>0</v>
      </c>
      <c r="N242" s="32">
        <v>23.5</v>
      </c>
      <c r="O242" s="11">
        <v>31.794483086542904</v>
      </c>
      <c r="P242" s="33">
        <v>-0.41703024705882363</v>
      </c>
      <c r="Q242" s="33">
        <v>-3.3597249441176471</v>
      </c>
      <c r="R242" s="1" t="s">
        <v>280</v>
      </c>
      <c r="T242" s="71" t="s">
        <v>626</v>
      </c>
    </row>
    <row r="243" spans="1:20">
      <c r="A243" s="1" t="s">
        <v>438</v>
      </c>
      <c r="B243" s="1">
        <v>20</v>
      </c>
      <c r="C243" s="1" t="s">
        <v>507</v>
      </c>
      <c r="D243" s="5">
        <v>43280</v>
      </c>
      <c r="E243" s="1">
        <v>2018</v>
      </c>
      <c r="F243" s="1">
        <v>6</v>
      </c>
      <c r="G243" s="4">
        <v>29</v>
      </c>
      <c r="H243" s="8">
        <v>0.99861111111111101</v>
      </c>
      <c r="I243" s="11">
        <v>126.50049999999999</v>
      </c>
      <c r="J243" s="11">
        <v>31.501883333333335</v>
      </c>
      <c r="K243" s="9">
        <v>0</v>
      </c>
      <c r="L243" s="9">
        <v>0</v>
      </c>
      <c r="M243" s="27">
        <v>0</v>
      </c>
      <c r="N243" s="32">
        <v>22.7</v>
      </c>
      <c r="O243" s="11">
        <v>32.490898560311173</v>
      </c>
      <c r="P243" s="33">
        <v>-0.28255700235294157</v>
      </c>
      <c r="Q243" s="33">
        <v>-2.2829215247058823</v>
      </c>
      <c r="R243" s="1" t="s">
        <v>280</v>
      </c>
      <c r="T243" s="71" t="s">
        <v>626</v>
      </c>
    </row>
    <row r="244" spans="1:20">
      <c r="A244" s="1" t="s">
        <v>438</v>
      </c>
      <c r="B244" s="1">
        <v>21</v>
      </c>
      <c r="C244" s="1" t="s">
        <v>507</v>
      </c>
      <c r="D244" s="5">
        <v>43281</v>
      </c>
      <c r="E244" s="1">
        <v>2018</v>
      </c>
      <c r="F244" s="1">
        <v>6</v>
      </c>
      <c r="G244" s="4">
        <v>30</v>
      </c>
      <c r="H244" s="8">
        <v>9.375E-2</v>
      </c>
      <c r="I244" s="11">
        <v>126.98206666666667</v>
      </c>
      <c r="J244" s="11">
        <v>32.002266666666664</v>
      </c>
      <c r="K244" s="9">
        <v>0</v>
      </c>
      <c r="L244" s="9">
        <v>0</v>
      </c>
      <c r="M244" s="27">
        <v>0</v>
      </c>
      <c r="N244" s="32">
        <v>23.7</v>
      </c>
      <c r="O244" s="11">
        <v>32.319301168352879</v>
      </c>
      <c r="P244" s="33">
        <v>-0.29908651764705874</v>
      </c>
      <c r="Q244" s="33">
        <v>-2.4754652852941179</v>
      </c>
      <c r="R244" s="1" t="s">
        <v>280</v>
      </c>
      <c r="T244" s="71" t="s">
        <v>626</v>
      </c>
    </row>
    <row r="245" spans="1:20">
      <c r="A245" s="1" t="s">
        <v>438</v>
      </c>
      <c r="B245" s="1">
        <v>22</v>
      </c>
      <c r="C245" s="1" t="s">
        <v>507</v>
      </c>
      <c r="D245" s="5">
        <v>43281</v>
      </c>
      <c r="E245" s="1">
        <v>2018</v>
      </c>
      <c r="F245" s="1">
        <v>6</v>
      </c>
      <c r="G245" s="4">
        <v>30</v>
      </c>
      <c r="H245" s="8">
        <v>0.19583333333333333</v>
      </c>
      <c r="I245" s="11">
        <v>126.74973333333332</v>
      </c>
      <c r="J245" s="11">
        <v>31.751233333333332</v>
      </c>
      <c r="K245" s="9">
        <v>0</v>
      </c>
      <c r="L245" s="9">
        <v>0</v>
      </c>
      <c r="M245" s="27">
        <v>0</v>
      </c>
      <c r="N245" s="32">
        <v>23.8</v>
      </c>
      <c r="O245" s="11">
        <v>32.20007039418747</v>
      </c>
      <c r="P245" s="33">
        <v>-0.35619611294117659</v>
      </c>
      <c r="Q245" s="33">
        <v>-2.6413231258823524</v>
      </c>
      <c r="R245" s="1" t="s">
        <v>280</v>
      </c>
      <c r="T245" s="71" t="s">
        <v>626</v>
      </c>
    </row>
    <row r="246" spans="1:20">
      <c r="A246" s="1" t="s">
        <v>438</v>
      </c>
      <c r="B246" s="1">
        <v>23</v>
      </c>
      <c r="C246" s="1" t="s">
        <v>507</v>
      </c>
      <c r="D246" s="5">
        <v>43281</v>
      </c>
      <c r="E246" s="1">
        <v>2018</v>
      </c>
      <c r="F246" s="1">
        <v>6</v>
      </c>
      <c r="G246" s="4">
        <v>30</v>
      </c>
      <c r="H246" s="8">
        <v>0.28680555555555554</v>
      </c>
      <c r="I246" s="11">
        <v>127.00004999999999</v>
      </c>
      <c r="J246" s="11">
        <v>31.749249999999996</v>
      </c>
      <c r="K246" s="9">
        <v>0</v>
      </c>
      <c r="L246" s="9">
        <v>0</v>
      </c>
      <c r="M246" s="27">
        <v>0</v>
      </c>
      <c r="N246" s="32">
        <v>24.5</v>
      </c>
      <c r="O246" s="11">
        <v>32.723183828650782</v>
      </c>
      <c r="P246" s="33">
        <v>-0.24457647394957949</v>
      </c>
      <c r="Q246" s="33">
        <v>-1.960449619327731</v>
      </c>
      <c r="R246" s="1" t="s">
        <v>280</v>
      </c>
      <c r="T246" s="71" t="s">
        <v>626</v>
      </c>
    </row>
    <row r="247" spans="1:20">
      <c r="A247" s="1" t="s">
        <v>438</v>
      </c>
      <c r="B247" s="1">
        <v>24</v>
      </c>
      <c r="C247" s="1" t="s">
        <v>507</v>
      </c>
      <c r="D247" s="5">
        <v>43281</v>
      </c>
      <c r="E247" s="1">
        <v>2018</v>
      </c>
      <c r="F247" s="1">
        <v>6</v>
      </c>
      <c r="G247" s="4">
        <v>30</v>
      </c>
      <c r="H247" s="8">
        <v>0.34861111111111115</v>
      </c>
      <c r="I247" s="11">
        <v>127.27674999999999</v>
      </c>
      <c r="J247" s="11">
        <v>31.74798333333333</v>
      </c>
      <c r="K247" s="9">
        <v>0</v>
      </c>
      <c r="L247" s="9">
        <v>0</v>
      </c>
      <c r="M247" s="27">
        <v>0</v>
      </c>
      <c r="N247" s="32">
        <v>24.3</v>
      </c>
      <c r="O247" s="11">
        <v>32.176263803678658</v>
      </c>
      <c r="P247" s="33">
        <v>-0.35278944941176449</v>
      </c>
      <c r="Q247" s="33">
        <v>-2.7282139588235284</v>
      </c>
      <c r="R247" s="1" t="s">
        <v>280</v>
      </c>
      <c r="S247" s="26">
        <v>1</v>
      </c>
      <c r="T247" s="71" t="s">
        <v>626</v>
      </c>
    </row>
    <row r="248" spans="1:20">
      <c r="A248" s="1" t="s">
        <v>438</v>
      </c>
      <c r="B248" s="1">
        <v>24</v>
      </c>
      <c r="C248" s="1" t="s">
        <v>507</v>
      </c>
      <c r="D248" s="5">
        <v>43281</v>
      </c>
      <c r="E248" s="1">
        <v>2018</v>
      </c>
      <c r="F248" s="1">
        <v>6</v>
      </c>
      <c r="G248" s="4">
        <v>30</v>
      </c>
      <c r="H248" s="8">
        <v>0.34861111111111115</v>
      </c>
      <c r="I248" s="11">
        <v>127.27674999999999</v>
      </c>
      <c r="J248" s="11">
        <v>31.74798333333333</v>
      </c>
      <c r="K248" s="9">
        <v>123.065</v>
      </c>
      <c r="L248" s="9">
        <v>123</v>
      </c>
      <c r="M248" s="9">
        <v>0</v>
      </c>
      <c r="N248" s="12">
        <v>12.8096</v>
      </c>
      <c r="O248" s="11">
        <v>34.152500000000003</v>
      </c>
      <c r="P248" s="33">
        <v>0.13375167529411724</v>
      </c>
      <c r="Q248" s="33">
        <v>0.66388735058823656</v>
      </c>
      <c r="R248" s="1" t="s">
        <v>280</v>
      </c>
      <c r="S248" s="26">
        <v>1</v>
      </c>
      <c r="T248" s="71" t="s">
        <v>626</v>
      </c>
    </row>
    <row r="249" spans="1:20">
      <c r="A249" s="1" t="s">
        <v>438</v>
      </c>
      <c r="B249" s="1">
        <v>24</v>
      </c>
      <c r="C249" s="1" t="s">
        <v>507</v>
      </c>
      <c r="D249" s="5">
        <v>43281</v>
      </c>
      <c r="E249" s="1">
        <v>2018</v>
      </c>
      <c r="F249" s="1">
        <v>6</v>
      </c>
      <c r="G249" s="4">
        <v>30</v>
      </c>
      <c r="H249" s="8">
        <v>0.34861111111111115</v>
      </c>
      <c r="I249" s="11">
        <v>127.27674999999999</v>
      </c>
      <c r="J249" s="11">
        <v>31.74798333333333</v>
      </c>
      <c r="K249" s="9">
        <v>100.03700000000001</v>
      </c>
      <c r="L249" s="9">
        <v>100</v>
      </c>
      <c r="M249" s="9">
        <v>0</v>
      </c>
      <c r="N249" s="12">
        <v>12.7903</v>
      </c>
      <c r="O249" s="11">
        <v>34.143799999999999</v>
      </c>
      <c r="P249" s="33">
        <v>0.18594320000000009</v>
      </c>
      <c r="Q249" s="33">
        <v>0.7632208399999989</v>
      </c>
      <c r="R249" s="1" t="s">
        <v>280</v>
      </c>
      <c r="S249" s="26">
        <v>1</v>
      </c>
      <c r="T249" s="71" t="s">
        <v>626</v>
      </c>
    </row>
    <row r="250" spans="1:20">
      <c r="A250" s="1" t="s">
        <v>438</v>
      </c>
      <c r="B250" s="1">
        <v>24</v>
      </c>
      <c r="C250" s="1" t="s">
        <v>507</v>
      </c>
      <c r="D250" s="5">
        <v>43281</v>
      </c>
      <c r="E250" s="1">
        <v>2018</v>
      </c>
      <c r="F250" s="1">
        <v>6</v>
      </c>
      <c r="G250" s="4">
        <v>30</v>
      </c>
      <c r="H250" s="8">
        <v>0.34861111111111115</v>
      </c>
      <c r="I250" s="11">
        <v>127.27674999999999</v>
      </c>
      <c r="J250" s="11">
        <v>31.74798333333333</v>
      </c>
      <c r="K250" s="9">
        <v>75.141000000000005</v>
      </c>
      <c r="L250" s="9">
        <v>75</v>
      </c>
      <c r="M250" s="9">
        <v>0</v>
      </c>
      <c r="N250" s="12">
        <v>12.769</v>
      </c>
      <c r="O250" s="11">
        <v>34.016500000000001</v>
      </c>
      <c r="P250" s="33">
        <v>6.174392470588197E-2</v>
      </c>
      <c r="Q250" s="33">
        <v>0.3296208094117663</v>
      </c>
      <c r="R250" s="1" t="s">
        <v>280</v>
      </c>
      <c r="S250" s="26">
        <v>1</v>
      </c>
      <c r="T250" s="71" t="s">
        <v>626</v>
      </c>
    </row>
    <row r="251" spans="1:20">
      <c r="A251" s="1" t="s">
        <v>438</v>
      </c>
      <c r="B251" s="1">
        <v>24</v>
      </c>
      <c r="C251" s="1" t="s">
        <v>507</v>
      </c>
      <c r="D251" s="5">
        <v>43281</v>
      </c>
      <c r="E251" s="1">
        <v>2018</v>
      </c>
      <c r="F251" s="1">
        <v>6</v>
      </c>
      <c r="G251" s="4">
        <v>30</v>
      </c>
      <c r="H251" s="8">
        <v>0.34861111111111115</v>
      </c>
      <c r="I251" s="11">
        <v>127.27674999999999</v>
      </c>
      <c r="J251" s="11">
        <v>31.74798333333333</v>
      </c>
      <c r="K251" s="9">
        <v>50.256</v>
      </c>
      <c r="L251" s="9">
        <v>50</v>
      </c>
      <c r="M251" s="9">
        <v>0</v>
      </c>
      <c r="N251" s="12">
        <v>12.0692</v>
      </c>
      <c r="O251" s="11">
        <v>33.730800000000002</v>
      </c>
      <c r="P251" s="33">
        <v>4.7661449411764423E-2</v>
      </c>
      <c r="Q251" s="33">
        <v>2.140535882352701E-2</v>
      </c>
      <c r="R251" s="1" t="s">
        <v>280</v>
      </c>
      <c r="S251" s="26">
        <v>1</v>
      </c>
      <c r="T251" s="71" t="s">
        <v>626</v>
      </c>
    </row>
    <row r="252" spans="1:20">
      <c r="A252" s="1" t="s">
        <v>438</v>
      </c>
      <c r="B252" s="1">
        <v>24</v>
      </c>
      <c r="C252" s="1" t="s">
        <v>507</v>
      </c>
      <c r="D252" s="5">
        <v>43281</v>
      </c>
      <c r="E252" s="1">
        <v>2018</v>
      </c>
      <c r="F252" s="1">
        <v>6</v>
      </c>
      <c r="G252" s="4">
        <v>30</v>
      </c>
      <c r="H252" s="8">
        <v>0.34861111111111115</v>
      </c>
      <c r="I252" s="11">
        <v>127.27674999999999</v>
      </c>
      <c r="J252" s="11">
        <v>31.74798333333333</v>
      </c>
      <c r="K252" s="9">
        <v>30.145</v>
      </c>
      <c r="L252" s="9">
        <v>30</v>
      </c>
      <c r="M252" s="9">
        <v>0</v>
      </c>
      <c r="N252" s="12">
        <v>16.067900000000002</v>
      </c>
      <c r="O252" s="11">
        <v>33.165700000000001</v>
      </c>
      <c r="P252" s="33">
        <v>-4.8396865882352369E-2</v>
      </c>
      <c r="Q252" s="33">
        <v>-0.63824011176470563</v>
      </c>
      <c r="R252" s="1" t="s">
        <v>280</v>
      </c>
      <c r="S252" s="26">
        <v>1</v>
      </c>
      <c r="T252" s="71" t="s">
        <v>626</v>
      </c>
    </row>
    <row r="253" spans="1:20">
      <c r="A253" s="1" t="s">
        <v>438</v>
      </c>
      <c r="B253" s="1">
        <v>24</v>
      </c>
      <c r="C253" s="1" t="s">
        <v>507</v>
      </c>
      <c r="D253" s="5">
        <v>43281</v>
      </c>
      <c r="E253" s="1">
        <v>2018</v>
      </c>
      <c r="F253" s="1">
        <v>6</v>
      </c>
      <c r="G253" s="4">
        <v>30</v>
      </c>
      <c r="H253" s="8">
        <v>0.34861111111111115</v>
      </c>
      <c r="I253" s="11">
        <v>127.27674999999999</v>
      </c>
      <c r="J253" s="11">
        <v>31.74798333333333</v>
      </c>
      <c r="K253" s="9">
        <v>20.216999999999999</v>
      </c>
      <c r="L253" s="9">
        <v>20</v>
      </c>
      <c r="M253" s="9">
        <v>0</v>
      </c>
      <c r="N253" s="12">
        <v>20.498000000000001</v>
      </c>
      <c r="O253" s="11">
        <v>32.553699999999999</v>
      </c>
      <c r="P253" s="33">
        <v>-0.10836134117647034</v>
      </c>
      <c r="Q253" s="33">
        <v>-1.2919989823529399</v>
      </c>
      <c r="R253" s="1" t="s">
        <v>280</v>
      </c>
      <c r="S253" s="26">
        <v>1</v>
      </c>
      <c r="T253" s="71" t="s">
        <v>626</v>
      </c>
    </row>
    <row r="254" spans="1:20">
      <c r="A254" s="1" t="s">
        <v>438</v>
      </c>
      <c r="B254" s="1">
        <v>24</v>
      </c>
      <c r="C254" s="1" t="s">
        <v>507</v>
      </c>
      <c r="D254" s="5">
        <v>43281</v>
      </c>
      <c r="E254" s="1">
        <v>2018</v>
      </c>
      <c r="F254" s="1">
        <v>6</v>
      </c>
      <c r="G254" s="4">
        <v>30</v>
      </c>
      <c r="H254" s="8">
        <v>0.34861111111111115</v>
      </c>
      <c r="I254" s="11">
        <v>127.27674999999999</v>
      </c>
      <c r="J254" s="11">
        <v>31.74798333333333</v>
      </c>
      <c r="K254" s="9">
        <v>10.228</v>
      </c>
      <c r="L254" s="9">
        <v>10</v>
      </c>
      <c r="M254" s="9">
        <v>0</v>
      </c>
      <c r="N254" s="12">
        <v>24.103899999999999</v>
      </c>
      <c r="O254" s="11">
        <v>32.524000000000001</v>
      </c>
      <c r="P254" s="33">
        <v>-0.16424741647058827</v>
      </c>
      <c r="Q254" s="33">
        <v>-1.9846094129411771</v>
      </c>
      <c r="R254" s="1" t="s">
        <v>280</v>
      </c>
      <c r="S254" s="26">
        <v>1</v>
      </c>
      <c r="T254" s="71" t="s">
        <v>626</v>
      </c>
    </row>
    <row r="255" spans="1:20">
      <c r="A255" s="1" t="s">
        <v>438</v>
      </c>
      <c r="B255" s="1">
        <v>26</v>
      </c>
      <c r="C255" s="1" t="s">
        <v>507</v>
      </c>
      <c r="D255" s="5">
        <v>43281</v>
      </c>
      <c r="E255" s="1">
        <v>2018</v>
      </c>
      <c r="F255" s="1">
        <v>6</v>
      </c>
      <c r="G255" s="4">
        <v>30</v>
      </c>
      <c r="H255" s="8">
        <v>0.55208333333333337</v>
      </c>
      <c r="I255" s="11">
        <v>127.75135</v>
      </c>
      <c r="J255" s="11">
        <v>31.749833333333331</v>
      </c>
      <c r="K255" s="9">
        <v>0</v>
      </c>
      <c r="L255" s="9">
        <v>0</v>
      </c>
      <c r="M255" s="27">
        <v>0</v>
      </c>
      <c r="N255" s="32">
        <v>24.2</v>
      </c>
      <c r="O255" s="11">
        <v>31.222152243835545</v>
      </c>
      <c r="P255" s="33">
        <v>-0.66947569882352975</v>
      </c>
      <c r="Q255" s="33">
        <v>-4.370195934117648</v>
      </c>
      <c r="R255" s="1" t="s">
        <v>280</v>
      </c>
      <c r="T255" s="71" t="s">
        <v>626</v>
      </c>
    </row>
    <row r="256" spans="1:20">
      <c r="A256" s="1" t="s">
        <v>438</v>
      </c>
      <c r="B256" s="1">
        <v>28</v>
      </c>
      <c r="C256" s="1" t="s">
        <v>507</v>
      </c>
      <c r="D256" s="5">
        <v>43281</v>
      </c>
      <c r="E256" s="1">
        <v>2018</v>
      </c>
      <c r="F256" s="1">
        <v>6</v>
      </c>
      <c r="G256" s="4">
        <v>30</v>
      </c>
      <c r="H256" s="8">
        <v>0.78263888888888899</v>
      </c>
      <c r="I256" s="11">
        <v>128.25098333333332</v>
      </c>
      <c r="J256" s="11">
        <v>31.74881666666667</v>
      </c>
      <c r="K256" s="9">
        <v>0</v>
      </c>
      <c r="L256" s="9">
        <v>0</v>
      </c>
      <c r="M256" s="27">
        <v>0</v>
      </c>
      <c r="N256" s="32">
        <v>25.5</v>
      </c>
      <c r="O256" s="11">
        <v>32.485532406566271</v>
      </c>
      <c r="P256" s="33">
        <v>-0.40159549058823529</v>
      </c>
      <c r="Q256" s="33">
        <v>-2.4852027329411763</v>
      </c>
      <c r="R256" s="1" t="s">
        <v>280</v>
      </c>
      <c r="T256" s="71" t="s">
        <v>626</v>
      </c>
    </row>
    <row r="257" spans="1:20">
      <c r="A257" s="1" t="s">
        <v>438</v>
      </c>
      <c r="B257" s="1">
        <v>30</v>
      </c>
      <c r="C257" s="1" t="s">
        <v>507</v>
      </c>
      <c r="D257" s="5">
        <v>43281</v>
      </c>
      <c r="E257" s="1">
        <v>2018</v>
      </c>
      <c r="F257" s="1">
        <v>6</v>
      </c>
      <c r="G257" s="4">
        <v>30</v>
      </c>
      <c r="H257" s="8">
        <v>0.84791666666666676</v>
      </c>
      <c r="I257" s="11">
        <v>128.74896666666666</v>
      </c>
      <c r="J257" s="11">
        <v>31.749183333333335</v>
      </c>
      <c r="K257" s="9">
        <v>0</v>
      </c>
      <c r="L257" s="9">
        <v>0</v>
      </c>
      <c r="M257" s="27">
        <v>0</v>
      </c>
      <c r="N257" s="32">
        <v>25.9</v>
      </c>
      <c r="O257" s="11">
        <v>33.903213609154115</v>
      </c>
      <c r="P257" s="33">
        <v>-2.3868482352941367E-2</v>
      </c>
      <c r="Q257" s="33">
        <v>-3.6861911764708211E-2</v>
      </c>
      <c r="R257" s="1" t="s">
        <v>280</v>
      </c>
      <c r="S257" s="26">
        <v>1</v>
      </c>
      <c r="T257" s="71" t="s">
        <v>626</v>
      </c>
    </row>
    <row r="258" spans="1:20">
      <c r="A258" s="1" t="s">
        <v>438</v>
      </c>
      <c r="B258" s="1">
        <v>30</v>
      </c>
      <c r="C258" s="1" t="s">
        <v>507</v>
      </c>
      <c r="D258" s="5">
        <v>43281</v>
      </c>
      <c r="E258" s="1">
        <v>2018</v>
      </c>
      <c r="F258" s="1">
        <v>6</v>
      </c>
      <c r="G258" s="4">
        <v>30</v>
      </c>
      <c r="H258" s="8">
        <v>0.84791666666666676</v>
      </c>
      <c r="I258" s="11">
        <v>128.74896666666666</v>
      </c>
      <c r="J258" s="11">
        <v>31.749183333333335</v>
      </c>
      <c r="K258" s="9">
        <v>496.91399999999999</v>
      </c>
      <c r="L258" s="9">
        <v>500</v>
      </c>
      <c r="M258" s="9">
        <v>0</v>
      </c>
      <c r="N258" s="12">
        <v>8.6141000000000005</v>
      </c>
      <c r="O258" s="11">
        <v>34.358699999999999</v>
      </c>
      <c r="P258" s="33">
        <v>-5.4812254117647452E-2</v>
      </c>
      <c r="Q258" s="33">
        <v>-0.5706726505882358</v>
      </c>
      <c r="R258" s="1" t="s">
        <v>280</v>
      </c>
      <c r="S258" s="26">
        <v>1</v>
      </c>
      <c r="T258" s="71" t="s">
        <v>626</v>
      </c>
    </row>
    <row r="259" spans="1:20">
      <c r="A259" s="1" t="s">
        <v>438</v>
      </c>
      <c r="B259" s="1">
        <v>30</v>
      </c>
      <c r="C259" s="1" t="s">
        <v>507</v>
      </c>
      <c r="D259" s="5">
        <v>43281</v>
      </c>
      <c r="E259" s="1">
        <v>2018</v>
      </c>
      <c r="F259" s="1">
        <v>6</v>
      </c>
      <c r="G259" s="4">
        <v>30</v>
      </c>
      <c r="H259" s="8">
        <v>0.84791666666666676</v>
      </c>
      <c r="I259" s="11">
        <v>128.74896666666666</v>
      </c>
      <c r="J259" s="11">
        <v>31.749183333333335</v>
      </c>
      <c r="K259" s="9">
        <v>298.517</v>
      </c>
      <c r="L259" s="9">
        <v>300</v>
      </c>
      <c r="M259" s="9">
        <v>0</v>
      </c>
      <c r="N259" s="12">
        <v>12.2849</v>
      </c>
      <c r="O259" s="11">
        <v>34.443199999999997</v>
      </c>
      <c r="P259" s="33">
        <v>9.610145411764659E-2</v>
      </c>
      <c r="Q259" s="33">
        <v>0.2525741305882363</v>
      </c>
      <c r="R259" s="1" t="s">
        <v>280</v>
      </c>
      <c r="S259" s="26">
        <v>1</v>
      </c>
      <c r="T259" s="71" t="s">
        <v>626</v>
      </c>
    </row>
    <row r="260" spans="1:20">
      <c r="A260" s="1" t="s">
        <v>438</v>
      </c>
      <c r="B260" s="1">
        <v>30</v>
      </c>
      <c r="C260" s="1" t="s">
        <v>507</v>
      </c>
      <c r="D260" s="5">
        <v>43281</v>
      </c>
      <c r="E260" s="1">
        <v>2018</v>
      </c>
      <c r="F260" s="1">
        <v>6</v>
      </c>
      <c r="G260" s="4">
        <v>30</v>
      </c>
      <c r="H260" s="8">
        <v>0.84791666666666676</v>
      </c>
      <c r="I260" s="11">
        <v>128.74896666666666</v>
      </c>
      <c r="J260" s="11">
        <v>31.749183333333335</v>
      </c>
      <c r="K260" s="9">
        <v>199.36799999999999</v>
      </c>
      <c r="L260" s="9">
        <v>200</v>
      </c>
      <c r="M260" s="9">
        <v>0</v>
      </c>
      <c r="N260" s="12">
        <v>15.190899999999999</v>
      </c>
      <c r="O260" s="11">
        <v>34.552599999999998</v>
      </c>
      <c r="P260" s="33">
        <v>0.20409354235294064</v>
      </c>
      <c r="Q260" s="33">
        <v>1.0830810517647045</v>
      </c>
      <c r="R260" s="1" t="s">
        <v>280</v>
      </c>
      <c r="S260" s="26">
        <v>1</v>
      </c>
      <c r="T260" s="71" t="s">
        <v>626</v>
      </c>
    </row>
    <row r="261" spans="1:20">
      <c r="A261" s="1" t="s">
        <v>438</v>
      </c>
      <c r="B261" s="1">
        <v>30</v>
      </c>
      <c r="C261" s="1" t="s">
        <v>507</v>
      </c>
      <c r="D261" s="5">
        <v>43281</v>
      </c>
      <c r="E261" s="1">
        <v>2018</v>
      </c>
      <c r="F261" s="1">
        <v>6</v>
      </c>
      <c r="G261" s="4">
        <v>30</v>
      </c>
      <c r="H261" s="8">
        <v>0.84791666666666676</v>
      </c>
      <c r="I261" s="11">
        <v>128.74896666666666</v>
      </c>
      <c r="J261" s="11">
        <v>31.749183333333335</v>
      </c>
      <c r="K261" s="9">
        <v>149.102</v>
      </c>
      <c r="L261" s="9">
        <v>150</v>
      </c>
      <c r="M261" s="9">
        <v>0</v>
      </c>
      <c r="N261" s="12">
        <v>16.531300000000002</v>
      </c>
      <c r="O261" s="11">
        <v>34.5886</v>
      </c>
      <c r="P261" s="33">
        <v>0.23865101058823512</v>
      </c>
      <c r="Q261" s="33">
        <v>1.0986863129411741</v>
      </c>
      <c r="R261" s="1" t="s">
        <v>280</v>
      </c>
      <c r="S261" s="26">
        <v>1</v>
      </c>
      <c r="T261" s="71" t="s">
        <v>626</v>
      </c>
    </row>
    <row r="262" spans="1:20">
      <c r="A262" s="1" t="s">
        <v>438</v>
      </c>
      <c r="B262" s="1">
        <v>30</v>
      </c>
      <c r="C262" s="1" t="s">
        <v>507</v>
      </c>
      <c r="D262" s="5">
        <v>43281</v>
      </c>
      <c r="E262" s="1">
        <v>2018</v>
      </c>
      <c r="F262" s="1">
        <v>6</v>
      </c>
      <c r="G262" s="4">
        <v>30</v>
      </c>
      <c r="H262" s="8">
        <v>0.84791666666666676</v>
      </c>
      <c r="I262" s="11">
        <v>128.74896666666666</v>
      </c>
      <c r="J262" s="11">
        <v>31.749183333333335</v>
      </c>
      <c r="K262" s="9">
        <v>124.11</v>
      </c>
      <c r="L262" s="9">
        <v>125</v>
      </c>
      <c r="M262" s="9">
        <v>0</v>
      </c>
      <c r="N262" s="12">
        <v>16.997900000000001</v>
      </c>
      <c r="O262" s="11">
        <v>34.543599999999998</v>
      </c>
      <c r="P262" s="33">
        <v>0.15047442352941198</v>
      </c>
      <c r="Q262" s="33">
        <v>1.0496543976470569</v>
      </c>
      <c r="R262" s="1" t="s">
        <v>280</v>
      </c>
      <c r="S262" s="26">
        <v>1</v>
      </c>
      <c r="T262" s="71" t="s">
        <v>626</v>
      </c>
    </row>
    <row r="263" spans="1:20">
      <c r="A263" s="1" t="s">
        <v>438</v>
      </c>
      <c r="B263" s="1">
        <v>30</v>
      </c>
      <c r="C263" s="1" t="s">
        <v>507</v>
      </c>
      <c r="D263" s="5">
        <v>43281</v>
      </c>
      <c r="E263" s="1">
        <v>2018</v>
      </c>
      <c r="F263" s="1">
        <v>6</v>
      </c>
      <c r="G263" s="4">
        <v>30</v>
      </c>
      <c r="H263" s="8">
        <v>0.84791666666666676</v>
      </c>
      <c r="I263" s="11">
        <v>128.74896666666666</v>
      </c>
      <c r="J263" s="11">
        <v>31.749183333333335</v>
      </c>
      <c r="K263" s="9">
        <v>100.316</v>
      </c>
      <c r="L263" s="9">
        <v>100</v>
      </c>
      <c r="M263" s="9">
        <v>0</v>
      </c>
      <c r="N263" s="12">
        <v>18.539899999999999</v>
      </c>
      <c r="O263" s="11">
        <v>34.415799999999997</v>
      </c>
      <c r="P263" s="33">
        <v>0.20639099176470577</v>
      </c>
      <c r="Q263" s="33">
        <v>1.0122802588235302</v>
      </c>
      <c r="R263" s="1" t="s">
        <v>280</v>
      </c>
      <c r="S263" s="26">
        <v>1</v>
      </c>
      <c r="T263" s="71" t="s">
        <v>626</v>
      </c>
    </row>
    <row r="264" spans="1:20">
      <c r="A264" s="1" t="s">
        <v>438</v>
      </c>
      <c r="B264" s="1">
        <v>30</v>
      </c>
      <c r="C264" s="1" t="s">
        <v>507</v>
      </c>
      <c r="D264" s="5">
        <v>43281</v>
      </c>
      <c r="E264" s="1">
        <v>2018</v>
      </c>
      <c r="F264" s="1">
        <v>6</v>
      </c>
      <c r="G264" s="4">
        <v>30</v>
      </c>
      <c r="H264" s="8">
        <v>0.84791666666666676</v>
      </c>
      <c r="I264" s="11">
        <v>128.74896666666666</v>
      </c>
      <c r="J264" s="11">
        <v>31.749183333333335</v>
      </c>
      <c r="K264" s="9">
        <v>75.275999999999996</v>
      </c>
      <c r="L264" s="9">
        <v>75</v>
      </c>
      <c r="M264" s="9">
        <v>0</v>
      </c>
      <c r="N264" s="12">
        <v>19.803799999999999</v>
      </c>
      <c r="O264" s="11">
        <v>34.377200000000002</v>
      </c>
      <c r="P264" s="33">
        <v>0.14717183999999994</v>
      </c>
      <c r="Q264" s="33">
        <v>0.99236970000000113</v>
      </c>
      <c r="R264" s="1" t="s">
        <v>280</v>
      </c>
      <c r="S264" s="26">
        <v>1</v>
      </c>
      <c r="T264" s="71" t="s">
        <v>626</v>
      </c>
    </row>
    <row r="265" spans="1:20">
      <c r="A265" s="1" t="s">
        <v>438</v>
      </c>
      <c r="B265" s="1">
        <v>30</v>
      </c>
      <c r="C265" s="1" t="s">
        <v>507</v>
      </c>
      <c r="D265" s="5">
        <v>43281</v>
      </c>
      <c r="E265" s="1">
        <v>2018</v>
      </c>
      <c r="F265" s="1">
        <v>6</v>
      </c>
      <c r="G265" s="4">
        <v>30</v>
      </c>
      <c r="H265" s="8">
        <v>0.84791666666666676</v>
      </c>
      <c r="I265" s="11">
        <v>128.74896666666666</v>
      </c>
      <c r="J265" s="11">
        <v>31.749183333333335</v>
      </c>
      <c r="K265" s="9">
        <v>49.128999999999998</v>
      </c>
      <c r="L265" s="9">
        <v>50</v>
      </c>
      <c r="M265" s="9">
        <v>0</v>
      </c>
      <c r="N265" s="12">
        <v>21.387</v>
      </c>
      <c r="O265" s="11">
        <v>34.28</v>
      </c>
      <c r="P265" s="33">
        <v>0.20939442823529397</v>
      </c>
      <c r="Q265" s="33">
        <v>0.99698664117646807</v>
      </c>
      <c r="R265" s="1" t="s">
        <v>280</v>
      </c>
      <c r="S265" s="26">
        <v>1</v>
      </c>
      <c r="T265" s="71" t="s">
        <v>626</v>
      </c>
    </row>
    <row r="266" spans="1:20">
      <c r="A266" s="1" t="s">
        <v>438</v>
      </c>
      <c r="B266" s="1">
        <v>30</v>
      </c>
      <c r="C266" s="1" t="s">
        <v>507</v>
      </c>
      <c r="D266" s="5">
        <v>43281</v>
      </c>
      <c r="E266" s="1">
        <v>2018</v>
      </c>
      <c r="F266" s="1">
        <v>6</v>
      </c>
      <c r="G266" s="4">
        <v>30</v>
      </c>
      <c r="H266" s="8">
        <v>0.84791666666666676</v>
      </c>
      <c r="I266" s="11">
        <v>128.74896666666666</v>
      </c>
      <c r="J266" s="11">
        <v>31.749183333333335</v>
      </c>
      <c r="K266" s="9">
        <v>30.338000000000001</v>
      </c>
      <c r="L266" s="9">
        <v>30</v>
      </c>
      <c r="M266" s="9">
        <v>0</v>
      </c>
      <c r="N266" s="12">
        <v>23.250399999999999</v>
      </c>
      <c r="O266" s="11">
        <v>34.102600000000002</v>
      </c>
      <c r="P266" s="33">
        <v>0.18557035647058795</v>
      </c>
      <c r="Q266" s="33">
        <v>0.71610348235293841</v>
      </c>
      <c r="R266" s="1" t="s">
        <v>280</v>
      </c>
      <c r="S266" s="26">
        <v>1</v>
      </c>
      <c r="T266" s="71" t="s">
        <v>626</v>
      </c>
    </row>
    <row r="267" spans="1:20">
      <c r="A267" s="1" t="s">
        <v>438</v>
      </c>
      <c r="B267" s="1">
        <v>30</v>
      </c>
      <c r="C267" s="1" t="s">
        <v>507</v>
      </c>
      <c r="D267" s="5">
        <v>43281</v>
      </c>
      <c r="E267" s="1">
        <v>2018</v>
      </c>
      <c r="F267" s="1">
        <v>6</v>
      </c>
      <c r="G267" s="4">
        <v>30</v>
      </c>
      <c r="H267" s="8">
        <v>0.84791666666666676</v>
      </c>
      <c r="I267" s="11">
        <v>128.74896666666666</v>
      </c>
      <c r="J267" s="11">
        <v>31.749183333333335</v>
      </c>
      <c r="K267" s="9">
        <v>20.524000000000001</v>
      </c>
      <c r="L267" s="9">
        <v>20</v>
      </c>
      <c r="M267" s="9">
        <v>0</v>
      </c>
      <c r="N267" s="12">
        <v>24.815100000000001</v>
      </c>
      <c r="O267" s="11">
        <v>33.933300000000003</v>
      </c>
      <c r="P267" s="33">
        <v>7.0003864705882268E-2</v>
      </c>
      <c r="Q267" s="33">
        <v>0.21977076352941083</v>
      </c>
      <c r="R267" s="1" t="s">
        <v>280</v>
      </c>
      <c r="S267" s="26">
        <v>1</v>
      </c>
      <c r="T267" s="71" t="s">
        <v>626</v>
      </c>
    </row>
    <row r="268" spans="1:20">
      <c r="A268" s="1" t="s">
        <v>438</v>
      </c>
      <c r="B268" s="1">
        <v>30</v>
      </c>
      <c r="C268" s="1" t="s">
        <v>507</v>
      </c>
      <c r="D268" s="5">
        <v>43281</v>
      </c>
      <c r="E268" s="1">
        <v>2018</v>
      </c>
      <c r="F268" s="1">
        <v>6</v>
      </c>
      <c r="G268" s="4">
        <v>30</v>
      </c>
      <c r="H268" s="8">
        <v>0.84791666666666676</v>
      </c>
      <c r="I268" s="11">
        <v>128.74896666666666</v>
      </c>
      <c r="J268" s="11">
        <v>31.749183333333335</v>
      </c>
      <c r="K268" s="9">
        <v>10.826000000000001</v>
      </c>
      <c r="L268" s="9">
        <v>10</v>
      </c>
      <c r="M268" s="9">
        <v>0</v>
      </c>
      <c r="N268" s="12">
        <v>25.598800000000001</v>
      </c>
      <c r="O268" s="11">
        <v>33.8613</v>
      </c>
      <c r="P268" s="33">
        <v>-2.989928705882372E-2</v>
      </c>
      <c r="Q268" s="33">
        <v>-0.12821963529411917</v>
      </c>
      <c r="R268" s="1" t="s">
        <v>280</v>
      </c>
      <c r="S268" s="26">
        <v>1</v>
      </c>
      <c r="T268" s="71" t="s">
        <v>626</v>
      </c>
    </row>
    <row r="269" spans="1:20">
      <c r="A269" s="1" t="s">
        <v>438</v>
      </c>
      <c r="B269" s="1">
        <v>32</v>
      </c>
      <c r="C269" s="1" t="s">
        <v>507</v>
      </c>
      <c r="D269" s="5">
        <v>43282</v>
      </c>
      <c r="E269" s="1">
        <v>2018</v>
      </c>
      <c r="F269" s="1">
        <v>7</v>
      </c>
      <c r="G269" s="4">
        <v>1</v>
      </c>
      <c r="H269" s="8">
        <v>9.5138888888888884E-2</v>
      </c>
      <c r="I269" s="11">
        <v>129.24946666666665</v>
      </c>
      <c r="J269" s="11">
        <v>31.750566666666668</v>
      </c>
      <c r="K269" s="9">
        <v>0</v>
      </c>
      <c r="L269" s="9">
        <v>0</v>
      </c>
      <c r="M269" s="27">
        <v>0</v>
      </c>
      <c r="N269" s="32">
        <v>25</v>
      </c>
      <c r="O269" s="11">
        <v>33.644475286566347</v>
      </c>
      <c r="P269" s="33">
        <v>2.5203601176469803E-2</v>
      </c>
      <c r="Q269" s="33">
        <v>-0.39203165411764829</v>
      </c>
      <c r="R269" s="1" t="s">
        <v>280</v>
      </c>
      <c r="T269" s="71" t="s">
        <v>626</v>
      </c>
    </row>
    <row r="270" spans="1:20">
      <c r="A270" s="1" t="s">
        <v>438</v>
      </c>
      <c r="B270" s="1">
        <v>34</v>
      </c>
      <c r="C270" s="1" t="s">
        <v>507</v>
      </c>
      <c r="D270" s="5">
        <v>43282</v>
      </c>
      <c r="E270" s="1">
        <v>2018</v>
      </c>
      <c r="F270" s="1">
        <v>7</v>
      </c>
      <c r="G270" s="4">
        <v>1</v>
      </c>
      <c r="H270" s="8">
        <v>0.26944444444444443</v>
      </c>
      <c r="I270" s="11">
        <v>129.66828333333333</v>
      </c>
      <c r="J270" s="11">
        <v>31.749199999999998</v>
      </c>
      <c r="K270" s="9">
        <v>0</v>
      </c>
      <c r="L270" s="9">
        <v>0</v>
      </c>
      <c r="M270" s="27">
        <v>0</v>
      </c>
      <c r="N270" s="32">
        <v>25</v>
      </c>
      <c r="O270" s="11">
        <v>33.62925868531935</v>
      </c>
      <c r="P270" s="31">
        <v>-5.3324694117646843E-2</v>
      </c>
      <c r="Q270" s="31">
        <v>-0.43820823294117517</v>
      </c>
      <c r="R270" s="1" t="s">
        <v>280</v>
      </c>
      <c r="T270" s="71" t="s">
        <v>626</v>
      </c>
    </row>
    <row r="271" spans="1:20">
      <c r="A271" s="1" t="s">
        <v>469</v>
      </c>
      <c r="B271" s="1" t="s">
        <v>473</v>
      </c>
      <c r="C271" s="1" t="s">
        <v>507</v>
      </c>
      <c r="D271" s="5">
        <v>43532</v>
      </c>
      <c r="E271" s="1">
        <f t="shared" ref="E271:E315" si="20">YEAR(D271)</f>
        <v>2019</v>
      </c>
      <c r="F271" s="1">
        <f t="shared" ref="F271:F315" si="21">MONTH(D271)</f>
        <v>3</v>
      </c>
      <c r="G271" s="4">
        <f t="shared" ref="G271:G315" si="22">DAY(D271)</f>
        <v>8</v>
      </c>
      <c r="H271" s="8">
        <v>0.53055555555555556</v>
      </c>
      <c r="I271" s="11">
        <f t="shared" ref="I271:I278" si="23">127+1477/6000</f>
        <v>127.24616666666667</v>
      </c>
      <c r="J271" s="11">
        <f t="shared" ref="J271:J278" si="24">31+4164/6000</f>
        <v>31.693999999999999</v>
      </c>
      <c r="K271" s="9">
        <v>0</v>
      </c>
      <c r="L271" s="9">
        <v>0</v>
      </c>
      <c r="M271" s="27">
        <v>0</v>
      </c>
      <c r="N271" s="12">
        <v>18.63</v>
      </c>
      <c r="O271" s="11">
        <v>34.608446400001455</v>
      </c>
      <c r="P271" s="33">
        <v>0.18774911764705848</v>
      </c>
      <c r="Q271" s="33">
        <v>1.3874037976470603</v>
      </c>
      <c r="R271" s="1" t="s">
        <v>280</v>
      </c>
      <c r="S271" s="1">
        <v>1</v>
      </c>
      <c r="T271" s="71" t="s">
        <v>626</v>
      </c>
    </row>
    <row r="272" spans="1:20">
      <c r="A272" s="1" t="s">
        <v>469</v>
      </c>
      <c r="B272" s="1" t="s">
        <v>473</v>
      </c>
      <c r="C272" s="1" t="s">
        <v>507</v>
      </c>
      <c r="D272" s="5">
        <v>43532</v>
      </c>
      <c r="E272" s="1">
        <f t="shared" si="20"/>
        <v>2019</v>
      </c>
      <c r="F272" s="1">
        <f t="shared" si="21"/>
        <v>3</v>
      </c>
      <c r="G272" s="4">
        <f t="shared" si="22"/>
        <v>8</v>
      </c>
      <c r="H272" s="8">
        <v>0.53055555555555556</v>
      </c>
      <c r="I272" s="11">
        <f t="shared" si="23"/>
        <v>127.24616666666667</v>
      </c>
      <c r="J272" s="11">
        <f t="shared" si="24"/>
        <v>31.693999999999999</v>
      </c>
      <c r="K272" s="9">
        <v>10.111000000000001</v>
      </c>
      <c r="L272" s="9">
        <v>10</v>
      </c>
      <c r="M272" s="9">
        <v>0</v>
      </c>
      <c r="N272" s="12">
        <v>18.463200000000001</v>
      </c>
      <c r="O272" s="11">
        <v>34.5946</v>
      </c>
      <c r="P272" s="33">
        <v>0.25890220588235291</v>
      </c>
      <c r="Q272" s="33">
        <v>1.4751915058823535</v>
      </c>
      <c r="R272" s="1" t="s">
        <v>280</v>
      </c>
      <c r="S272" s="1">
        <v>1</v>
      </c>
      <c r="T272" s="71" t="s">
        <v>626</v>
      </c>
    </row>
    <row r="273" spans="1:20">
      <c r="A273" s="1" t="s">
        <v>469</v>
      </c>
      <c r="B273" s="1" t="s">
        <v>473</v>
      </c>
      <c r="C273" s="1" t="s">
        <v>507</v>
      </c>
      <c r="D273" s="5">
        <v>43532</v>
      </c>
      <c r="E273" s="1">
        <f t="shared" si="20"/>
        <v>2019</v>
      </c>
      <c r="F273" s="1">
        <f t="shared" si="21"/>
        <v>3</v>
      </c>
      <c r="G273" s="4">
        <f t="shared" si="22"/>
        <v>8</v>
      </c>
      <c r="H273" s="8">
        <v>0.53055555555555556</v>
      </c>
      <c r="I273" s="11">
        <f t="shared" si="23"/>
        <v>127.24616666666667</v>
      </c>
      <c r="J273" s="11">
        <f t="shared" si="24"/>
        <v>31.693999999999999</v>
      </c>
      <c r="K273" s="9">
        <v>19.613</v>
      </c>
      <c r="L273" s="9">
        <v>20</v>
      </c>
      <c r="M273" s="9">
        <v>0</v>
      </c>
      <c r="N273" s="12">
        <v>18.454999999999998</v>
      </c>
      <c r="O273" s="11">
        <v>34.594999999999999</v>
      </c>
      <c r="P273" s="33">
        <v>0.1898352941176471</v>
      </c>
      <c r="Q273" s="33">
        <v>1.4639940941176466</v>
      </c>
      <c r="R273" s="1" t="s">
        <v>280</v>
      </c>
      <c r="S273" s="1">
        <v>1</v>
      </c>
      <c r="T273" s="71" t="s">
        <v>626</v>
      </c>
    </row>
    <row r="274" spans="1:20">
      <c r="A274" s="1" t="s">
        <v>469</v>
      </c>
      <c r="B274" s="1" t="s">
        <v>473</v>
      </c>
      <c r="C274" s="1" t="s">
        <v>507</v>
      </c>
      <c r="D274" s="5">
        <v>43532</v>
      </c>
      <c r="E274" s="1">
        <f t="shared" si="20"/>
        <v>2019</v>
      </c>
      <c r="F274" s="1">
        <f t="shared" si="21"/>
        <v>3</v>
      </c>
      <c r="G274" s="4">
        <f t="shared" si="22"/>
        <v>8</v>
      </c>
      <c r="H274" s="8">
        <v>0.53055555555555556</v>
      </c>
      <c r="I274" s="11">
        <f t="shared" si="23"/>
        <v>127.24616666666667</v>
      </c>
      <c r="J274" s="11">
        <f t="shared" si="24"/>
        <v>31.693999999999999</v>
      </c>
      <c r="K274" s="9">
        <v>30.117000000000001</v>
      </c>
      <c r="L274" s="9">
        <v>30</v>
      </c>
      <c r="M274" s="9">
        <v>0</v>
      </c>
      <c r="N274" s="12">
        <v>18.411799999999999</v>
      </c>
      <c r="O274" s="11">
        <v>34.591500000000003</v>
      </c>
      <c r="P274" s="33">
        <v>0.33311421568627431</v>
      </c>
      <c r="Q274" s="33">
        <v>1.804298882352942</v>
      </c>
      <c r="R274" s="1" t="s">
        <v>280</v>
      </c>
      <c r="S274" s="1">
        <v>1</v>
      </c>
      <c r="T274" s="71" t="s">
        <v>626</v>
      </c>
    </row>
    <row r="275" spans="1:20">
      <c r="A275" s="1" t="s">
        <v>469</v>
      </c>
      <c r="B275" s="1" t="s">
        <v>473</v>
      </c>
      <c r="C275" s="1" t="s">
        <v>507</v>
      </c>
      <c r="D275" s="5">
        <v>43532</v>
      </c>
      <c r="E275" s="1">
        <f t="shared" si="20"/>
        <v>2019</v>
      </c>
      <c r="F275" s="1">
        <f t="shared" si="21"/>
        <v>3</v>
      </c>
      <c r="G275" s="4">
        <f t="shared" si="22"/>
        <v>8</v>
      </c>
      <c r="H275" s="8">
        <v>0.53055555555555556</v>
      </c>
      <c r="I275" s="11">
        <f t="shared" si="23"/>
        <v>127.24616666666667</v>
      </c>
      <c r="J275" s="11">
        <f t="shared" si="24"/>
        <v>31.693999999999999</v>
      </c>
      <c r="K275" s="9">
        <v>49.954000000000001</v>
      </c>
      <c r="L275" s="9">
        <v>50</v>
      </c>
      <c r="M275" s="9">
        <v>0</v>
      </c>
      <c r="N275" s="12">
        <v>17.301400000000001</v>
      </c>
      <c r="O275" s="11">
        <v>34.547600000000003</v>
      </c>
      <c r="P275" s="33">
        <v>0.23579147058823491</v>
      </c>
      <c r="Q275" s="33">
        <v>1.466739390588236</v>
      </c>
      <c r="R275" s="1" t="s">
        <v>280</v>
      </c>
      <c r="S275" s="1">
        <v>1</v>
      </c>
      <c r="T275" s="71" t="s">
        <v>626</v>
      </c>
    </row>
    <row r="276" spans="1:20">
      <c r="A276" s="1" t="s">
        <v>469</v>
      </c>
      <c r="B276" s="1" t="s">
        <v>473</v>
      </c>
      <c r="C276" s="1" t="s">
        <v>507</v>
      </c>
      <c r="D276" s="5">
        <v>43532</v>
      </c>
      <c r="E276" s="1">
        <f t="shared" si="20"/>
        <v>2019</v>
      </c>
      <c r="F276" s="1">
        <f t="shared" si="21"/>
        <v>3</v>
      </c>
      <c r="G276" s="4">
        <f t="shared" si="22"/>
        <v>8</v>
      </c>
      <c r="H276" s="8">
        <v>0.53055555555555556</v>
      </c>
      <c r="I276" s="11">
        <f t="shared" si="23"/>
        <v>127.24616666666667</v>
      </c>
      <c r="J276" s="11">
        <f t="shared" si="24"/>
        <v>31.693999999999999</v>
      </c>
      <c r="K276" s="9">
        <v>74.302000000000007</v>
      </c>
      <c r="L276" s="9">
        <v>75</v>
      </c>
      <c r="M276" s="9">
        <v>0</v>
      </c>
      <c r="N276" s="12">
        <v>16.613499999999998</v>
      </c>
      <c r="O276" s="11">
        <v>34.487699999999997</v>
      </c>
      <c r="P276" s="33">
        <v>0.13008382352941128</v>
      </c>
      <c r="Q276" s="33">
        <v>1.0455043435294105</v>
      </c>
      <c r="R276" s="1" t="s">
        <v>280</v>
      </c>
      <c r="S276" s="1">
        <v>1</v>
      </c>
      <c r="T276" s="71" t="s">
        <v>626</v>
      </c>
    </row>
    <row r="277" spans="1:20">
      <c r="A277" s="1" t="s">
        <v>469</v>
      </c>
      <c r="B277" s="1" t="s">
        <v>473</v>
      </c>
      <c r="C277" s="1" t="s">
        <v>507</v>
      </c>
      <c r="D277" s="5">
        <v>43532</v>
      </c>
      <c r="E277" s="1">
        <f t="shared" si="20"/>
        <v>2019</v>
      </c>
      <c r="F277" s="1">
        <f t="shared" si="21"/>
        <v>3</v>
      </c>
      <c r="G277" s="4">
        <f t="shared" si="22"/>
        <v>8</v>
      </c>
      <c r="H277" s="8">
        <v>0.53055555555555556</v>
      </c>
      <c r="I277" s="11">
        <f t="shared" si="23"/>
        <v>127.24616666666667</v>
      </c>
      <c r="J277" s="11">
        <f t="shared" si="24"/>
        <v>31.693999999999999</v>
      </c>
      <c r="K277" s="9">
        <v>100.21299999999999</v>
      </c>
      <c r="L277" s="9">
        <v>100</v>
      </c>
      <c r="M277" s="9">
        <v>0</v>
      </c>
      <c r="N277" s="12">
        <v>15.8241</v>
      </c>
      <c r="O277" s="11">
        <v>34.533900000000003</v>
      </c>
      <c r="P277" s="33">
        <v>0.18273566176470535</v>
      </c>
      <c r="Q277" s="33">
        <v>0.96879821176470671</v>
      </c>
      <c r="R277" s="1" t="s">
        <v>280</v>
      </c>
      <c r="S277" s="1">
        <v>1</v>
      </c>
      <c r="T277" s="71" t="s">
        <v>626</v>
      </c>
    </row>
    <row r="278" spans="1:20">
      <c r="A278" s="1" t="s">
        <v>469</v>
      </c>
      <c r="B278" s="1" t="s">
        <v>473</v>
      </c>
      <c r="C278" s="1" t="s">
        <v>507</v>
      </c>
      <c r="D278" s="5">
        <v>43532</v>
      </c>
      <c r="E278" s="1">
        <f t="shared" si="20"/>
        <v>2019</v>
      </c>
      <c r="F278" s="1">
        <f t="shared" si="21"/>
        <v>3</v>
      </c>
      <c r="G278" s="4">
        <f t="shared" si="22"/>
        <v>8</v>
      </c>
      <c r="H278" s="8">
        <v>0.53055555555555556</v>
      </c>
      <c r="I278" s="11">
        <f t="shared" si="23"/>
        <v>127.24616666666667</v>
      </c>
      <c r="J278" s="11">
        <f t="shared" si="24"/>
        <v>31.693999999999999</v>
      </c>
      <c r="K278" s="9">
        <v>119.92100000000001</v>
      </c>
      <c r="L278" s="9">
        <v>120</v>
      </c>
      <c r="M278" s="9">
        <v>0</v>
      </c>
      <c r="N278" s="12">
        <v>15.527900000000001</v>
      </c>
      <c r="O278" s="11">
        <v>34.567300000000003</v>
      </c>
      <c r="P278" s="33">
        <v>8.9837499999999793E-2</v>
      </c>
      <c r="Q278" s="33">
        <v>0.79645460000000057</v>
      </c>
      <c r="R278" s="1" t="s">
        <v>280</v>
      </c>
      <c r="S278" s="1">
        <v>1</v>
      </c>
      <c r="T278" s="71" t="s">
        <v>626</v>
      </c>
    </row>
    <row r="279" spans="1:20">
      <c r="A279" s="1" t="s">
        <v>469</v>
      </c>
      <c r="B279" s="1">
        <v>95</v>
      </c>
      <c r="C279" s="1" t="s">
        <v>507</v>
      </c>
      <c r="D279" s="5">
        <v>43533</v>
      </c>
      <c r="E279" s="1">
        <f t="shared" si="20"/>
        <v>2019</v>
      </c>
      <c r="F279" s="1">
        <f t="shared" si="21"/>
        <v>3</v>
      </c>
      <c r="G279" s="4">
        <f t="shared" si="22"/>
        <v>9</v>
      </c>
      <c r="H279" s="8">
        <v>0.63194444444444442</v>
      </c>
      <c r="I279" s="11">
        <f t="shared" ref="I279:I290" si="25">128+44.75/60</f>
        <v>128.74583333333334</v>
      </c>
      <c r="J279" s="11">
        <f t="shared" ref="J279:J290" si="26">31+44.86/60</f>
        <v>31.747666666666667</v>
      </c>
      <c r="K279" s="9">
        <v>0</v>
      </c>
      <c r="L279" s="9">
        <v>0</v>
      </c>
      <c r="M279" s="27">
        <v>0</v>
      </c>
      <c r="N279" s="12">
        <v>19.510000000000002</v>
      </c>
      <c r="O279" s="11">
        <v>34.667003288194984</v>
      </c>
      <c r="P279" s="33">
        <v>0.19707058823529344</v>
      </c>
      <c r="Q279" s="33">
        <v>1.2347270882352941</v>
      </c>
      <c r="R279" s="1" t="s">
        <v>280</v>
      </c>
      <c r="S279" s="1">
        <v>1</v>
      </c>
      <c r="T279" s="71" t="s">
        <v>626</v>
      </c>
    </row>
    <row r="280" spans="1:20">
      <c r="A280" s="1" t="s">
        <v>469</v>
      </c>
      <c r="B280" s="1">
        <v>95</v>
      </c>
      <c r="C280" s="1" t="s">
        <v>507</v>
      </c>
      <c r="D280" s="5">
        <v>43533</v>
      </c>
      <c r="E280" s="1">
        <f t="shared" si="20"/>
        <v>2019</v>
      </c>
      <c r="F280" s="1">
        <f t="shared" si="21"/>
        <v>3</v>
      </c>
      <c r="G280" s="4">
        <f t="shared" si="22"/>
        <v>9</v>
      </c>
      <c r="H280" s="8">
        <v>0.63194444444444442</v>
      </c>
      <c r="I280" s="11">
        <f t="shared" si="25"/>
        <v>128.74583333333334</v>
      </c>
      <c r="J280" s="11">
        <f t="shared" si="26"/>
        <v>31.747666666666667</v>
      </c>
      <c r="K280" s="9">
        <v>9.35</v>
      </c>
      <c r="L280" s="9">
        <v>10</v>
      </c>
      <c r="M280" s="9">
        <v>0</v>
      </c>
      <c r="N280" s="12">
        <v>19.392499999999998</v>
      </c>
      <c r="O280" s="11">
        <v>34.656300000000002</v>
      </c>
      <c r="P280" s="33">
        <v>0.20088117647058779</v>
      </c>
      <c r="Q280" s="33">
        <v>1.394620336470588</v>
      </c>
      <c r="R280" s="1" t="s">
        <v>280</v>
      </c>
      <c r="S280" s="1">
        <v>1</v>
      </c>
      <c r="T280" s="71" t="s">
        <v>626</v>
      </c>
    </row>
    <row r="281" spans="1:20">
      <c r="A281" s="1" t="s">
        <v>469</v>
      </c>
      <c r="B281" s="1">
        <v>95</v>
      </c>
      <c r="C281" s="1" t="s">
        <v>507</v>
      </c>
      <c r="D281" s="5">
        <v>43533</v>
      </c>
      <c r="E281" s="1">
        <f t="shared" si="20"/>
        <v>2019</v>
      </c>
      <c r="F281" s="1">
        <f t="shared" si="21"/>
        <v>3</v>
      </c>
      <c r="G281" s="4">
        <f t="shared" si="22"/>
        <v>9</v>
      </c>
      <c r="H281" s="8">
        <v>0.63194444444444442</v>
      </c>
      <c r="I281" s="11">
        <f t="shared" si="25"/>
        <v>128.74583333333334</v>
      </c>
      <c r="J281" s="11">
        <f t="shared" si="26"/>
        <v>31.747666666666667</v>
      </c>
      <c r="K281" s="9">
        <v>19.390999999999998</v>
      </c>
      <c r="L281" s="9">
        <v>20</v>
      </c>
      <c r="M281" s="9">
        <v>0</v>
      </c>
      <c r="N281" s="12">
        <v>19.400400000000001</v>
      </c>
      <c r="O281" s="11">
        <v>34.655900000000003</v>
      </c>
      <c r="P281" s="33">
        <v>0.1510159313725481</v>
      </c>
      <c r="Q281" s="33">
        <v>1.3027513647058822</v>
      </c>
      <c r="R281" s="1" t="s">
        <v>280</v>
      </c>
      <c r="S281" s="1">
        <v>1</v>
      </c>
      <c r="T281" s="71" t="s">
        <v>626</v>
      </c>
    </row>
    <row r="282" spans="1:20">
      <c r="A282" s="1" t="s">
        <v>469</v>
      </c>
      <c r="B282" s="1">
        <v>95</v>
      </c>
      <c r="C282" s="1" t="s">
        <v>507</v>
      </c>
      <c r="D282" s="5">
        <v>43533</v>
      </c>
      <c r="E282" s="1">
        <f t="shared" si="20"/>
        <v>2019</v>
      </c>
      <c r="F282" s="1">
        <f t="shared" si="21"/>
        <v>3</v>
      </c>
      <c r="G282" s="4">
        <f t="shared" si="22"/>
        <v>9</v>
      </c>
      <c r="H282" s="8">
        <v>0.63194444444444442</v>
      </c>
      <c r="I282" s="11">
        <f t="shared" si="25"/>
        <v>128.74583333333334</v>
      </c>
      <c r="J282" s="11">
        <f t="shared" si="26"/>
        <v>31.747666666666667</v>
      </c>
      <c r="K282" s="9">
        <v>29.117999999999999</v>
      </c>
      <c r="L282" s="9">
        <v>30</v>
      </c>
      <c r="M282" s="9">
        <v>0</v>
      </c>
      <c r="N282" s="12">
        <v>19.403300000000002</v>
      </c>
      <c r="O282" s="11">
        <v>34.655200000000001</v>
      </c>
      <c r="P282" s="33">
        <v>0.1980473529411757</v>
      </c>
      <c r="Q282" s="33">
        <v>1.3540432329411765</v>
      </c>
      <c r="R282" s="1" t="s">
        <v>280</v>
      </c>
      <c r="S282" s="1">
        <v>1</v>
      </c>
      <c r="T282" s="71" t="s">
        <v>626</v>
      </c>
    </row>
    <row r="283" spans="1:20">
      <c r="A283" s="1" t="s">
        <v>469</v>
      </c>
      <c r="B283" s="1">
        <v>95</v>
      </c>
      <c r="C283" s="1" t="s">
        <v>507</v>
      </c>
      <c r="D283" s="5">
        <v>43533</v>
      </c>
      <c r="E283" s="1">
        <f t="shared" si="20"/>
        <v>2019</v>
      </c>
      <c r="F283" s="1">
        <f t="shared" si="21"/>
        <v>3</v>
      </c>
      <c r="G283" s="4">
        <f t="shared" si="22"/>
        <v>9</v>
      </c>
      <c r="H283" s="8">
        <v>0.63194444444444442</v>
      </c>
      <c r="I283" s="11">
        <f t="shared" si="25"/>
        <v>128.74583333333334</v>
      </c>
      <c r="J283" s="11">
        <f t="shared" si="26"/>
        <v>31.747666666666667</v>
      </c>
      <c r="K283" s="9">
        <v>49.845999999999997</v>
      </c>
      <c r="L283" s="9">
        <v>50</v>
      </c>
      <c r="M283" s="9">
        <v>0</v>
      </c>
      <c r="N283" s="12">
        <v>18.369599999999998</v>
      </c>
      <c r="O283" s="11">
        <v>34.640599999999999</v>
      </c>
      <c r="P283" s="33">
        <v>0.14896794117646994</v>
      </c>
      <c r="Q283" s="33">
        <v>1.190692301176469</v>
      </c>
      <c r="R283" s="1" t="s">
        <v>280</v>
      </c>
      <c r="S283" s="1">
        <v>1</v>
      </c>
      <c r="T283" s="71" t="s">
        <v>626</v>
      </c>
    </row>
    <row r="284" spans="1:20">
      <c r="A284" s="1" t="s">
        <v>469</v>
      </c>
      <c r="B284" s="1">
        <v>95</v>
      </c>
      <c r="C284" s="1" t="s">
        <v>507</v>
      </c>
      <c r="D284" s="5">
        <v>43533</v>
      </c>
      <c r="E284" s="1">
        <f t="shared" si="20"/>
        <v>2019</v>
      </c>
      <c r="F284" s="1">
        <f t="shared" si="21"/>
        <v>3</v>
      </c>
      <c r="G284" s="4">
        <f t="shared" si="22"/>
        <v>9</v>
      </c>
      <c r="H284" s="8">
        <v>0.63194444444444442</v>
      </c>
      <c r="I284" s="11">
        <f t="shared" si="25"/>
        <v>128.74583333333334</v>
      </c>
      <c r="J284" s="11">
        <f t="shared" si="26"/>
        <v>31.747666666666667</v>
      </c>
      <c r="K284" s="9">
        <v>74.474999999999994</v>
      </c>
      <c r="L284" s="9">
        <v>75</v>
      </c>
      <c r="M284" s="9">
        <v>0</v>
      </c>
      <c r="N284" s="12">
        <v>18.0166</v>
      </c>
      <c r="O284" s="11">
        <v>34.653799999999997</v>
      </c>
      <c r="P284" s="33">
        <v>0.29333534705882336</v>
      </c>
      <c r="Q284" s="33">
        <v>1.5306370223529395</v>
      </c>
      <c r="R284" s="1" t="s">
        <v>280</v>
      </c>
      <c r="S284" s="1">
        <v>1</v>
      </c>
      <c r="T284" s="71" t="s">
        <v>626</v>
      </c>
    </row>
    <row r="285" spans="1:20">
      <c r="A285" s="1" t="s">
        <v>469</v>
      </c>
      <c r="B285" s="1">
        <v>95</v>
      </c>
      <c r="C285" s="1" t="s">
        <v>507</v>
      </c>
      <c r="D285" s="5">
        <v>43533</v>
      </c>
      <c r="E285" s="1">
        <f t="shared" si="20"/>
        <v>2019</v>
      </c>
      <c r="F285" s="1">
        <f t="shared" si="21"/>
        <v>3</v>
      </c>
      <c r="G285" s="4">
        <f t="shared" si="22"/>
        <v>9</v>
      </c>
      <c r="H285" s="8">
        <v>0.63194444444444442</v>
      </c>
      <c r="I285" s="11">
        <f t="shared" si="25"/>
        <v>128.74583333333334</v>
      </c>
      <c r="J285" s="11">
        <f t="shared" si="26"/>
        <v>31.747666666666667</v>
      </c>
      <c r="K285" s="9">
        <v>98.992000000000004</v>
      </c>
      <c r="L285" s="9">
        <v>100</v>
      </c>
      <c r="M285" s="9">
        <v>0</v>
      </c>
      <c r="N285" s="12">
        <v>17.4253</v>
      </c>
      <c r="O285" s="11">
        <v>34.655200000000001</v>
      </c>
      <c r="P285" s="33">
        <v>0.23021989647058749</v>
      </c>
      <c r="Q285" s="33">
        <v>1.4582928188235282</v>
      </c>
      <c r="R285" s="1" t="s">
        <v>280</v>
      </c>
      <c r="S285" s="1">
        <v>1</v>
      </c>
      <c r="T285" s="71" t="s">
        <v>626</v>
      </c>
    </row>
    <row r="286" spans="1:20">
      <c r="A286" s="1" t="s">
        <v>469</v>
      </c>
      <c r="B286" s="1">
        <v>95</v>
      </c>
      <c r="C286" s="1" t="s">
        <v>507</v>
      </c>
      <c r="D286" s="5">
        <v>43533</v>
      </c>
      <c r="E286" s="1">
        <f t="shared" si="20"/>
        <v>2019</v>
      </c>
      <c r="F286" s="1">
        <f t="shared" si="21"/>
        <v>3</v>
      </c>
      <c r="G286" s="4">
        <f t="shared" si="22"/>
        <v>9</v>
      </c>
      <c r="H286" s="8">
        <v>0.63194444444444442</v>
      </c>
      <c r="I286" s="11">
        <f t="shared" si="25"/>
        <v>128.74583333333334</v>
      </c>
      <c r="J286" s="11">
        <f t="shared" si="26"/>
        <v>31.747666666666667</v>
      </c>
      <c r="K286" s="9">
        <v>124.691</v>
      </c>
      <c r="L286" s="9">
        <v>125</v>
      </c>
      <c r="M286" s="9">
        <v>0</v>
      </c>
      <c r="N286" s="12">
        <v>16.756799999999998</v>
      </c>
      <c r="O286" s="11">
        <v>34.641199999999998</v>
      </c>
      <c r="P286" s="33">
        <v>0.30465318588235268</v>
      </c>
      <c r="Q286" s="33">
        <v>1.5390642352941164</v>
      </c>
      <c r="R286" s="1" t="s">
        <v>280</v>
      </c>
      <c r="S286" s="1">
        <v>1</v>
      </c>
      <c r="T286" s="71" t="s">
        <v>626</v>
      </c>
    </row>
    <row r="287" spans="1:20">
      <c r="A287" s="1" t="s">
        <v>469</v>
      </c>
      <c r="B287" s="1">
        <v>95</v>
      </c>
      <c r="C287" s="1" t="s">
        <v>507</v>
      </c>
      <c r="D287" s="5">
        <v>43533</v>
      </c>
      <c r="E287" s="1">
        <f t="shared" si="20"/>
        <v>2019</v>
      </c>
      <c r="F287" s="1">
        <f t="shared" si="21"/>
        <v>3</v>
      </c>
      <c r="G287" s="4">
        <f t="shared" si="22"/>
        <v>9</v>
      </c>
      <c r="H287" s="8">
        <v>0.63194444444444442</v>
      </c>
      <c r="I287" s="11">
        <f t="shared" si="25"/>
        <v>128.74583333333334</v>
      </c>
      <c r="J287" s="11">
        <f t="shared" si="26"/>
        <v>31.747666666666667</v>
      </c>
      <c r="K287" s="9">
        <v>147.953</v>
      </c>
      <c r="L287" s="9">
        <v>150</v>
      </c>
      <c r="M287" s="9">
        <v>0</v>
      </c>
      <c r="N287" s="12">
        <v>16.173200000000001</v>
      </c>
      <c r="O287" s="11">
        <v>34.606900000000003</v>
      </c>
      <c r="P287" s="33">
        <v>0.22050329529411661</v>
      </c>
      <c r="Q287" s="33">
        <v>1.3658253117647057</v>
      </c>
      <c r="R287" s="1" t="s">
        <v>280</v>
      </c>
      <c r="S287" s="1">
        <v>1</v>
      </c>
      <c r="T287" s="71" t="s">
        <v>626</v>
      </c>
    </row>
    <row r="288" spans="1:20">
      <c r="A288" s="1" t="s">
        <v>469</v>
      </c>
      <c r="B288" s="1">
        <v>95</v>
      </c>
      <c r="C288" s="1" t="s">
        <v>507</v>
      </c>
      <c r="D288" s="5">
        <v>43533</v>
      </c>
      <c r="E288" s="1">
        <f t="shared" si="20"/>
        <v>2019</v>
      </c>
      <c r="F288" s="1">
        <f t="shared" si="21"/>
        <v>3</v>
      </c>
      <c r="G288" s="4">
        <f t="shared" si="22"/>
        <v>9</v>
      </c>
      <c r="H288" s="8">
        <v>0.63194444444444442</v>
      </c>
      <c r="I288" s="11">
        <f t="shared" si="25"/>
        <v>128.74583333333334</v>
      </c>
      <c r="J288" s="11">
        <f t="shared" si="26"/>
        <v>31.747666666666667</v>
      </c>
      <c r="K288" s="9">
        <v>197.38300000000001</v>
      </c>
      <c r="L288" s="9">
        <v>200</v>
      </c>
      <c r="M288" s="9">
        <v>0</v>
      </c>
      <c r="N288" s="12">
        <v>14.2576</v>
      </c>
      <c r="O288" s="11">
        <v>34.527799999999999</v>
      </c>
      <c r="P288" s="33">
        <v>0.17223568470588235</v>
      </c>
      <c r="Q288" s="33">
        <v>0.93345248823529303</v>
      </c>
      <c r="R288" s="1" t="s">
        <v>280</v>
      </c>
      <c r="S288" s="1">
        <v>1</v>
      </c>
      <c r="T288" s="71" t="s">
        <v>626</v>
      </c>
    </row>
    <row r="289" spans="1:20">
      <c r="A289" s="1" t="s">
        <v>469</v>
      </c>
      <c r="B289" s="1">
        <v>95</v>
      </c>
      <c r="C289" s="1" t="s">
        <v>507</v>
      </c>
      <c r="D289" s="5">
        <v>43533</v>
      </c>
      <c r="E289" s="1">
        <f t="shared" si="20"/>
        <v>2019</v>
      </c>
      <c r="F289" s="1">
        <f t="shared" si="21"/>
        <v>3</v>
      </c>
      <c r="G289" s="4">
        <f t="shared" si="22"/>
        <v>9</v>
      </c>
      <c r="H289" s="8">
        <v>0.63194444444444442</v>
      </c>
      <c r="I289" s="11">
        <f t="shared" si="25"/>
        <v>128.74583333333334</v>
      </c>
      <c r="J289" s="11">
        <f t="shared" si="26"/>
        <v>31.747666666666667</v>
      </c>
      <c r="K289" s="9">
        <v>297.87599999999998</v>
      </c>
      <c r="L289" s="9">
        <v>300</v>
      </c>
      <c r="M289" s="9">
        <v>0</v>
      </c>
      <c r="N289" s="12">
        <v>11.1622</v>
      </c>
      <c r="O289" s="11">
        <v>34.386099999999999</v>
      </c>
      <c r="P289" s="33">
        <v>5.24097341176466E-2</v>
      </c>
      <c r="Q289" s="33">
        <v>0.11050674470588184</v>
      </c>
      <c r="R289" s="1" t="s">
        <v>280</v>
      </c>
      <c r="S289" s="1">
        <v>1</v>
      </c>
      <c r="T289" s="71" t="s">
        <v>626</v>
      </c>
    </row>
    <row r="290" spans="1:20">
      <c r="A290" s="1" t="s">
        <v>469</v>
      </c>
      <c r="B290" s="1">
        <v>95</v>
      </c>
      <c r="C290" s="1" t="s">
        <v>507</v>
      </c>
      <c r="D290" s="5">
        <v>43533</v>
      </c>
      <c r="E290" s="1">
        <f t="shared" si="20"/>
        <v>2019</v>
      </c>
      <c r="F290" s="1">
        <f t="shared" si="21"/>
        <v>3</v>
      </c>
      <c r="G290" s="4">
        <f t="shared" si="22"/>
        <v>9</v>
      </c>
      <c r="H290" s="8">
        <v>0.63194444444444442</v>
      </c>
      <c r="I290" s="11">
        <f t="shared" si="25"/>
        <v>128.74583333333334</v>
      </c>
      <c r="J290" s="11">
        <f t="shared" si="26"/>
        <v>31.747666666666667</v>
      </c>
      <c r="K290" s="9">
        <v>495.43299999999999</v>
      </c>
      <c r="L290" s="9">
        <v>500</v>
      </c>
      <c r="M290" s="9">
        <v>0</v>
      </c>
      <c r="N290" s="12">
        <v>7.5490000000000004</v>
      </c>
      <c r="O290" s="11">
        <v>34.3491</v>
      </c>
      <c r="P290" s="33">
        <v>-7.3190376470588348E-2</v>
      </c>
      <c r="Q290" s="33">
        <v>-0.75244217882353048</v>
      </c>
      <c r="R290" s="1" t="s">
        <v>280</v>
      </c>
      <c r="S290" s="1">
        <v>1</v>
      </c>
      <c r="T290" s="71" t="s">
        <v>626</v>
      </c>
    </row>
    <row r="291" spans="1:20">
      <c r="A291" s="1" t="s">
        <v>474</v>
      </c>
      <c r="B291" s="1">
        <v>73</v>
      </c>
      <c r="C291" s="1" t="s">
        <v>507</v>
      </c>
      <c r="D291" s="5">
        <v>43582</v>
      </c>
      <c r="E291" s="1">
        <f t="shared" si="20"/>
        <v>2019</v>
      </c>
      <c r="F291" s="1">
        <f t="shared" si="21"/>
        <v>4</v>
      </c>
      <c r="G291" s="4">
        <f t="shared" si="22"/>
        <v>27</v>
      </c>
      <c r="H291" s="8">
        <v>0.61736111111111114</v>
      </c>
      <c r="I291" s="11">
        <v>126.746</v>
      </c>
      <c r="J291" s="11">
        <v>31.754000000000001</v>
      </c>
      <c r="K291" s="9">
        <v>5</v>
      </c>
      <c r="L291" s="9">
        <v>5</v>
      </c>
      <c r="M291" s="9">
        <v>0</v>
      </c>
      <c r="N291" s="12">
        <v>17.277666666666601</v>
      </c>
      <c r="O291" s="11">
        <v>34.2083333333333</v>
      </c>
      <c r="P291" s="33">
        <v>7.3999999999999996E-2</v>
      </c>
      <c r="Q291" s="33">
        <v>0.83299999999999996</v>
      </c>
      <c r="R291" s="1" t="s">
        <v>280</v>
      </c>
      <c r="T291" s="71" t="s">
        <v>626</v>
      </c>
    </row>
    <row r="292" spans="1:20">
      <c r="A292" s="1" t="s">
        <v>474</v>
      </c>
      <c r="B292" s="1">
        <v>74</v>
      </c>
      <c r="C292" s="1" t="s">
        <v>507</v>
      </c>
      <c r="D292" s="5">
        <v>43582</v>
      </c>
      <c r="E292" s="1">
        <f t="shared" si="20"/>
        <v>2019</v>
      </c>
      <c r="F292" s="1">
        <f t="shared" si="21"/>
        <v>4</v>
      </c>
      <c r="G292" s="4">
        <f t="shared" si="22"/>
        <v>27</v>
      </c>
      <c r="H292" s="8">
        <v>0.78819444444444453</v>
      </c>
      <c r="I292" s="11">
        <v>127.251</v>
      </c>
      <c r="J292" s="11">
        <v>31.753</v>
      </c>
      <c r="K292" s="9">
        <v>0</v>
      </c>
      <c r="L292" s="9">
        <v>0</v>
      </c>
      <c r="M292" s="27">
        <v>0</v>
      </c>
      <c r="N292" s="32">
        <v>20</v>
      </c>
      <c r="O292" s="11">
        <v>34.480580582624398</v>
      </c>
      <c r="P292" s="33">
        <v>0.16200000000000001</v>
      </c>
      <c r="Q292" s="33">
        <v>1.133</v>
      </c>
      <c r="R292" s="1" t="s">
        <v>280</v>
      </c>
      <c r="S292" s="1">
        <v>1</v>
      </c>
      <c r="T292" s="71" t="s">
        <v>626</v>
      </c>
    </row>
    <row r="293" spans="1:20">
      <c r="A293" s="1" t="s">
        <v>474</v>
      </c>
      <c r="B293" s="1">
        <v>74</v>
      </c>
      <c r="C293" s="1" t="s">
        <v>507</v>
      </c>
      <c r="D293" s="5">
        <v>43582</v>
      </c>
      <c r="E293" s="1">
        <f t="shared" si="20"/>
        <v>2019</v>
      </c>
      <c r="F293" s="1">
        <f t="shared" si="21"/>
        <v>4</v>
      </c>
      <c r="G293" s="4">
        <f t="shared" si="22"/>
        <v>27</v>
      </c>
      <c r="H293" s="8">
        <v>0.78819444444444453</v>
      </c>
      <c r="I293" s="11">
        <v>127.251</v>
      </c>
      <c r="J293" s="11">
        <v>31.753</v>
      </c>
      <c r="K293" s="9">
        <v>10.500999999999999</v>
      </c>
      <c r="L293" s="9">
        <v>10</v>
      </c>
      <c r="M293" s="9">
        <v>0</v>
      </c>
      <c r="N293" s="12">
        <v>20.258400000000002</v>
      </c>
      <c r="O293" s="11">
        <v>34.462200000000003</v>
      </c>
      <c r="P293" s="33">
        <v>0.16500000000000001</v>
      </c>
      <c r="Q293" s="33">
        <v>1.1559999999999999</v>
      </c>
      <c r="R293" s="1" t="s">
        <v>280</v>
      </c>
      <c r="S293" s="1">
        <v>1</v>
      </c>
      <c r="T293" s="71" t="s">
        <v>626</v>
      </c>
    </row>
    <row r="294" spans="1:20">
      <c r="A294" s="1" t="s">
        <v>474</v>
      </c>
      <c r="B294" s="1">
        <v>74</v>
      </c>
      <c r="C294" s="1" t="s">
        <v>507</v>
      </c>
      <c r="D294" s="5">
        <v>43582</v>
      </c>
      <c r="E294" s="1">
        <f t="shared" si="20"/>
        <v>2019</v>
      </c>
      <c r="F294" s="1">
        <f t="shared" si="21"/>
        <v>4</v>
      </c>
      <c r="G294" s="4">
        <f t="shared" si="22"/>
        <v>27</v>
      </c>
      <c r="H294" s="8">
        <v>0.78819444444444453</v>
      </c>
      <c r="I294" s="11">
        <v>127.251</v>
      </c>
      <c r="J294" s="11">
        <v>31.753</v>
      </c>
      <c r="K294" s="9">
        <v>20.268999999999998</v>
      </c>
      <c r="L294" s="9">
        <v>20</v>
      </c>
      <c r="M294" s="9">
        <v>0</v>
      </c>
      <c r="N294" s="12">
        <v>19.384699999999999</v>
      </c>
      <c r="O294" s="11">
        <v>34.341700000000003</v>
      </c>
      <c r="P294" s="33">
        <v>0.15900486470588238</v>
      </c>
      <c r="Q294" s="33">
        <v>1.0328288752941184</v>
      </c>
      <c r="R294" s="1" t="s">
        <v>280</v>
      </c>
      <c r="S294" s="1">
        <v>1</v>
      </c>
      <c r="T294" s="71" t="s">
        <v>626</v>
      </c>
    </row>
    <row r="295" spans="1:20">
      <c r="A295" s="1" t="s">
        <v>474</v>
      </c>
      <c r="B295" s="1">
        <v>74</v>
      </c>
      <c r="C295" s="1" t="s">
        <v>507</v>
      </c>
      <c r="D295" s="5">
        <v>43582</v>
      </c>
      <c r="E295" s="1">
        <f t="shared" si="20"/>
        <v>2019</v>
      </c>
      <c r="F295" s="1">
        <f t="shared" si="21"/>
        <v>4</v>
      </c>
      <c r="G295" s="4">
        <f t="shared" si="22"/>
        <v>27</v>
      </c>
      <c r="H295" s="8">
        <v>0.78819444444444453</v>
      </c>
      <c r="I295" s="11">
        <v>127.251</v>
      </c>
      <c r="J295" s="11">
        <v>31.753</v>
      </c>
      <c r="K295" s="9">
        <v>29.695</v>
      </c>
      <c r="L295" s="9">
        <v>30</v>
      </c>
      <c r="M295" s="9">
        <v>0</v>
      </c>
      <c r="N295" s="12">
        <v>18.356100000000001</v>
      </c>
      <c r="O295" s="11">
        <v>34.479199999999999</v>
      </c>
      <c r="P295" s="33">
        <v>0.18896980514705852</v>
      </c>
      <c r="Q295" s="33">
        <v>1.1153000823529418</v>
      </c>
      <c r="R295" s="1" t="s">
        <v>280</v>
      </c>
      <c r="S295" s="1">
        <v>1</v>
      </c>
      <c r="T295" s="71" t="s">
        <v>626</v>
      </c>
    </row>
    <row r="296" spans="1:20">
      <c r="A296" s="1" t="s">
        <v>474</v>
      </c>
      <c r="B296" s="1">
        <v>74</v>
      </c>
      <c r="C296" s="1" t="s">
        <v>507</v>
      </c>
      <c r="D296" s="5">
        <v>43582</v>
      </c>
      <c r="E296" s="1">
        <f t="shared" si="20"/>
        <v>2019</v>
      </c>
      <c r="F296" s="1">
        <f t="shared" si="21"/>
        <v>4</v>
      </c>
      <c r="G296" s="4">
        <f t="shared" si="22"/>
        <v>27</v>
      </c>
      <c r="H296" s="8">
        <v>0.78819444444444453</v>
      </c>
      <c r="I296" s="11">
        <v>127.251</v>
      </c>
      <c r="J296" s="11">
        <v>31.753</v>
      </c>
      <c r="K296" s="9">
        <v>50.015000000000001</v>
      </c>
      <c r="L296" s="9">
        <v>50</v>
      </c>
      <c r="M296" s="9">
        <v>0</v>
      </c>
      <c r="N296" s="12">
        <v>16.840900000000001</v>
      </c>
      <c r="O296" s="11">
        <v>34.2896</v>
      </c>
      <c r="P296" s="33">
        <v>0.14551499058823536</v>
      </c>
      <c r="Q296" s="33">
        <v>1.0107577694117662</v>
      </c>
      <c r="R296" s="1" t="s">
        <v>280</v>
      </c>
      <c r="S296" s="1">
        <v>1</v>
      </c>
      <c r="T296" s="71" t="s">
        <v>626</v>
      </c>
    </row>
    <row r="297" spans="1:20">
      <c r="A297" s="1" t="s">
        <v>474</v>
      </c>
      <c r="B297" s="1">
        <v>74</v>
      </c>
      <c r="C297" s="1" t="s">
        <v>507</v>
      </c>
      <c r="D297" s="5">
        <v>43582</v>
      </c>
      <c r="E297" s="1">
        <f t="shared" si="20"/>
        <v>2019</v>
      </c>
      <c r="F297" s="1">
        <f t="shared" si="21"/>
        <v>4</v>
      </c>
      <c r="G297" s="4">
        <f t="shared" si="22"/>
        <v>27</v>
      </c>
      <c r="H297" s="8">
        <v>0.78819444444444453</v>
      </c>
      <c r="I297" s="11">
        <v>127.251</v>
      </c>
      <c r="J297" s="11">
        <v>31.753</v>
      </c>
      <c r="K297" s="9">
        <v>75.304000000000002</v>
      </c>
      <c r="L297" s="9">
        <v>75</v>
      </c>
      <c r="M297" s="9">
        <v>0</v>
      </c>
      <c r="N297" s="12">
        <v>16.6035</v>
      </c>
      <c r="O297" s="11">
        <v>34.520899999999997</v>
      </c>
      <c r="P297" s="33">
        <v>0.16387520352941154</v>
      </c>
      <c r="Q297" s="33">
        <v>1.2444450164705891</v>
      </c>
      <c r="R297" s="1" t="s">
        <v>280</v>
      </c>
      <c r="S297" s="1">
        <v>1</v>
      </c>
      <c r="T297" s="71" t="s">
        <v>626</v>
      </c>
    </row>
    <row r="298" spans="1:20">
      <c r="A298" s="1" t="s">
        <v>474</v>
      </c>
      <c r="B298" s="1">
        <v>74</v>
      </c>
      <c r="C298" s="1" t="s">
        <v>507</v>
      </c>
      <c r="D298" s="5">
        <v>43582</v>
      </c>
      <c r="E298" s="1">
        <f t="shared" si="20"/>
        <v>2019</v>
      </c>
      <c r="F298" s="1">
        <f t="shared" si="21"/>
        <v>4</v>
      </c>
      <c r="G298" s="4">
        <f t="shared" si="22"/>
        <v>27</v>
      </c>
      <c r="H298" s="8">
        <v>0.78819444444444453</v>
      </c>
      <c r="I298" s="11">
        <v>127.251</v>
      </c>
      <c r="J298" s="11">
        <v>31.753</v>
      </c>
      <c r="K298" s="9">
        <v>100.233</v>
      </c>
      <c r="L298" s="9">
        <v>100</v>
      </c>
      <c r="M298" s="9">
        <v>0</v>
      </c>
      <c r="N298" s="12">
        <v>16.052</v>
      </c>
      <c r="O298" s="11">
        <v>34.471400000000003</v>
      </c>
      <c r="P298" s="33">
        <v>0.1605117764705879</v>
      </c>
      <c r="Q298" s="33">
        <v>1.096620743529412</v>
      </c>
      <c r="R298" s="1" t="s">
        <v>280</v>
      </c>
      <c r="S298" s="1">
        <v>1</v>
      </c>
      <c r="T298" s="71" t="s">
        <v>626</v>
      </c>
    </row>
    <row r="299" spans="1:20">
      <c r="A299" s="1" t="s">
        <v>474</v>
      </c>
      <c r="B299" s="1">
        <v>74</v>
      </c>
      <c r="C299" s="1" t="s">
        <v>507</v>
      </c>
      <c r="D299" s="5">
        <v>43582</v>
      </c>
      <c r="E299" s="1">
        <f t="shared" si="20"/>
        <v>2019</v>
      </c>
      <c r="F299" s="1">
        <f t="shared" si="21"/>
        <v>4</v>
      </c>
      <c r="G299" s="4">
        <f t="shared" si="22"/>
        <v>27</v>
      </c>
      <c r="H299" s="8">
        <v>0.78819444444444453</v>
      </c>
      <c r="I299" s="11">
        <v>127.251</v>
      </c>
      <c r="J299" s="11">
        <v>31.753</v>
      </c>
      <c r="K299" s="9">
        <v>121.319</v>
      </c>
      <c r="L299" s="9">
        <v>121</v>
      </c>
      <c r="M299" s="9">
        <v>0</v>
      </c>
      <c r="N299" s="12">
        <v>16.090800000000002</v>
      </c>
      <c r="O299" s="11">
        <v>34.529499999999999</v>
      </c>
      <c r="P299" s="33">
        <v>0.16555088941176477</v>
      </c>
      <c r="Q299" s="33">
        <v>1.2048444705882364</v>
      </c>
      <c r="R299" s="1" t="s">
        <v>280</v>
      </c>
      <c r="S299" s="1">
        <v>1</v>
      </c>
      <c r="T299" s="71" t="s">
        <v>626</v>
      </c>
    </row>
    <row r="300" spans="1:20">
      <c r="A300" s="1" t="s">
        <v>474</v>
      </c>
      <c r="B300" s="1">
        <v>75</v>
      </c>
      <c r="C300" s="1" t="s">
        <v>507</v>
      </c>
      <c r="D300" s="5">
        <v>43582</v>
      </c>
      <c r="E300" s="1">
        <f t="shared" si="20"/>
        <v>2019</v>
      </c>
      <c r="F300" s="1">
        <f t="shared" si="21"/>
        <v>4</v>
      </c>
      <c r="G300" s="4">
        <f t="shared" si="22"/>
        <v>27</v>
      </c>
      <c r="H300" s="8">
        <v>0.96597222222222223</v>
      </c>
      <c r="I300" s="11">
        <v>127.75</v>
      </c>
      <c r="J300" s="11">
        <v>31.748000000000001</v>
      </c>
      <c r="K300" s="9">
        <v>5</v>
      </c>
      <c r="L300" s="9">
        <v>5</v>
      </c>
      <c r="M300" s="9">
        <v>0</v>
      </c>
      <c r="N300" s="12">
        <v>20.620999999999999</v>
      </c>
      <c r="O300" s="11">
        <v>34.501333333333299</v>
      </c>
      <c r="P300" s="33">
        <v>0.22059536235294086</v>
      </c>
      <c r="Q300" s="33">
        <v>1.3829889976470575</v>
      </c>
      <c r="R300" s="1" t="s">
        <v>280</v>
      </c>
      <c r="T300" s="71" t="s">
        <v>626</v>
      </c>
    </row>
    <row r="301" spans="1:20">
      <c r="A301" s="1" t="s">
        <v>474</v>
      </c>
      <c r="B301" s="1">
        <v>76</v>
      </c>
      <c r="C301" s="1" t="s">
        <v>507</v>
      </c>
      <c r="D301" s="5">
        <v>43583</v>
      </c>
      <c r="E301" s="1">
        <f t="shared" si="20"/>
        <v>2019</v>
      </c>
      <c r="F301" s="1">
        <f t="shared" si="21"/>
        <v>4</v>
      </c>
      <c r="G301" s="4">
        <f t="shared" si="22"/>
        <v>28</v>
      </c>
      <c r="H301" s="8">
        <v>0.15138888888888888</v>
      </c>
      <c r="I301" s="11">
        <v>128.24600000000001</v>
      </c>
      <c r="J301" s="11">
        <v>31.751999999999999</v>
      </c>
      <c r="K301" s="9">
        <v>5</v>
      </c>
      <c r="L301" s="9">
        <v>5</v>
      </c>
      <c r="M301" s="9">
        <v>0</v>
      </c>
      <c r="N301" s="12">
        <v>19.920999999999999</v>
      </c>
      <c r="O301" s="11">
        <v>34.497999999999998</v>
      </c>
      <c r="P301" s="33">
        <v>0.1733265541176463</v>
      </c>
      <c r="Q301" s="33">
        <v>1.3790266258823518</v>
      </c>
      <c r="R301" s="1" t="s">
        <v>280</v>
      </c>
      <c r="T301" s="71" t="s">
        <v>626</v>
      </c>
    </row>
    <row r="302" spans="1:20">
      <c r="A302" s="1" t="s">
        <v>474</v>
      </c>
      <c r="B302" s="1">
        <v>77</v>
      </c>
      <c r="C302" s="1" t="s">
        <v>507</v>
      </c>
      <c r="D302" s="5">
        <v>43583</v>
      </c>
      <c r="E302" s="1">
        <f t="shared" si="20"/>
        <v>2019</v>
      </c>
      <c r="F302" s="1">
        <f t="shared" si="21"/>
        <v>4</v>
      </c>
      <c r="G302" s="4">
        <f t="shared" si="22"/>
        <v>28</v>
      </c>
      <c r="H302" s="8">
        <v>0.3263888888888889</v>
      </c>
      <c r="I302" s="11">
        <v>128.74799999999999</v>
      </c>
      <c r="J302" s="11">
        <v>31.751000000000001</v>
      </c>
      <c r="K302" s="9">
        <v>0</v>
      </c>
      <c r="L302" s="9">
        <v>0</v>
      </c>
      <c r="M302" s="9">
        <v>0</v>
      </c>
      <c r="N302" s="12">
        <v>20.125</v>
      </c>
      <c r="O302" s="11">
        <v>34.5416666666666</v>
      </c>
      <c r="P302" s="33">
        <v>0.16893842705882323</v>
      </c>
      <c r="Q302" s="33">
        <v>1.4419495529411783</v>
      </c>
      <c r="R302" s="1" t="s">
        <v>280</v>
      </c>
      <c r="S302" s="1">
        <v>1</v>
      </c>
      <c r="T302" s="71" t="s">
        <v>626</v>
      </c>
    </row>
    <row r="303" spans="1:20">
      <c r="A303" s="1" t="s">
        <v>474</v>
      </c>
      <c r="B303" s="1">
        <v>77</v>
      </c>
      <c r="C303" s="1" t="s">
        <v>507</v>
      </c>
      <c r="D303" s="5">
        <v>43583</v>
      </c>
      <c r="E303" s="1">
        <f t="shared" si="20"/>
        <v>2019</v>
      </c>
      <c r="F303" s="1">
        <f t="shared" si="21"/>
        <v>4</v>
      </c>
      <c r="G303" s="4">
        <f t="shared" si="22"/>
        <v>28</v>
      </c>
      <c r="H303" s="8">
        <v>0.3263888888888889</v>
      </c>
      <c r="I303" s="11">
        <v>128.74799999999999</v>
      </c>
      <c r="J303" s="11">
        <v>31.751000000000001</v>
      </c>
      <c r="K303" s="9">
        <v>9.5459999999999994</v>
      </c>
      <c r="L303" s="9">
        <v>10</v>
      </c>
      <c r="M303" s="9">
        <v>0</v>
      </c>
      <c r="N303" s="12">
        <v>20.165199999999999</v>
      </c>
      <c r="O303" s="11">
        <v>34.547400000000003</v>
      </c>
      <c r="P303" s="33">
        <v>0.14897485999999915</v>
      </c>
      <c r="Q303" s="33">
        <v>1.2194774400000004</v>
      </c>
      <c r="R303" s="1" t="s">
        <v>280</v>
      </c>
      <c r="S303" s="1">
        <v>1</v>
      </c>
      <c r="T303" s="71" t="s">
        <v>626</v>
      </c>
    </row>
    <row r="304" spans="1:20">
      <c r="A304" s="1" t="s">
        <v>474</v>
      </c>
      <c r="B304" s="1">
        <v>77</v>
      </c>
      <c r="C304" s="1" t="s">
        <v>507</v>
      </c>
      <c r="D304" s="5">
        <v>43583</v>
      </c>
      <c r="E304" s="1">
        <f t="shared" si="20"/>
        <v>2019</v>
      </c>
      <c r="F304" s="1">
        <f t="shared" si="21"/>
        <v>4</v>
      </c>
      <c r="G304" s="4">
        <f t="shared" si="22"/>
        <v>28</v>
      </c>
      <c r="H304" s="8">
        <v>0.3263888888888889</v>
      </c>
      <c r="I304" s="11">
        <v>128.74799999999999</v>
      </c>
      <c r="J304" s="11">
        <v>31.751000000000001</v>
      </c>
      <c r="K304" s="9">
        <v>19.63</v>
      </c>
      <c r="L304" s="9">
        <v>20</v>
      </c>
      <c r="M304" s="9">
        <v>0</v>
      </c>
      <c r="N304" s="12">
        <v>20.093699999999998</v>
      </c>
      <c r="O304" s="11">
        <v>34.541200000000003</v>
      </c>
      <c r="P304" s="33">
        <v>0.20094523294117606</v>
      </c>
      <c r="Q304" s="33">
        <v>1.1943592470588218</v>
      </c>
      <c r="R304" s="1" t="s">
        <v>280</v>
      </c>
      <c r="S304" s="1">
        <v>1</v>
      </c>
      <c r="T304" s="71" t="s">
        <v>626</v>
      </c>
    </row>
    <row r="305" spans="1:20">
      <c r="A305" s="1" t="s">
        <v>474</v>
      </c>
      <c r="B305" s="1">
        <v>77</v>
      </c>
      <c r="C305" s="1" t="s">
        <v>507</v>
      </c>
      <c r="D305" s="5">
        <v>43583</v>
      </c>
      <c r="E305" s="1">
        <f t="shared" si="20"/>
        <v>2019</v>
      </c>
      <c r="F305" s="1">
        <f t="shared" si="21"/>
        <v>4</v>
      </c>
      <c r="G305" s="4">
        <f t="shared" si="22"/>
        <v>28</v>
      </c>
      <c r="H305" s="8">
        <v>0.3263888888888889</v>
      </c>
      <c r="I305" s="11">
        <v>128.74799999999999</v>
      </c>
      <c r="J305" s="11">
        <v>31.751000000000001</v>
      </c>
      <c r="K305" s="9">
        <v>30.033999999999999</v>
      </c>
      <c r="L305" s="9">
        <v>30</v>
      </c>
      <c r="M305" s="9">
        <v>0</v>
      </c>
      <c r="N305" s="12">
        <v>19.713200000000001</v>
      </c>
      <c r="O305" s="11">
        <v>34.551099999999998</v>
      </c>
      <c r="P305" s="33">
        <v>0.20741892588235311</v>
      </c>
      <c r="Q305" s="33">
        <v>1.3975176941176475</v>
      </c>
      <c r="R305" s="1" t="s">
        <v>280</v>
      </c>
      <c r="S305" s="1">
        <v>1</v>
      </c>
      <c r="T305" s="71" t="s">
        <v>626</v>
      </c>
    </row>
    <row r="306" spans="1:20">
      <c r="A306" s="1" t="s">
        <v>474</v>
      </c>
      <c r="B306" s="1">
        <v>77</v>
      </c>
      <c r="C306" s="1" t="s">
        <v>507</v>
      </c>
      <c r="D306" s="5">
        <v>43583</v>
      </c>
      <c r="E306" s="1">
        <f t="shared" si="20"/>
        <v>2019</v>
      </c>
      <c r="F306" s="1">
        <f t="shared" si="21"/>
        <v>4</v>
      </c>
      <c r="G306" s="4">
        <f t="shared" si="22"/>
        <v>28</v>
      </c>
      <c r="H306" s="8">
        <v>0.3263888888888889</v>
      </c>
      <c r="I306" s="11">
        <v>128.74799999999999</v>
      </c>
      <c r="J306" s="11">
        <v>31.751000000000001</v>
      </c>
      <c r="K306" s="9">
        <v>49.372</v>
      </c>
      <c r="L306" s="9">
        <v>50</v>
      </c>
      <c r="M306" s="9">
        <v>0</v>
      </c>
      <c r="N306" s="12">
        <v>18.715199999999999</v>
      </c>
      <c r="O306" s="11">
        <v>34.6081</v>
      </c>
      <c r="P306" s="33">
        <v>0.19216897882352946</v>
      </c>
      <c r="Q306" s="33">
        <v>1.4639859011764695</v>
      </c>
      <c r="R306" s="1" t="s">
        <v>280</v>
      </c>
      <c r="S306" s="1">
        <v>1</v>
      </c>
      <c r="T306" s="71" t="s">
        <v>626</v>
      </c>
    </row>
    <row r="307" spans="1:20">
      <c r="A307" s="1" t="s">
        <v>474</v>
      </c>
      <c r="B307" s="1">
        <v>77</v>
      </c>
      <c r="C307" s="1" t="s">
        <v>507</v>
      </c>
      <c r="D307" s="5">
        <v>43583</v>
      </c>
      <c r="E307" s="1">
        <f t="shared" si="20"/>
        <v>2019</v>
      </c>
      <c r="F307" s="1">
        <f t="shared" si="21"/>
        <v>4</v>
      </c>
      <c r="G307" s="4">
        <f t="shared" si="22"/>
        <v>28</v>
      </c>
      <c r="H307" s="8">
        <v>0.3263888888888889</v>
      </c>
      <c r="I307" s="11">
        <v>128.74799999999999</v>
      </c>
      <c r="J307" s="11">
        <v>31.751000000000001</v>
      </c>
      <c r="K307" s="9">
        <v>74.494</v>
      </c>
      <c r="L307" s="9">
        <v>75</v>
      </c>
      <c r="M307" s="9">
        <v>0</v>
      </c>
      <c r="N307" s="12">
        <v>18.300799999999999</v>
      </c>
      <c r="O307" s="11">
        <v>34.643500000000003</v>
      </c>
      <c r="P307" s="33">
        <v>0.23799115176470576</v>
      </c>
      <c r="Q307" s="33">
        <v>1.5529075482352948</v>
      </c>
      <c r="R307" s="1" t="s">
        <v>280</v>
      </c>
      <c r="S307" s="1">
        <v>1</v>
      </c>
      <c r="T307" s="71" t="s">
        <v>626</v>
      </c>
    </row>
    <row r="308" spans="1:20">
      <c r="A308" s="1" t="s">
        <v>474</v>
      </c>
      <c r="B308" s="1">
        <v>77</v>
      </c>
      <c r="C308" s="1" t="s">
        <v>507</v>
      </c>
      <c r="D308" s="5">
        <v>43583</v>
      </c>
      <c r="E308" s="1">
        <f t="shared" si="20"/>
        <v>2019</v>
      </c>
      <c r="F308" s="1">
        <f t="shared" si="21"/>
        <v>4</v>
      </c>
      <c r="G308" s="4">
        <f t="shared" si="22"/>
        <v>28</v>
      </c>
      <c r="H308" s="8">
        <v>0.3263888888888889</v>
      </c>
      <c r="I308" s="11">
        <v>128.74799999999999</v>
      </c>
      <c r="J308" s="11">
        <v>31.751000000000001</v>
      </c>
      <c r="K308" s="9">
        <v>99.649000000000001</v>
      </c>
      <c r="L308" s="9">
        <v>100</v>
      </c>
      <c r="M308" s="9">
        <v>0</v>
      </c>
      <c r="N308" s="12">
        <v>17.350100000000001</v>
      </c>
      <c r="O308" s="11">
        <v>34.613700000000001</v>
      </c>
      <c r="P308" s="33">
        <v>0.20019780470588255</v>
      </c>
      <c r="Q308" s="33">
        <v>1.2095019952941186</v>
      </c>
      <c r="R308" s="1" t="s">
        <v>280</v>
      </c>
      <c r="S308" s="1">
        <v>1</v>
      </c>
      <c r="T308" s="71" t="s">
        <v>626</v>
      </c>
    </row>
    <row r="309" spans="1:20">
      <c r="A309" s="1" t="s">
        <v>474</v>
      </c>
      <c r="B309" s="1">
        <v>77</v>
      </c>
      <c r="C309" s="1" t="s">
        <v>507</v>
      </c>
      <c r="D309" s="5">
        <v>43583</v>
      </c>
      <c r="E309" s="1">
        <f t="shared" si="20"/>
        <v>2019</v>
      </c>
      <c r="F309" s="1">
        <f t="shared" si="21"/>
        <v>4</v>
      </c>
      <c r="G309" s="4">
        <f t="shared" si="22"/>
        <v>28</v>
      </c>
      <c r="H309" s="8">
        <v>0.3263888888888889</v>
      </c>
      <c r="I309" s="11">
        <v>128.74799999999999</v>
      </c>
      <c r="J309" s="11">
        <v>31.751000000000001</v>
      </c>
      <c r="K309" s="9">
        <v>124.244</v>
      </c>
      <c r="L309" s="9">
        <v>125</v>
      </c>
      <c r="M309" s="9">
        <v>0</v>
      </c>
      <c r="N309" s="12">
        <v>16.573499999999999</v>
      </c>
      <c r="O309" s="11">
        <v>34.6126</v>
      </c>
      <c r="P309" s="33">
        <v>0.20537248470588265</v>
      </c>
      <c r="Q309" s="33">
        <v>1.1345096823529417</v>
      </c>
      <c r="R309" s="1" t="s">
        <v>280</v>
      </c>
      <c r="S309" s="1">
        <v>1</v>
      </c>
      <c r="T309" s="71" t="s">
        <v>626</v>
      </c>
    </row>
    <row r="310" spans="1:20">
      <c r="A310" s="1" t="s">
        <v>474</v>
      </c>
      <c r="B310" s="1">
        <v>77</v>
      </c>
      <c r="C310" s="1" t="s">
        <v>507</v>
      </c>
      <c r="D310" s="5">
        <v>43583</v>
      </c>
      <c r="E310" s="1">
        <f t="shared" si="20"/>
        <v>2019</v>
      </c>
      <c r="F310" s="1">
        <f t="shared" si="21"/>
        <v>4</v>
      </c>
      <c r="G310" s="4">
        <f t="shared" si="22"/>
        <v>28</v>
      </c>
      <c r="H310" s="8">
        <v>0.3263888888888889</v>
      </c>
      <c r="I310" s="11">
        <v>128.74799999999999</v>
      </c>
      <c r="J310" s="11">
        <v>31.751000000000001</v>
      </c>
      <c r="K310" s="9">
        <v>148.786</v>
      </c>
      <c r="L310" s="9">
        <v>150</v>
      </c>
      <c r="M310" s="9">
        <v>0</v>
      </c>
      <c r="N310" s="12">
        <v>15.6172</v>
      </c>
      <c r="O310" s="11">
        <v>34.584200000000003</v>
      </c>
      <c r="P310" s="33">
        <v>0.17838522875817064</v>
      </c>
      <c r="Q310" s="33">
        <v>1.0337998366013057</v>
      </c>
      <c r="R310" s="1" t="s">
        <v>280</v>
      </c>
      <c r="S310" s="1">
        <v>1</v>
      </c>
      <c r="T310" s="71" t="s">
        <v>626</v>
      </c>
    </row>
    <row r="311" spans="1:20">
      <c r="A311" s="1" t="s">
        <v>474</v>
      </c>
      <c r="B311" s="1">
        <v>77</v>
      </c>
      <c r="C311" s="1" t="s">
        <v>507</v>
      </c>
      <c r="D311" s="5">
        <v>43583</v>
      </c>
      <c r="E311" s="1">
        <f t="shared" si="20"/>
        <v>2019</v>
      </c>
      <c r="F311" s="1">
        <f t="shared" si="21"/>
        <v>4</v>
      </c>
      <c r="G311" s="4">
        <f t="shared" si="22"/>
        <v>28</v>
      </c>
      <c r="H311" s="8">
        <v>0.3263888888888889</v>
      </c>
      <c r="I311" s="11">
        <v>128.74799999999999</v>
      </c>
      <c r="J311" s="11">
        <v>31.751000000000001</v>
      </c>
      <c r="K311" s="9">
        <v>198.589</v>
      </c>
      <c r="L311" s="9">
        <v>200</v>
      </c>
      <c r="M311" s="9">
        <v>0</v>
      </c>
      <c r="N311" s="12">
        <v>13.5777</v>
      </c>
      <c r="O311" s="11">
        <v>34.491</v>
      </c>
      <c r="P311" s="33">
        <v>0.11991731058823518</v>
      </c>
      <c r="Q311" s="33">
        <v>0.51069573529411727</v>
      </c>
      <c r="R311" s="1" t="s">
        <v>280</v>
      </c>
      <c r="S311" s="1">
        <v>1</v>
      </c>
      <c r="T311" s="71" t="s">
        <v>626</v>
      </c>
    </row>
    <row r="312" spans="1:20">
      <c r="A312" s="1" t="s">
        <v>474</v>
      </c>
      <c r="B312" s="1">
        <v>77</v>
      </c>
      <c r="C312" s="1" t="s">
        <v>507</v>
      </c>
      <c r="D312" s="5">
        <v>43583</v>
      </c>
      <c r="E312" s="1">
        <f t="shared" si="20"/>
        <v>2019</v>
      </c>
      <c r="F312" s="1">
        <f t="shared" si="21"/>
        <v>4</v>
      </c>
      <c r="G312" s="4">
        <f t="shared" si="22"/>
        <v>28</v>
      </c>
      <c r="H312" s="8">
        <v>0.3263888888888889</v>
      </c>
      <c r="I312" s="11">
        <v>128.74799999999999</v>
      </c>
      <c r="J312" s="11">
        <v>31.751000000000001</v>
      </c>
      <c r="K312" s="9">
        <v>297.73099999999999</v>
      </c>
      <c r="L312" s="9">
        <v>300</v>
      </c>
      <c r="M312" s="9">
        <v>0</v>
      </c>
      <c r="N312" s="12">
        <v>11.281700000000001</v>
      </c>
      <c r="O312" s="11">
        <v>34.3857</v>
      </c>
      <c r="P312" s="33">
        <v>3.9337703529411794E-2</v>
      </c>
      <c r="Q312" s="33">
        <v>-9.8037988235294193E-2</v>
      </c>
      <c r="R312" s="1" t="s">
        <v>280</v>
      </c>
      <c r="S312" s="1">
        <v>1</v>
      </c>
      <c r="T312" s="71" t="s">
        <v>626</v>
      </c>
    </row>
    <row r="313" spans="1:20">
      <c r="A313" s="1" t="s">
        <v>474</v>
      </c>
      <c r="B313" s="1">
        <v>77</v>
      </c>
      <c r="C313" s="1" t="s">
        <v>507</v>
      </c>
      <c r="D313" s="5">
        <v>43583</v>
      </c>
      <c r="E313" s="1">
        <f t="shared" si="20"/>
        <v>2019</v>
      </c>
      <c r="F313" s="1">
        <f t="shared" si="21"/>
        <v>4</v>
      </c>
      <c r="G313" s="4">
        <f t="shared" si="22"/>
        <v>28</v>
      </c>
      <c r="H313" s="8">
        <v>0.3263888888888889</v>
      </c>
      <c r="I313" s="11">
        <v>128.74799999999999</v>
      </c>
      <c r="J313" s="11">
        <v>31.751000000000001</v>
      </c>
      <c r="K313" s="9">
        <v>497.08600000000001</v>
      </c>
      <c r="L313" s="9">
        <v>500</v>
      </c>
      <c r="M313" s="9">
        <v>0</v>
      </c>
      <c r="N313" s="12">
        <v>7.3460000000000001</v>
      </c>
      <c r="O313" s="11">
        <v>34.3489</v>
      </c>
      <c r="P313" s="33">
        <v>-0.1025847435294116</v>
      </c>
      <c r="Q313" s="33">
        <v>-1.0448490117647076</v>
      </c>
      <c r="R313" s="1" t="s">
        <v>280</v>
      </c>
      <c r="S313" s="1">
        <v>1</v>
      </c>
      <c r="T313" s="71" t="s">
        <v>626</v>
      </c>
    </row>
    <row r="314" spans="1:20">
      <c r="A314" s="1" t="s">
        <v>474</v>
      </c>
      <c r="B314" s="1">
        <v>78</v>
      </c>
      <c r="C314" s="1" t="s">
        <v>507</v>
      </c>
      <c r="D314" s="5">
        <v>43583</v>
      </c>
      <c r="E314" s="1">
        <f t="shared" si="20"/>
        <v>2019</v>
      </c>
      <c r="F314" s="1">
        <f t="shared" si="21"/>
        <v>4</v>
      </c>
      <c r="G314" s="4">
        <f t="shared" si="22"/>
        <v>28</v>
      </c>
      <c r="H314" s="8">
        <v>0.5229166666666667</v>
      </c>
      <c r="I314" s="11">
        <v>129.255</v>
      </c>
      <c r="J314" s="11">
        <v>31.751999999999999</v>
      </c>
      <c r="K314" s="9">
        <v>5</v>
      </c>
      <c r="L314" s="9">
        <v>5</v>
      </c>
      <c r="M314" s="9">
        <v>0</v>
      </c>
      <c r="N314" s="12">
        <v>19.100999999999999</v>
      </c>
      <c r="O314" s="11">
        <v>34.600999999999999</v>
      </c>
      <c r="P314" s="33">
        <v>0.20540868941176482</v>
      </c>
      <c r="Q314" s="33">
        <v>1.3215762647058842</v>
      </c>
      <c r="R314" s="1" t="s">
        <v>280</v>
      </c>
      <c r="T314" s="71" t="s">
        <v>626</v>
      </c>
    </row>
    <row r="315" spans="1:20">
      <c r="A315" s="1" t="s">
        <v>474</v>
      </c>
      <c r="B315" s="1">
        <v>79</v>
      </c>
      <c r="C315" s="1" t="s">
        <v>507</v>
      </c>
      <c r="D315" s="5">
        <v>43583</v>
      </c>
      <c r="E315" s="1">
        <f t="shared" si="20"/>
        <v>2019</v>
      </c>
      <c r="F315" s="1">
        <f t="shared" si="21"/>
        <v>4</v>
      </c>
      <c r="G315" s="4">
        <f t="shared" si="22"/>
        <v>28</v>
      </c>
      <c r="H315" s="8">
        <v>0.70000000000000007</v>
      </c>
      <c r="I315" s="11">
        <v>129.666</v>
      </c>
      <c r="J315" s="11">
        <v>31.745166666666599</v>
      </c>
      <c r="K315" s="9">
        <v>5</v>
      </c>
      <c r="L315" s="9">
        <v>5</v>
      </c>
      <c r="M315" s="9">
        <v>0</v>
      </c>
      <c r="N315" s="12">
        <v>18.375999999999998</v>
      </c>
      <c r="O315" s="11">
        <v>34.650833333333296</v>
      </c>
      <c r="P315" s="33">
        <v>0.23848772235294158</v>
      </c>
      <c r="Q315" s="33">
        <v>1.4557462411764703</v>
      </c>
      <c r="R315" s="1" t="s">
        <v>280</v>
      </c>
      <c r="T315" s="71" t="s">
        <v>626</v>
      </c>
    </row>
    <row r="316" spans="1:20">
      <c r="A316" s="1" t="s">
        <v>476</v>
      </c>
      <c r="B316" s="1">
        <v>6</v>
      </c>
      <c r="C316" s="1" t="s">
        <v>507</v>
      </c>
      <c r="D316" s="5">
        <v>43641.691701388889</v>
      </c>
      <c r="E316" s="1">
        <v>2019</v>
      </c>
      <c r="F316" s="1">
        <v>6</v>
      </c>
      <c r="G316" s="4">
        <v>25</v>
      </c>
      <c r="H316" s="8">
        <v>43641.691701388889</v>
      </c>
      <c r="I316" s="11">
        <v>126.021</v>
      </c>
      <c r="J316" s="11">
        <v>30.998999999999999</v>
      </c>
      <c r="K316" s="9">
        <v>0</v>
      </c>
      <c r="L316" s="9">
        <v>0</v>
      </c>
      <c r="M316" s="27">
        <v>0</v>
      </c>
      <c r="N316" s="32">
        <v>22.5</v>
      </c>
      <c r="O316" s="11">
        <v>33.22047662359109</v>
      </c>
      <c r="P316" s="33">
        <v>-0.11198406117647064</v>
      </c>
      <c r="Q316" s="33">
        <v>-0.68065721176470539</v>
      </c>
      <c r="R316" s="1" t="s">
        <v>280</v>
      </c>
      <c r="T316" s="71" t="s">
        <v>626</v>
      </c>
    </row>
    <row r="317" spans="1:20">
      <c r="A317" s="1" t="s">
        <v>476</v>
      </c>
      <c r="B317" s="1">
        <v>7</v>
      </c>
      <c r="C317" s="1" t="s">
        <v>507</v>
      </c>
      <c r="D317" s="5">
        <v>43641.829004629632</v>
      </c>
      <c r="E317" s="1">
        <v>2019</v>
      </c>
      <c r="F317" s="1">
        <v>6</v>
      </c>
      <c r="G317" s="4">
        <v>25</v>
      </c>
      <c r="H317" s="8">
        <v>43641.829004629632</v>
      </c>
      <c r="I317" s="11">
        <v>126</v>
      </c>
      <c r="J317" s="11">
        <v>30.5</v>
      </c>
      <c r="K317" s="9">
        <v>0</v>
      </c>
      <c r="L317" s="9">
        <v>0</v>
      </c>
      <c r="M317" s="27">
        <v>0</v>
      </c>
      <c r="N317" s="32">
        <v>22.9</v>
      </c>
      <c r="O317" s="11">
        <v>32.647642903978173</v>
      </c>
      <c r="P317" s="33">
        <v>-0.22317313176470588</v>
      </c>
      <c r="Q317" s="33">
        <v>-1.4525077176470589</v>
      </c>
      <c r="R317" s="1" t="s">
        <v>280</v>
      </c>
      <c r="T317" s="71" t="s">
        <v>626</v>
      </c>
    </row>
    <row r="318" spans="1:20">
      <c r="A318" s="1" t="s">
        <v>476</v>
      </c>
      <c r="B318" s="1">
        <v>8</v>
      </c>
      <c r="C318" s="1" t="s">
        <v>507</v>
      </c>
      <c r="D318" s="5">
        <v>43641.953460648147</v>
      </c>
      <c r="E318" s="1">
        <v>2019</v>
      </c>
      <c r="F318" s="1">
        <v>6</v>
      </c>
      <c r="G318" s="4">
        <v>25</v>
      </c>
      <c r="H318" s="8">
        <v>43641.953460648147</v>
      </c>
      <c r="I318" s="11">
        <v>125.499</v>
      </c>
      <c r="J318" s="11">
        <v>30.5</v>
      </c>
      <c r="K318" s="9">
        <v>0</v>
      </c>
      <c r="L318" s="9">
        <v>0</v>
      </c>
      <c r="M318" s="27">
        <v>0</v>
      </c>
      <c r="N318" s="32">
        <v>22.9</v>
      </c>
      <c r="O318" s="11">
        <v>32.109094251731953</v>
      </c>
      <c r="P318" s="33">
        <v>-0.35919260235294126</v>
      </c>
      <c r="Q318" s="33">
        <v>-2.3293900235294105</v>
      </c>
      <c r="R318" s="1" t="s">
        <v>280</v>
      </c>
      <c r="T318" s="71" t="s">
        <v>626</v>
      </c>
    </row>
    <row r="319" spans="1:20">
      <c r="A319" s="1" t="s">
        <v>476</v>
      </c>
      <c r="B319" s="1">
        <v>9</v>
      </c>
      <c r="C319" s="1" t="s">
        <v>507</v>
      </c>
      <c r="D319" s="5">
        <v>43642.066874999997</v>
      </c>
      <c r="E319" s="1">
        <v>2019</v>
      </c>
      <c r="F319" s="1">
        <v>6</v>
      </c>
      <c r="G319" s="4">
        <v>26</v>
      </c>
      <c r="H319" s="8">
        <v>43642.066874999997</v>
      </c>
      <c r="I319" s="11">
        <v>124.997</v>
      </c>
      <c r="J319" s="11">
        <v>30.501000000000001</v>
      </c>
      <c r="K319" s="9">
        <v>0</v>
      </c>
      <c r="L319" s="9">
        <v>0</v>
      </c>
      <c r="M319" s="27">
        <v>0</v>
      </c>
      <c r="N319" s="32">
        <v>23.1</v>
      </c>
      <c r="O319" s="11">
        <v>31.798385182868085</v>
      </c>
      <c r="P319" s="33">
        <v>-0.42630771294117631</v>
      </c>
      <c r="Q319" s="33">
        <v>-2.7386731294117643</v>
      </c>
      <c r="R319" s="1" t="s">
        <v>280</v>
      </c>
      <c r="T319" s="71" t="s">
        <v>626</v>
      </c>
    </row>
    <row r="320" spans="1:20">
      <c r="A320" s="1" t="s">
        <v>476</v>
      </c>
      <c r="B320" s="1">
        <v>10</v>
      </c>
      <c r="C320" s="1" t="s">
        <v>507</v>
      </c>
      <c r="D320" s="5">
        <v>43642.199687499997</v>
      </c>
      <c r="E320" s="1">
        <v>2019</v>
      </c>
      <c r="F320" s="1">
        <v>6</v>
      </c>
      <c r="G320" s="4">
        <v>26</v>
      </c>
      <c r="H320" s="8">
        <v>43642.199687499997</v>
      </c>
      <c r="I320" s="11">
        <v>124.499</v>
      </c>
      <c r="J320" s="11">
        <v>30.5</v>
      </c>
      <c r="K320" s="9">
        <v>0</v>
      </c>
      <c r="L320" s="9">
        <v>0</v>
      </c>
      <c r="M320" s="27">
        <v>0</v>
      </c>
      <c r="N320" s="32">
        <v>23.3</v>
      </c>
      <c r="O320" s="11">
        <v>31.701272043172835</v>
      </c>
      <c r="P320" s="33">
        <v>-0.40402121176470596</v>
      </c>
      <c r="Q320" s="33">
        <v>-2.7089385294117649</v>
      </c>
      <c r="R320" s="1" t="s">
        <v>280</v>
      </c>
      <c r="T320" s="71" t="s">
        <v>626</v>
      </c>
    </row>
    <row r="321" spans="1:20">
      <c r="A321" s="1" t="s">
        <v>476</v>
      </c>
      <c r="B321" s="1">
        <v>11</v>
      </c>
      <c r="C321" s="1" t="s">
        <v>507</v>
      </c>
      <c r="D321" s="5">
        <v>43642.290497685186</v>
      </c>
      <c r="E321" s="1">
        <v>2019</v>
      </c>
      <c r="F321" s="1">
        <v>6</v>
      </c>
      <c r="G321" s="4">
        <v>26</v>
      </c>
      <c r="H321" s="8">
        <v>43642.290497685186</v>
      </c>
      <c r="I321" s="11">
        <v>124.252</v>
      </c>
      <c r="J321" s="11">
        <v>30.5</v>
      </c>
      <c r="K321" s="9">
        <v>0</v>
      </c>
      <c r="L321" s="9">
        <v>0</v>
      </c>
      <c r="M321" s="27">
        <v>0</v>
      </c>
      <c r="N321" s="32">
        <v>23.6</v>
      </c>
      <c r="O321" s="11">
        <v>32.108911475526114</v>
      </c>
      <c r="P321" s="33">
        <v>-0.31669749411764725</v>
      </c>
      <c r="Q321" s="33">
        <v>-2.3172446638655471</v>
      </c>
      <c r="R321" s="1" t="s">
        <v>280</v>
      </c>
      <c r="T321" s="71" t="s">
        <v>626</v>
      </c>
    </row>
    <row r="322" spans="1:20">
      <c r="A322" s="1" t="s">
        <v>476</v>
      </c>
      <c r="B322" s="1">
        <v>12</v>
      </c>
      <c r="C322" s="1" t="s">
        <v>507</v>
      </c>
      <c r="D322" s="5">
        <v>43642.438020833331</v>
      </c>
      <c r="E322" s="1">
        <v>2019</v>
      </c>
      <c r="F322" s="1">
        <v>6</v>
      </c>
      <c r="G322" s="4">
        <v>26</v>
      </c>
      <c r="H322" s="8">
        <v>43642.438020833331</v>
      </c>
      <c r="I322" s="11">
        <v>123.999</v>
      </c>
      <c r="J322" s="11">
        <v>29.998999999999999</v>
      </c>
      <c r="K322" s="9">
        <v>0</v>
      </c>
      <c r="L322" s="9">
        <v>0</v>
      </c>
      <c r="M322" s="27">
        <v>0</v>
      </c>
      <c r="N322" s="32">
        <v>24.6</v>
      </c>
      <c r="O322" s="11">
        <v>33.330613809851009</v>
      </c>
      <c r="P322" s="33">
        <v>-0.10374377647058797</v>
      </c>
      <c r="Q322" s="33">
        <v>-0.77531554117646984</v>
      </c>
      <c r="R322" s="1" t="s">
        <v>280</v>
      </c>
      <c r="T322" s="71" t="s">
        <v>626</v>
      </c>
    </row>
    <row r="323" spans="1:20">
      <c r="A323" s="1" t="s">
        <v>476</v>
      </c>
      <c r="B323" s="1">
        <v>13</v>
      </c>
      <c r="C323" s="1" t="s">
        <v>507</v>
      </c>
      <c r="D323" s="5">
        <v>43642.567141203705</v>
      </c>
      <c r="E323" s="1">
        <v>2019</v>
      </c>
      <c r="F323" s="1">
        <v>6</v>
      </c>
      <c r="G323" s="4">
        <v>26</v>
      </c>
      <c r="H323" s="8">
        <v>43642.567141203705</v>
      </c>
      <c r="I323" s="11">
        <v>124.48699999999999</v>
      </c>
      <c r="J323" s="11">
        <v>30</v>
      </c>
      <c r="K323" s="9">
        <v>0</v>
      </c>
      <c r="L323" s="9">
        <v>0</v>
      </c>
      <c r="M323" s="27">
        <v>0</v>
      </c>
      <c r="N323" s="32">
        <v>23.9</v>
      </c>
      <c r="O323" s="11">
        <v>32.088337407892034</v>
      </c>
      <c r="P323" s="33">
        <v>-0.34675305882352969</v>
      </c>
      <c r="Q323" s="33">
        <v>-2.3403440470588235</v>
      </c>
      <c r="R323" s="1" t="s">
        <v>280</v>
      </c>
      <c r="T323" s="71" t="s">
        <v>626</v>
      </c>
    </row>
    <row r="324" spans="1:20">
      <c r="A324" s="1" t="s">
        <v>476</v>
      </c>
      <c r="B324" s="1">
        <v>14</v>
      </c>
      <c r="C324" s="1" t="s">
        <v>507</v>
      </c>
      <c r="D324" s="5">
        <v>43642.703275462962</v>
      </c>
      <c r="E324" s="1">
        <v>2019</v>
      </c>
      <c r="F324" s="1">
        <v>6</v>
      </c>
      <c r="G324" s="4">
        <v>26</v>
      </c>
      <c r="H324" s="8">
        <v>43642.703275462962</v>
      </c>
      <c r="I324" s="11">
        <v>125</v>
      </c>
      <c r="J324" s="11">
        <v>30</v>
      </c>
      <c r="K324" s="9">
        <v>0</v>
      </c>
      <c r="L324" s="9">
        <v>0</v>
      </c>
      <c r="M324" s="27">
        <v>0</v>
      </c>
      <c r="N324" s="32">
        <v>24.2</v>
      </c>
      <c r="O324" s="11">
        <v>32.218142712855766</v>
      </c>
      <c r="P324" s="33">
        <v>-0.3892568611764704</v>
      </c>
      <c r="Q324" s="33">
        <v>-2.3645105529411774</v>
      </c>
      <c r="R324" s="1" t="s">
        <v>280</v>
      </c>
      <c r="T324" s="71" t="s">
        <v>626</v>
      </c>
    </row>
    <row r="325" spans="1:20">
      <c r="A325" s="1" t="s">
        <v>476</v>
      </c>
      <c r="B325" s="1">
        <v>15</v>
      </c>
      <c r="C325" s="1" t="s">
        <v>507</v>
      </c>
      <c r="D325" s="5">
        <v>43642.833726851852</v>
      </c>
      <c r="E325" s="1">
        <v>2019</v>
      </c>
      <c r="F325" s="1">
        <v>6</v>
      </c>
      <c r="G325" s="4">
        <v>26</v>
      </c>
      <c r="H325" s="8">
        <v>43642.833726851852</v>
      </c>
      <c r="I325" s="11">
        <v>125.501</v>
      </c>
      <c r="J325" s="11">
        <v>30.007999999999999</v>
      </c>
      <c r="K325" s="9">
        <v>0</v>
      </c>
      <c r="L325" s="9">
        <v>0</v>
      </c>
      <c r="M325" s="27">
        <v>0</v>
      </c>
      <c r="N325" s="32">
        <v>23.9</v>
      </c>
      <c r="O325" s="11">
        <v>33.029305303313578</v>
      </c>
      <c r="P325" s="33">
        <v>-0.13896886352941173</v>
      </c>
      <c r="Q325" s="33">
        <v>-1.0932848588235284</v>
      </c>
      <c r="R325" s="1" t="s">
        <v>280</v>
      </c>
      <c r="T325" s="71" t="s">
        <v>626</v>
      </c>
    </row>
    <row r="326" spans="1:20">
      <c r="A326" s="1" t="s">
        <v>476</v>
      </c>
      <c r="B326" s="1">
        <v>16</v>
      </c>
      <c r="C326" s="1" t="s">
        <v>507</v>
      </c>
      <c r="D326" s="5">
        <v>43642.961793981478</v>
      </c>
      <c r="E326" s="1">
        <v>2019</v>
      </c>
      <c r="F326" s="1">
        <v>6</v>
      </c>
      <c r="G326" s="4">
        <v>26</v>
      </c>
      <c r="H326" s="8">
        <v>43642.961793981478</v>
      </c>
      <c r="I326" s="11">
        <v>126</v>
      </c>
      <c r="J326" s="11">
        <v>30</v>
      </c>
      <c r="K326" s="9">
        <v>0</v>
      </c>
      <c r="L326" s="9">
        <v>0</v>
      </c>
      <c r="M326" s="27">
        <v>0</v>
      </c>
      <c r="N326" s="32">
        <v>23.4</v>
      </c>
      <c r="O326" s="11">
        <v>32.523642573768619</v>
      </c>
      <c r="P326" s="33">
        <v>-0.29031258588235276</v>
      </c>
      <c r="Q326" s="33">
        <v>-1.8977723647058831</v>
      </c>
      <c r="R326" s="1" t="s">
        <v>280</v>
      </c>
      <c r="T326" s="71" t="s">
        <v>626</v>
      </c>
    </row>
    <row r="327" spans="1:20">
      <c r="A327" s="1" t="s">
        <v>476</v>
      </c>
      <c r="B327" s="1">
        <v>17</v>
      </c>
      <c r="C327" s="1" t="s">
        <v>507</v>
      </c>
      <c r="D327" s="5">
        <v>43643.104224537034</v>
      </c>
      <c r="E327" s="1">
        <v>2019</v>
      </c>
      <c r="F327" s="1">
        <v>6</v>
      </c>
      <c r="G327" s="4">
        <v>27</v>
      </c>
      <c r="H327" s="8">
        <v>43643.104224537034</v>
      </c>
      <c r="I327" s="11">
        <v>126.5</v>
      </c>
      <c r="J327" s="11">
        <v>30.001999999999999</v>
      </c>
      <c r="K327" s="9">
        <v>0</v>
      </c>
      <c r="L327" s="9">
        <v>0</v>
      </c>
      <c r="M327" s="27">
        <v>0</v>
      </c>
      <c r="N327" s="32">
        <v>23.2</v>
      </c>
      <c r="O327" s="11">
        <v>33.056681532543742</v>
      </c>
      <c r="P327" s="33">
        <v>-0.17477819529411742</v>
      </c>
      <c r="Q327" s="33">
        <v>-1.0649761882352937</v>
      </c>
      <c r="R327" s="1" t="s">
        <v>280</v>
      </c>
      <c r="T327" s="71" t="s">
        <v>626</v>
      </c>
    </row>
    <row r="328" spans="1:20">
      <c r="A328" s="1" t="s">
        <v>476</v>
      </c>
      <c r="B328" s="1">
        <v>18</v>
      </c>
      <c r="C328" s="1" t="s">
        <v>507</v>
      </c>
      <c r="D328" s="5">
        <v>43643.247743055559</v>
      </c>
      <c r="E328" s="1">
        <v>2019</v>
      </c>
      <c r="F328" s="1">
        <v>6</v>
      </c>
      <c r="G328" s="4">
        <v>27</v>
      </c>
      <c r="H328" s="8">
        <v>43643.247743055559</v>
      </c>
      <c r="I328" s="11">
        <v>126.502</v>
      </c>
      <c r="J328" s="11">
        <v>30.498999999999999</v>
      </c>
      <c r="K328" s="9">
        <v>0</v>
      </c>
      <c r="L328" s="9">
        <v>0</v>
      </c>
      <c r="M328" s="27">
        <v>0</v>
      </c>
      <c r="N328" s="32">
        <v>23.3</v>
      </c>
      <c r="O328" s="11">
        <v>32.903046913903594</v>
      </c>
      <c r="P328" s="33">
        <v>-0.2192132509803919</v>
      </c>
      <c r="Q328" s="33">
        <v>-1.3249202941176463</v>
      </c>
      <c r="R328" s="1" t="s">
        <v>280</v>
      </c>
      <c r="T328" s="71" t="s">
        <v>626</v>
      </c>
    </row>
    <row r="329" spans="1:20">
      <c r="A329" s="1" t="s">
        <v>476</v>
      </c>
      <c r="B329" s="1">
        <v>19</v>
      </c>
      <c r="C329" s="1" t="s">
        <v>507</v>
      </c>
      <c r="D329" s="5">
        <v>43644.079583333332</v>
      </c>
      <c r="E329" s="1">
        <v>2019</v>
      </c>
      <c r="F329" s="1">
        <v>6</v>
      </c>
      <c r="G329" s="4">
        <v>28</v>
      </c>
      <c r="H329" s="8">
        <v>43644.079583333332</v>
      </c>
      <c r="I329" s="11">
        <v>126.5</v>
      </c>
      <c r="J329" s="11">
        <v>31</v>
      </c>
      <c r="K329" s="9">
        <v>0</v>
      </c>
      <c r="L329" s="9">
        <v>0</v>
      </c>
      <c r="M329" s="27">
        <v>0</v>
      </c>
      <c r="N329" s="32">
        <v>22.7</v>
      </c>
      <c r="O329" s="11">
        <v>32.918773157924321</v>
      </c>
      <c r="P329" s="33">
        <v>-0.19129527999999985</v>
      </c>
      <c r="Q329" s="33">
        <v>-1.4274156000000016</v>
      </c>
      <c r="R329" s="1" t="s">
        <v>280</v>
      </c>
      <c r="T329" s="71" t="s">
        <v>626</v>
      </c>
    </row>
    <row r="330" spans="1:20">
      <c r="A330" s="1" t="s">
        <v>476</v>
      </c>
      <c r="B330" s="1">
        <v>20</v>
      </c>
      <c r="C330" s="1" t="s">
        <v>507</v>
      </c>
      <c r="D330" s="5">
        <v>43644.227511574078</v>
      </c>
      <c r="E330" s="1">
        <v>2019</v>
      </c>
      <c r="F330" s="1">
        <v>6</v>
      </c>
      <c r="G330" s="4">
        <v>28</v>
      </c>
      <c r="H330" s="8">
        <v>43644.227511574078</v>
      </c>
      <c r="I330" s="11">
        <v>126.498</v>
      </c>
      <c r="J330" s="11">
        <v>31.5</v>
      </c>
      <c r="K330" s="9">
        <v>0</v>
      </c>
      <c r="L330" s="9">
        <v>0</v>
      </c>
      <c r="M330" s="27">
        <v>0</v>
      </c>
      <c r="N330" s="32">
        <v>22.7</v>
      </c>
      <c r="O330" s="11">
        <v>32.970305833032178</v>
      </c>
      <c r="P330" s="33">
        <v>-0.20007112235294122</v>
      </c>
      <c r="Q330" s="33">
        <v>-1.264661105882352</v>
      </c>
      <c r="R330" s="1" t="s">
        <v>280</v>
      </c>
      <c r="T330" s="71" t="s">
        <v>626</v>
      </c>
    </row>
    <row r="331" spans="1:20">
      <c r="A331" s="1" t="s">
        <v>476</v>
      </c>
      <c r="B331" s="1">
        <v>21</v>
      </c>
      <c r="C331" s="1" t="s">
        <v>507</v>
      </c>
      <c r="D331" s="5">
        <v>43645.052835648145</v>
      </c>
      <c r="E331" s="1">
        <v>2019</v>
      </c>
      <c r="F331" s="1">
        <v>6</v>
      </c>
      <c r="G331" s="4">
        <v>29</v>
      </c>
      <c r="H331" s="8">
        <v>43645.052835648145</v>
      </c>
      <c r="I331" s="11">
        <v>127.45099999999999</v>
      </c>
      <c r="J331" s="11">
        <v>32.116999999999997</v>
      </c>
      <c r="K331" s="9">
        <v>0</v>
      </c>
      <c r="L331" s="9">
        <v>0</v>
      </c>
      <c r="M331" s="27">
        <v>0</v>
      </c>
      <c r="N331" s="32">
        <v>24</v>
      </c>
      <c r="O331" s="11">
        <v>33.445636582132806</v>
      </c>
      <c r="P331" s="33">
        <v>-0.13258216470588247</v>
      </c>
      <c r="Q331" s="33">
        <v>-0.75463574509804054</v>
      </c>
      <c r="R331" s="1" t="s">
        <v>280</v>
      </c>
      <c r="T331" s="71" t="s">
        <v>626</v>
      </c>
    </row>
    <row r="332" spans="1:20">
      <c r="A332" s="1" t="s">
        <v>476</v>
      </c>
      <c r="B332" s="1">
        <v>22</v>
      </c>
      <c r="C332" s="1" t="s">
        <v>507</v>
      </c>
      <c r="D332" s="5">
        <v>43644.392476851855</v>
      </c>
      <c r="E332" s="1">
        <v>2019</v>
      </c>
      <c r="F332" s="1">
        <v>6</v>
      </c>
      <c r="G332" s="4">
        <v>28</v>
      </c>
      <c r="H332" s="8">
        <v>43644.392476851855</v>
      </c>
      <c r="I332" s="11">
        <v>127</v>
      </c>
      <c r="J332" s="11">
        <v>31.75</v>
      </c>
      <c r="K332" s="9">
        <v>0</v>
      </c>
      <c r="L332" s="9">
        <v>0</v>
      </c>
      <c r="M332" s="27">
        <v>0</v>
      </c>
      <c r="N332" s="32">
        <v>22.6</v>
      </c>
      <c r="O332" s="11">
        <v>32.356927400830756</v>
      </c>
      <c r="P332" s="33">
        <v>-0.38191728705882322</v>
      </c>
      <c r="Q332" s="33">
        <v>-2.5197719176470592</v>
      </c>
      <c r="R332" s="1" t="s">
        <v>280</v>
      </c>
      <c r="T332" s="71" t="s">
        <v>626</v>
      </c>
    </row>
    <row r="333" spans="1:20">
      <c r="A333" s="1" t="s">
        <v>476</v>
      </c>
      <c r="B333" s="1">
        <v>24</v>
      </c>
      <c r="C333" s="1" t="s">
        <v>507</v>
      </c>
      <c r="D333" s="5">
        <v>43644.919976851852</v>
      </c>
      <c r="E333" s="1">
        <v>2019</v>
      </c>
      <c r="F333" s="1">
        <v>6</v>
      </c>
      <c r="G333" s="4">
        <v>28</v>
      </c>
      <c r="H333" s="8">
        <v>43644.919976851852</v>
      </c>
      <c r="I333" s="11">
        <v>127.253</v>
      </c>
      <c r="J333" s="11">
        <v>31.751000000000001</v>
      </c>
      <c r="K333" s="9">
        <v>0</v>
      </c>
      <c r="L333" s="9">
        <v>0</v>
      </c>
      <c r="M333" s="27">
        <v>0</v>
      </c>
      <c r="N333" s="32">
        <v>23.5</v>
      </c>
      <c r="O333" s="11">
        <v>33.23687054234486</v>
      </c>
      <c r="P333" s="33">
        <v>-0.12687012941176512</v>
      </c>
      <c r="Q333" s="33">
        <v>-0.91742902352941336</v>
      </c>
      <c r="R333" s="1" t="s">
        <v>280</v>
      </c>
      <c r="T333" s="71" t="s">
        <v>626</v>
      </c>
    </row>
    <row r="334" spans="1:20">
      <c r="A334" s="1" t="s">
        <v>476</v>
      </c>
      <c r="B334" s="1">
        <v>24</v>
      </c>
      <c r="C334" s="1" t="s">
        <v>507</v>
      </c>
      <c r="D334" s="5">
        <v>43644.919976851852</v>
      </c>
      <c r="E334" s="1">
        <v>2019</v>
      </c>
      <c r="F334" s="1">
        <v>6</v>
      </c>
      <c r="G334" s="4">
        <v>28</v>
      </c>
      <c r="H334" s="8">
        <v>43644.919976851852</v>
      </c>
      <c r="I334" s="11">
        <v>127.253</v>
      </c>
      <c r="J334" s="11">
        <v>31.751000000000001</v>
      </c>
      <c r="K334" s="9">
        <v>9</v>
      </c>
      <c r="L334" s="9">
        <v>10</v>
      </c>
      <c r="M334" s="9">
        <v>7</v>
      </c>
      <c r="N334" s="12">
        <v>23.44</v>
      </c>
      <c r="O334" s="11">
        <v>33.672791758590989</v>
      </c>
      <c r="P334" s="33">
        <v>1.4198105882352596E-2</v>
      </c>
      <c r="Q334" s="33">
        <v>-2.0070298823528177E-2</v>
      </c>
      <c r="R334" s="1" t="s">
        <v>280</v>
      </c>
      <c r="S334" s="1">
        <v>1</v>
      </c>
      <c r="T334" s="71" t="s">
        <v>626</v>
      </c>
    </row>
    <row r="335" spans="1:20">
      <c r="A335" s="1" t="s">
        <v>476</v>
      </c>
      <c r="B335" s="1">
        <v>24</v>
      </c>
      <c r="C335" s="1" t="s">
        <v>507</v>
      </c>
      <c r="D335" s="5">
        <v>43644.919976851852</v>
      </c>
      <c r="E335" s="1">
        <v>2019</v>
      </c>
      <c r="F335" s="1">
        <v>6</v>
      </c>
      <c r="G335" s="4">
        <v>28</v>
      </c>
      <c r="H335" s="8">
        <v>43644.919976851852</v>
      </c>
      <c r="I335" s="11">
        <v>127.253</v>
      </c>
      <c r="J335" s="11">
        <v>31.751000000000001</v>
      </c>
      <c r="K335" s="9">
        <v>20</v>
      </c>
      <c r="L335" s="9">
        <v>20</v>
      </c>
      <c r="M335" s="9">
        <v>6</v>
      </c>
      <c r="N335" s="12">
        <v>22.48</v>
      </c>
      <c r="O335" s="11">
        <v>33.906256305771535</v>
      </c>
      <c r="P335" s="33">
        <v>6.3009715294116919E-2</v>
      </c>
      <c r="Q335" s="33">
        <v>0.36625904705882384</v>
      </c>
      <c r="R335" s="1" t="s">
        <v>280</v>
      </c>
      <c r="S335" s="1">
        <v>1</v>
      </c>
      <c r="T335" s="71" t="s">
        <v>626</v>
      </c>
    </row>
    <row r="336" spans="1:20">
      <c r="A336" s="1" t="s">
        <v>476</v>
      </c>
      <c r="B336" s="1">
        <v>24</v>
      </c>
      <c r="C336" s="1" t="s">
        <v>507</v>
      </c>
      <c r="D336" s="5">
        <v>43644.919976851852</v>
      </c>
      <c r="E336" s="1">
        <v>2019</v>
      </c>
      <c r="F336" s="1">
        <v>6</v>
      </c>
      <c r="G336" s="4">
        <v>28</v>
      </c>
      <c r="H336" s="8">
        <v>43644.919976851852</v>
      </c>
      <c r="I336" s="11">
        <v>127.253</v>
      </c>
      <c r="J336" s="11">
        <v>31.751000000000001</v>
      </c>
      <c r="K336" s="9">
        <v>30</v>
      </c>
      <c r="L336" s="9">
        <v>30</v>
      </c>
      <c r="M336" s="9">
        <v>5</v>
      </c>
      <c r="N336" s="12">
        <v>19.11</v>
      </c>
      <c r="O336" s="11">
        <v>33.712859838159218</v>
      </c>
      <c r="P336" s="33">
        <v>1.0626524705881657E-2</v>
      </c>
      <c r="Q336" s="33">
        <v>-0.10792412705882093</v>
      </c>
      <c r="R336" s="1" t="s">
        <v>280</v>
      </c>
      <c r="S336" s="1">
        <v>1</v>
      </c>
      <c r="T336" s="71" t="s">
        <v>626</v>
      </c>
    </row>
    <row r="337" spans="1:20">
      <c r="A337" s="1" t="s">
        <v>476</v>
      </c>
      <c r="B337" s="1">
        <v>24</v>
      </c>
      <c r="C337" s="1" t="s">
        <v>507</v>
      </c>
      <c r="D337" s="5">
        <v>43644.919976851852</v>
      </c>
      <c r="E337" s="1">
        <v>2019</v>
      </c>
      <c r="F337" s="1">
        <v>6</v>
      </c>
      <c r="G337" s="4">
        <v>28</v>
      </c>
      <c r="H337" s="8">
        <v>43644.919976851852</v>
      </c>
      <c r="I337" s="11">
        <v>127.253</v>
      </c>
      <c r="J337" s="11">
        <v>31.751000000000001</v>
      </c>
      <c r="K337" s="9">
        <v>50</v>
      </c>
      <c r="L337" s="9">
        <v>50</v>
      </c>
      <c r="M337" s="9">
        <v>4</v>
      </c>
      <c r="N337" s="12">
        <v>17.84</v>
      </c>
      <c r="O337" s="11">
        <v>33.806444004380502</v>
      </c>
      <c r="P337" s="33">
        <v>-1.0365625882353235E-2</v>
      </c>
      <c r="Q337" s="33">
        <v>-2.7757811764708151E-3</v>
      </c>
      <c r="R337" s="1" t="s">
        <v>280</v>
      </c>
      <c r="S337" s="1">
        <v>1</v>
      </c>
      <c r="T337" s="71" t="s">
        <v>626</v>
      </c>
    </row>
    <row r="338" spans="1:20">
      <c r="A338" s="1" t="s">
        <v>476</v>
      </c>
      <c r="B338" s="1">
        <v>24</v>
      </c>
      <c r="C338" s="1" t="s">
        <v>507</v>
      </c>
      <c r="D338" s="5">
        <v>43644.919976851852</v>
      </c>
      <c r="E338" s="1">
        <v>2019</v>
      </c>
      <c r="F338" s="1">
        <v>6</v>
      </c>
      <c r="G338" s="4">
        <v>28</v>
      </c>
      <c r="H338" s="8">
        <v>43644.919976851852</v>
      </c>
      <c r="I338" s="11">
        <v>127.253</v>
      </c>
      <c r="J338" s="11">
        <v>31.751000000000001</v>
      </c>
      <c r="K338" s="9">
        <v>75</v>
      </c>
      <c r="L338" s="9">
        <v>75</v>
      </c>
      <c r="M338" s="9">
        <v>3</v>
      </c>
      <c r="N338" s="12">
        <v>17.670000000000002</v>
      </c>
      <c r="O338" s="11">
        <v>34.047236839582531</v>
      </c>
      <c r="P338" s="33">
        <v>4.5767035294113079E-3</v>
      </c>
      <c r="Q338" s="33">
        <v>0.26437228470588181</v>
      </c>
      <c r="R338" s="1" t="s">
        <v>280</v>
      </c>
      <c r="S338" s="1">
        <v>1</v>
      </c>
      <c r="T338" s="71" t="s">
        <v>626</v>
      </c>
    </row>
    <row r="339" spans="1:20">
      <c r="A339" s="1" t="s">
        <v>476</v>
      </c>
      <c r="B339" s="1">
        <v>24</v>
      </c>
      <c r="C339" s="1" t="s">
        <v>507</v>
      </c>
      <c r="D339" s="5">
        <v>43644.919976851852</v>
      </c>
      <c r="E339" s="1">
        <v>2019</v>
      </c>
      <c r="F339" s="1">
        <v>6</v>
      </c>
      <c r="G339" s="4">
        <v>28</v>
      </c>
      <c r="H339" s="8">
        <v>43644.919976851852</v>
      </c>
      <c r="I339" s="11">
        <v>127.253</v>
      </c>
      <c r="J339" s="11">
        <v>31.751000000000001</v>
      </c>
      <c r="K339" s="9">
        <v>100</v>
      </c>
      <c r="L339" s="9">
        <v>100</v>
      </c>
      <c r="M339" s="9">
        <v>2</v>
      </c>
      <c r="N339" s="12">
        <v>14.47</v>
      </c>
      <c r="O339" s="11">
        <v>33.952403865737516</v>
      </c>
      <c r="P339" s="33">
        <v>2.9845032941175909E-2</v>
      </c>
      <c r="Q339" s="33">
        <v>0.10807163058823832</v>
      </c>
      <c r="R339" s="1" t="s">
        <v>280</v>
      </c>
      <c r="S339" s="1">
        <v>1</v>
      </c>
      <c r="T339" s="71" t="s">
        <v>626</v>
      </c>
    </row>
    <row r="340" spans="1:20">
      <c r="A340" s="1" t="s">
        <v>476</v>
      </c>
      <c r="B340" s="1">
        <v>24</v>
      </c>
      <c r="C340" s="1" t="s">
        <v>507</v>
      </c>
      <c r="D340" s="5">
        <v>43644.919976851852</v>
      </c>
      <c r="E340" s="1">
        <v>2019</v>
      </c>
      <c r="F340" s="1">
        <v>6</v>
      </c>
      <c r="G340" s="4">
        <v>28</v>
      </c>
      <c r="H340" s="8">
        <v>43644.919976851852</v>
      </c>
      <c r="I340" s="11">
        <v>127.253</v>
      </c>
      <c r="J340" s="11">
        <v>31.751000000000001</v>
      </c>
      <c r="K340" s="9">
        <v>121</v>
      </c>
      <c r="L340" s="9">
        <v>121</v>
      </c>
      <c r="M340" s="9">
        <v>1</v>
      </c>
      <c r="N340" s="12">
        <v>14.88</v>
      </c>
      <c r="O340" s="11">
        <v>34.155060442330445</v>
      </c>
      <c r="P340" s="33">
        <v>6.6928708235293843E-2</v>
      </c>
      <c r="Q340" s="33">
        <v>0.29346767058823531</v>
      </c>
      <c r="R340" s="1" t="s">
        <v>280</v>
      </c>
      <c r="S340" s="1">
        <v>1</v>
      </c>
      <c r="T340" s="71" t="s">
        <v>626</v>
      </c>
    </row>
    <row r="341" spans="1:20">
      <c r="A341" s="1" t="s">
        <v>476</v>
      </c>
      <c r="B341" s="1">
        <v>26</v>
      </c>
      <c r="C341" s="1" t="s">
        <v>507</v>
      </c>
      <c r="D341" s="5">
        <v>43645.230694444443</v>
      </c>
      <c r="E341" s="1">
        <v>2019</v>
      </c>
      <c r="F341" s="1">
        <v>6</v>
      </c>
      <c r="G341" s="4">
        <v>29</v>
      </c>
      <c r="H341" s="8">
        <v>43645.230694444443</v>
      </c>
      <c r="I341" s="11">
        <v>127.748</v>
      </c>
      <c r="J341" s="11">
        <v>31.75</v>
      </c>
      <c r="K341" s="9">
        <v>0</v>
      </c>
      <c r="L341" s="9">
        <v>0</v>
      </c>
      <c r="M341" s="27">
        <v>0</v>
      </c>
      <c r="N341" s="32">
        <v>23.5</v>
      </c>
      <c r="O341" s="11">
        <v>32.561365531143991</v>
      </c>
      <c r="P341" s="33">
        <v>-0.27872014352941221</v>
      </c>
      <c r="Q341" s="33">
        <v>-1.696675124705882</v>
      </c>
      <c r="R341" s="1" t="s">
        <v>280</v>
      </c>
      <c r="T341" s="71" t="s">
        <v>626</v>
      </c>
    </row>
    <row r="342" spans="1:20">
      <c r="A342" s="1" t="s">
        <v>476</v>
      </c>
      <c r="B342" s="1">
        <v>28</v>
      </c>
      <c r="C342" s="1" t="s">
        <v>507</v>
      </c>
      <c r="D342" s="5">
        <v>43645.361909722225</v>
      </c>
      <c r="E342" s="1">
        <v>2019</v>
      </c>
      <c r="F342" s="1">
        <v>6</v>
      </c>
      <c r="G342" s="4">
        <v>29</v>
      </c>
      <c r="H342" s="8">
        <v>43645.361909722225</v>
      </c>
      <c r="I342" s="11">
        <v>128.25200000000001</v>
      </c>
      <c r="J342" s="11">
        <v>31.75</v>
      </c>
      <c r="K342" s="9">
        <v>0</v>
      </c>
      <c r="L342" s="9">
        <v>0</v>
      </c>
      <c r="M342" s="27">
        <v>0</v>
      </c>
      <c r="N342" s="32">
        <v>26</v>
      </c>
      <c r="O342" s="11">
        <v>34.295173258422828</v>
      </c>
      <c r="P342" s="33">
        <v>0.12266969882352896</v>
      </c>
      <c r="Q342" s="33">
        <v>0.7859006517647078</v>
      </c>
      <c r="R342" s="1" t="s">
        <v>280</v>
      </c>
      <c r="T342" s="71" t="s">
        <v>626</v>
      </c>
    </row>
    <row r="343" spans="1:20">
      <c r="A343" s="1" t="s">
        <v>476</v>
      </c>
      <c r="B343" s="1">
        <v>32</v>
      </c>
      <c r="C343" s="1" t="s">
        <v>507</v>
      </c>
      <c r="D343" s="5">
        <v>43646.15457175926</v>
      </c>
      <c r="E343" s="1">
        <v>2019</v>
      </c>
      <c r="F343" s="1">
        <v>6</v>
      </c>
      <c r="G343" s="4">
        <v>30</v>
      </c>
      <c r="H343" s="8">
        <v>43646.15457175926</v>
      </c>
      <c r="I343" s="11">
        <v>129.255</v>
      </c>
      <c r="J343" s="11">
        <v>31.748999999999999</v>
      </c>
      <c r="K343" s="9">
        <v>0</v>
      </c>
      <c r="L343" s="9">
        <v>0</v>
      </c>
      <c r="M343" s="27">
        <v>0</v>
      </c>
      <c r="N343" s="32">
        <v>25.6</v>
      </c>
      <c r="O343" s="11">
        <v>34.277863377048575</v>
      </c>
      <c r="P343" s="33">
        <v>0.13085760941176483</v>
      </c>
      <c r="Q343" s="33">
        <v>0.70048430588235178</v>
      </c>
      <c r="R343" s="1" t="s">
        <v>280</v>
      </c>
      <c r="T343" s="71" t="s">
        <v>626</v>
      </c>
    </row>
    <row r="344" spans="1:20">
      <c r="A344" s="1" t="s">
        <v>476</v>
      </c>
      <c r="B344" s="1">
        <v>34</v>
      </c>
      <c r="C344" s="1" t="s">
        <v>507</v>
      </c>
      <c r="D344" s="5">
        <v>43646.311574074076</v>
      </c>
      <c r="E344" s="1">
        <v>2019</v>
      </c>
      <c r="F344" s="1">
        <v>6</v>
      </c>
      <c r="G344" s="4">
        <v>30</v>
      </c>
      <c r="H344" s="8">
        <v>43646.311574074076</v>
      </c>
      <c r="I344" s="11">
        <v>129.666</v>
      </c>
      <c r="J344" s="11">
        <v>31.747</v>
      </c>
      <c r="K344" s="9">
        <v>0</v>
      </c>
      <c r="L344" s="9">
        <v>0</v>
      </c>
      <c r="M344" s="27">
        <v>0</v>
      </c>
      <c r="N344" s="32">
        <v>25.1</v>
      </c>
      <c r="O344" s="11">
        <v>33.881919288589906</v>
      </c>
      <c r="P344" s="33">
        <v>-1.8735760000000212E-2</v>
      </c>
      <c r="Q344" s="33">
        <v>-7.7525240000001716E-2</v>
      </c>
      <c r="R344" s="1" t="s">
        <v>280</v>
      </c>
      <c r="T344" s="71" t="s">
        <v>626</v>
      </c>
    </row>
    <row r="345" spans="1:20">
      <c r="A345" s="1" t="s">
        <v>476</v>
      </c>
      <c r="B345" s="1" t="s">
        <v>477</v>
      </c>
      <c r="C345" s="1" t="s">
        <v>507</v>
      </c>
      <c r="D345" s="5">
        <v>43645.922696759262</v>
      </c>
      <c r="E345" s="1">
        <v>2019</v>
      </c>
      <c r="F345" s="1">
        <v>6</v>
      </c>
      <c r="G345" s="4">
        <v>29</v>
      </c>
      <c r="H345" s="8">
        <v>43645.922696759262</v>
      </c>
      <c r="I345" s="11">
        <v>128.75200000000001</v>
      </c>
      <c r="J345" s="11">
        <v>31.751999999999999</v>
      </c>
      <c r="K345" s="9">
        <v>0</v>
      </c>
      <c r="L345" s="9">
        <v>0</v>
      </c>
      <c r="M345" s="27">
        <v>0</v>
      </c>
      <c r="N345" s="32">
        <v>25.9</v>
      </c>
      <c r="O345" s="11">
        <v>34.210247961511918</v>
      </c>
      <c r="P345" s="33">
        <v>0.10066317058823504</v>
      </c>
      <c r="Q345" s="33">
        <v>0.56858942745098062</v>
      </c>
      <c r="R345" s="1" t="s">
        <v>280</v>
      </c>
      <c r="S345" s="1">
        <v>1</v>
      </c>
      <c r="T345" s="71" t="s">
        <v>626</v>
      </c>
    </row>
    <row r="346" spans="1:20">
      <c r="A346" s="1" t="s">
        <v>476</v>
      </c>
      <c r="B346" s="1" t="s">
        <v>477</v>
      </c>
      <c r="C346" s="1" t="s">
        <v>507</v>
      </c>
      <c r="D346" s="5">
        <v>43645.922696759262</v>
      </c>
      <c r="E346" s="1">
        <v>2019</v>
      </c>
      <c r="F346" s="1">
        <v>6</v>
      </c>
      <c r="G346" s="4">
        <v>29</v>
      </c>
      <c r="H346" s="8">
        <v>43645.922696759262</v>
      </c>
      <c r="I346" s="11">
        <v>128.75200000000001</v>
      </c>
      <c r="J346" s="11">
        <v>31.751999999999999</v>
      </c>
      <c r="K346" s="9">
        <v>9</v>
      </c>
      <c r="L346" s="9">
        <v>10</v>
      </c>
      <c r="M346" s="9">
        <v>11</v>
      </c>
      <c r="N346" s="12">
        <v>25.94</v>
      </c>
      <c r="O346" s="11">
        <v>34.302010505239636</v>
      </c>
      <c r="P346" s="33">
        <v>0.12091467764705888</v>
      </c>
      <c r="Q346" s="33">
        <v>0.77750817882353118</v>
      </c>
      <c r="R346" s="1" t="s">
        <v>280</v>
      </c>
      <c r="S346" s="1">
        <v>1</v>
      </c>
      <c r="T346" s="71" t="s">
        <v>626</v>
      </c>
    </row>
    <row r="347" spans="1:20">
      <c r="A347" s="1" t="s">
        <v>476</v>
      </c>
      <c r="B347" s="1" t="s">
        <v>477</v>
      </c>
      <c r="C347" s="1" t="s">
        <v>507</v>
      </c>
      <c r="D347" s="5">
        <v>43645.922696759262</v>
      </c>
      <c r="E347" s="1">
        <v>2019</v>
      </c>
      <c r="F347" s="1">
        <v>6</v>
      </c>
      <c r="G347" s="4">
        <v>29</v>
      </c>
      <c r="H347" s="8">
        <v>43645.922696759262</v>
      </c>
      <c r="I347" s="11">
        <v>128.75200000000001</v>
      </c>
      <c r="J347" s="11">
        <v>31.751999999999999</v>
      </c>
      <c r="K347" s="9">
        <v>19</v>
      </c>
      <c r="L347" s="9">
        <v>20</v>
      </c>
      <c r="M347" s="9">
        <v>10</v>
      </c>
      <c r="N347" s="12">
        <v>25.55</v>
      </c>
      <c r="O347" s="11">
        <v>34.361169963522599</v>
      </c>
      <c r="P347" s="33">
        <v>0.10801399058823558</v>
      </c>
      <c r="Q347" s="33">
        <v>0.7644343552941173</v>
      </c>
      <c r="R347" s="1" t="s">
        <v>280</v>
      </c>
      <c r="S347" s="1">
        <v>1</v>
      </c>
      <c r="T347" s="71" t="s">
        <v>626</v>
      </c>
    </row>
    <row r="348" spans="1:20">
      <c r="A348" s="1" t="s">
        <v>476</v>
      </c>
      <c r="B348" s="1" t="s">
        <v>477</v>
      </c>
      <c r="C348" s="1" t="s">
        <v>507</v>
      </c>
      <c r="D348" s="5">
        <v>43645.922696759262</v>
      </c>
      <c r="E348" s="1">
        <v>2019</v>
      </c>
      <c r="F348" s="1">
        <v>6</v>
      </c>
      <c r="G348" s="4">
        <v>29</v>
      </c>
      <c r="H348" s="8">
        <v>43645.922696759262</v>
      </c>
      <c r="I348" s="11">
        <v>128.75200000000001</v>
      </c>
      <c r="J348" s="11">
        <v>31.751999999999999</v>
      </c>
      <c r="K348" s="9">
        <v>30</v>
      </c>
      <c r="L348" s="9">
        <v>30</v>
      </c>
      <c r="M348" s="9">
        <v>9</v>
      </c>
      <c r="N348" s="12">
        <v>25.08</v>
      </c>
      <c r="O348" s="11">
        <v>34.578343929797342</v>
      </c>
      <c r="P348" s="33">
        <v>0.17611846352941241</v>
      </c>
      <c r="Q348" s="33">
        <v>1.0601468117647066</v>
      </c>
      <c r="R348" s="1" t="s">
        <v>280</v>
      </c>
      <c r="S348" s="1">
        <v>1</v>
      </c>
      <c r="T348" s="71" t="s">
        <v>626</v>
      </c>
    </row>
    <row r="349" spans="1:20">
      <c r="A349" s="1" t="s">
        <v>476</v>
      </c>
      <c r="B349" s="1" t="s">
        <v>477</v>
      </c>
      <c r="C349" s="1" t="s">
        <v>507</v>
      </c>
      <c r="D349" s="5">
        <v>43645.922696759262</v>
      </c>
      <c r="E349" s="1">
        <v>2019</v>
      </c>
      <c r="F349" s="1">
        <v>6</v>
      </c>
      <c r="G349" s="4">
        <v>29</v>
      </c>
      <c r="H349" s="8">
        <v>43645.922696759262</v>
      </c>
      <c r="I349" s="11">
        <v>128.75200000000001</v>
      </c>
      <c r="J349" s="11">
        <v>31.751999999999999</v>
      </c>
      <c r="K349" s="9">
        <v>50</v>
      </c>
      <c r="L349" s="9">
        <v>50</v>
      </c>
      <c r="M349" s="9">
        <v>8</v>
      </c>
      <c r="N349" s="12">
        <v>23.04</v>
      </c>
      <c r="O349" s="11">
        <v>34.58081393326492</v>
      </c>
      <c r="P349" s="33">
        <v>0.22471024313725518</v>
      </c>
      <c r="Q349" s="33">
        <v>1.430833288235295</v>
      </c>
      <c r="R349" s="1" t="s">
        <v>280</v>
      </c>
      <c r="S349" s="1">
        <v>1</v>
      </c>
      <c r="T349" s="71" t="s">
        <v>626</v>
      </c>
    </row>
    <row r="350" spans="1:20">
      <c r="A350" s="1" t="s">
        <v>476</v>
      </c>
      <c r="B350" s="1" t="s">
        <v>477</v>
      </c>
      <c r="C350" s="1" t="s">
        <v>507</v>
      </c>
      <c r="D350" s="5">
        <v>43645.922696759262</v>
      </c>
      <c r="E350" s="1">
        <v>2019</v>
      </c>
      <c r="F350" s="1">
        <v>6</v>
      </c>
      <c r="G350" s="4">
        <v>29</v>
      </c>
      <c r="H350" s="8">
        <v>43645.922696759262</v>
      </c>
      <c r="I350" s="11">
        <v>128.75200000000001</v>
      </c>
      <c r="J350" s="11">
        <v>31.751999999999999</v>
      </c>
      <c r="K350" s="9">
        <v>56</v>
      </c>
      <c r="L350" s="9">
        <v>60</v>
      </c>
      <c r="M350" s="9">
        <v>12</v>
      </c>
      <c r="N350" s="12">
        <v>22.69</v>
      </c>
      <c r="O350" s="11">
        <v>34.643538176432969</v>
      </c>
      <c r="P350" s="33">
        <v>0.17787654588235302</v>
      </c>
      <c r="Q350" s="33">
        <v>1.3444472729411778</v>
      </c>
      <c r="R350" s="1" t="s">
        <v>280</v>
      </c>
      <c r="S350" s="1">
        <v>1</v>
      </c>
      <c r="T350" s="71" t="s">
        <v>626</v>
      </c>
    </row>
    <row r="351" spans="1:20">
      <c r="A351" s="1" t="s">
        <v>476</v>
      </c>
      <c r="B351" s="1" t="s">
        <v>477</v>
      </c>
      <c r="C351" s="1" t="s">
        <v>507</v>
      </c>
      <c r="D351" s="5">
        <v>43645.922696759262</v>
      </c>
      <c r="E351" s="1">
        <v>2019</v>
      </c>
      <c r="F351" s="1">
        <v>6</v>
      </c>
      <c r="G351" s="4">
        <v>29</v>
      </c>
      <c r="H351" s="8">
        <v>43645.922696759262</v>
      </c>
      <c r="I351" s="11">
        <v>128.75200000000001</v>
      </c>
      <c r="J351" s="11">
        <v>31.751999999999999</v>
      </c>
      <c r="K351" s="9">
        <v>74</v>
      </c>
      <c r="L351" s="9">
        <v>75</v>
      </c>
      <c r="M351" s="9">
        <v>7</v>
      </c>
      <c r="N351" s="12">
        <v>21.51</v>
      </c>
      <c r="O351" s="11">
        <v>34.765297522268362</v>
      </c>
      <c r="P351" s="33">
        <v>0.22781820941176489</v>
      </c>
      <c r="Q351" s="33">
        <v>1.4953017647058839</v>
      </c>
      <c r="R351" s="1" t="s">
        <v>280</v>
      </c>
      <c r="S351" s="1">
        <v>1</v>
      </c>
      <c r="T351" s="71" t="s">
        <v>626</v>
      </c>
    </row>
    <row r="352" spans="1:20">
      <c r="A352" s="1" t="s">
        <v>476</v>
      </c>
      <c r="B352" s="1" t="s">
        <v>477</v>
      </c>
      <c r="C352" s="1" t="s">
        <v>507</v>
      </c>
      <c r="D352" s="5">
        <v>43645.922696759262</v>
      </c>
      <c r="E352" s="1">
        <v>2019</v>
      </c>
      <c r="F352" s="1">
        <v>6</v>
      </c>
      <c r="G352" s="4">
        <v>29</v>
      </c>
      <c r="H352" s="8">
        <v>43645.922696759262</v>
      </c>
      <c r="I352" s="11">
        <v>128.75200000000001</v>
      </c>
      <c r="J352" s="11">
        <v>31.751999999999999</v>
      </c>
      <c r="K352" s="9">
        <v>99</v>
      </c>
      <c r="L352" s="9">
        <v>100</v>
      </c>
      <c r="M352" s="9">
        <v>6</v>
      </c>
      <c r="N352" s="12">
        <v>19.61</v>
      </c>
      <c r="O352" s="11">
        <v>34.731654485262368</v>
      </c>
      <c r="P352" s="33">
        <v>0.20997064235294172</v>
      </c>
      <c r="Q352" s="33">
        <v>1.5100839011764702</v>
      </c>
      <c r="R352" s="1" t="s">
        <v>280</v>
      </c>
      <c r="S352" s="1">
        <v>1</v>
      </c>
      <c r="T352" s="71" t="s">
        <v>626</v>
      </c>
    </row>
    <row r="353" spans="1:20">
      <c r="A353" s="1" t="s">
        <v>476</v>
      </c>
      <c r="B353" s="1" t="s">
        <v>477</v>
      </c>
      <c r="C353" s="1" t="s">
        <v>507</v>
      </c>
      <c r="D353" s="5">
        <v>43645.922696759262</v>
      </c>
      <c r="E353" s="1">
        <v>2019</v>
      </c>
      <c r="F353" s="1">
        <v>6</v>
      </c>
      <c r="G353" s="4">
        <v>29</v>
      </c>
      <c r="H353" s="8">
        <v>43645.922696759262</v>
      </c>
      <c r="I353" s="11">
        <v>128.75200000000001</v>
      </c>
      <c r="J353" s="11">
        <v>31.751999999999999</v>
      </c>
      <c r="K353" s="9">
        <v>125</v>
      </c>
      <c r="L353" s="9">
        <v>125</v>
      </c>
      <c r="M353" s="9">
        <v>5</v>
      </c>
      <c r="N353" s="12">
        <v>17.399999999999999</v>
      </c>
      <c r="O353" s="11">
        <v>34.638410349633311</v>
      </c>
      <c r="P353" s="33">
        <v>0.21582687529411748</v>
      </c>
      <c r="Q353" s="33">
        <v>1.5141977976470589</v>
      </c>
      <c r="R353" s="1" t="s">
        <v>280</v>
      </c>
      <c r="S353" s="1">
        <v>1</v>
      </c>
      <c r="T353" s="71" t="s">
        <v>626</v>
      </c>
    </row>
    <row r="354" spans="1:20">
      <c r="A354" s="1" t="s">
        <v>476</v>
      </c>
      <c r="B354" s="1" t="s">
        <v>477</v>
      </c>
      <c r="C354" s="1" t="s">
        <v>507</v>
      </c>
      <c r="D354" s="5">
        <v>43645.922696759262</v>
      </c>
      <c r="E354" s="1">
        <v>2019</v>
      </c>
      <c r="F354" s="1">
        <v>6</v>
      </c>
      <c r="G354" s="4">
        <v>29</v>
      </c>
      <c r="H354" s="8">
        <v>43645.922696759262</v>
      </c>
      <c r="I354" s="11">
        <v>128.75200000000001</v>
      </c>
      <c r="J354" s="11">
        <v>31.751999999999999</v>
      </c>
      <c r="K354" s="9">
        <v>148</v>
      </c>
      <c r="L354" s="9">
        <v>150</v>
      </c>
      <c r="M354" s="9">
        <v>4</v>
      </c>
      <c r="N354" s="12">
        <v>15.89</v>
      </c>
      <c r="O354" s="11">
        <v>34.484660038377434</v>
      </c>
      <c r="P354" s="33">
        <v>0.16596752794117631</v>
      </c>
      <c r="Q354" s="33">
        <v>1.0004759955882339</v>
      </c>
      <c r="R354" s="1" t="s">
        <v>280</v>
      </c>
      <c r="S354" s="1">
        <v>1</v>
      </c>
      <c r="T354" s="71" t="s">
        <v>626</v>
      </c>
    </row>
    <row r="355" spans="1:20">
      <c r="A355" s="1" t="s">
        <v>476</v>
      </c>
      <c r="B355" s="1" t="s">
        <v>477</v>
      </c>
      <c r="C355" s="1" t="s">
        <v>507</v>
      </c>
      <c r="D355" s="5">
        <v>43645.922696759262</v>
      </c>
      <c r="E355" s="1">
        <v>2019</v>
      </c>
      <c r="F355" s="1">
        <v>6</v>
      </c>
      <c r="G355" s="4">
        <v>29</v>
      </c>
      <c r="H355" s="8">
        <v>43645.922696759262</v>
      </c>
      <c r="I355" s="11">
        <v>128.75200000000001</v>
      </c>
      <c r="J355" s="11">
        <v>31.751999999999999</v>
      </c>
      <c r="K355" s="9">
        <v>199</v>
      </c>
      <c r="L355" s="9">
        <v>200</v>
      </c>
      <c r="M355" s="9">
        <v>3</v>
      </c>
      <c r="N355" s="12">
        <v>13.41</v>
      </c>
      <c r="O355" s="11">
        <v>34.368953817548928</v>
      </c>
      <c r="P355" s="33">
        <v>5.9450282352941475E-2</v>
      </c>
      <c r="Q355" s="33">
        <v>0.42810145647058917</v>
      </c>
      <c r="R355" s="1" t="s">
        <v>280</v>
      </c>
      <c r="S355" s="1">
        <v>1</v>
      </c>
      <c r="T355" s="71" t="s">
        <v>626</v>
      </c>
    </row>
    <row r="356" spans="1:20">
      <c r="A356" s="1" t="s">
        <v>476</v>
      </c>
      <c r="B356" s="1" t="s">
        <v>477</v>
      </c>
      <c r="C356" s="1" t="s">
        <v>507</v>
      </c>
      <c r="D356" s="5">
        <v>43645.922696759262</v>
      </c>
      <c r="E356" s="1">
        <v>2019</v>
      </c>
      <c r="F356" s="1">
        <v>6</v>
      </c>
      <c r="G356" s="4">
        <v>29</v>
      </c>
      <c r="H356" s="8">
        <v>43645.922696759262</v>
      </c>
      <c r="I356" s="11">
        <v>128.75200000000001</v>
      </c>
      <c r="J356" s="11">
        <v>31.751999999999999</v>
      </c>
      <c r="K356" s="9">
        <v>299</v>
      </c>
      <c r="L356" s="9">
        <v>300</v>
      </c>
      <c r="M356" s="9">
        <v>2</v>
      </c>
      <c r="N356" s="12">
        <v>10.57</v>
      </c>
      <c r="O356" s="11">
        <v>34.348714627341749</v>
      </c>
      <c r="P356" s="33">
        <v>-1.8426654901960937E-2</v>
      </c>
      <c r="Q356" s="33">
        <v>-0.35427089264705813</v>
      </c>
      <c r="R356" s="1" t="s">
        <v>280</v>
      </c>
      <c r="S356" s="1">
        <v>1</v>
      </c>
      <c r="T356" s="71" t="s">
        <v>626</v>
      </c>
    </row>
    <row r="357" spans="1:20">
      <c r="A357" s="1" t="s">
        <v>476</v>
      </c>
      <c r="B357" s="1" t="s">
        <v>477</v>
      </c>
      <c r="C357" s="1" t="s">
        <v>507</v>
      </c>
      <c r="D357" s="5">
        <v>43645.922696759262</v>
      </c>
      <c r="E357" s="1">
        <v>2019</v>
      </c>
      <c r="F357" s="1">
        <v>6</v>
      </c>
      <c r="G357" s="4">
        <v>29</v>
      </c>
      <c r="H357" s="8">
        <v>43645.922696759262</v>
      </c>
      <c r="I357" s="11">
        <v>128.75200000000001</v>
      </c>
      <c r="J357" s="11">
        <v>31.751999999999999</v>
      </c>
      <c r="K357" s="9">
        <v>496</v>
      </c>
      <c r="L357" s="9">
        <v>500</v>
      </c>
      <c r="M357" s="9">
        <v>1</v>
      </c>
      <c r="N357" s="12">
        <v>7.45</v>
      </c>
      <c r="O357" s="11">
        <v>34.222818137030075</v>
      </c>
      <c r="P357" s="33">
        <v>-3.7468338823530178E-2</v>
      </c>
      <c r="Q357" s="33">
        <v>-0.88353101176470616</v>
      </c>
      <c r="R357" s="1" t="s">
        <v>280</v>
      </c>
      <c r="S357" s="1">
        <v>1</v>
      </c>
      <c r="T357" s="71" t="s">
        <v>626</v>
      </c>
    </row>
    <row r="358" spans="1:20">
      <c r="A358" s="26" t="s">
        <v>86</v>
      </c>
      <c r="B358" s="26" t="s">
        <v>88</v>
      </c>
      <c r="C358" s="26" t="s">
        <v>580</v>
      </c>
      <c r="D358" s="25">
        <v>42238</v>
      </c>
      <c r="E358" s="1">
        <f t="shared" ref="E358:E387" si="27">YEAR(D358)</f>
        <v>2015</v>
      </c>
      <c r="F358" s="1">
        <f t="shared" ref="F358:F387" si="28">MONTH(D358)</f>
        <v>8</v>
      </c>
      <c r="G358" s="4">
        <f t="shared" ref="G358:G387" si="29">DAY(D358)</f>
        <v>22</v>
      </c>
      <c r="H358" s="8">
        <v>0.29166666666666669</v>
      </c>
      <c r="I358" s="22">
        <v>131.30799999999999</v>
      </c>
      <c r="J358" s="22">
        <v>35.19</v>
      </c>
      <c r="K358" s="27">
        <v>4.5</v>
      </c>
      <c r="L358" s="27">
        <v>5</v>
      </c>
      <c r="M358" s="9" t="s">
        <v>501</v>
      </c>
      <c r="N358" s="21">
        <v>26.76558</v>
      </c>
      <c r="O358" s="24">
        <v>32.187539999999998</v>
      </c>
      <c r="P358" s="31">
        <v>-0.24</v>
      </c>
      <c r="Q358" s="31">
        <v>-2.1</v>
      </c>
      <c r="R358" s="26" t="s">
        <v>280</v>
      </c>
      <c r="S358" s="26"/>
      <c r="T358" s="71" t="s">
        <v>626</v>
      </c>
    </row>
    <row r="359" spans="1:20">
      <c r="A359" s="26" t="s">
        <v>86</v>
      </c>
      <c r="B359" s="26" t="s">
        <v>89</v>
      </c>
      <c r="C359" s="26" t="s">
        <v>580</v>
      </c>
      <c r="D359" s="25">
        <v>42238</v>
      </c>
      <c r="E359" s="1">
        <f t="shared" si="27"/>
        <v>2015</v>
      </c>
      <c r="F359" s="1">
        <f t="shared" si="28"/>
        <v>8</v>
      </c>
      <c r="G359" s="4">
        <f t="shared" si="29"/>
        <v>22</v>
      </c>
      <c r="H359" s="8">
        <v>0.47986111111111113</v>
      </c>
      <c r="I359" s="22">
        <v>132.161</v>
      </c>
      <c r="J359" s="22">
        <v>35.747999999999998</v>
      </c>
      <c r="K359" s="27">
        <v>4.5</v>
      </c>
      <c r="L359" s="27">
        <v>5</v>
      </c>
      <c r="M359" s="9" t="s">
        <v>501</v>
      </c>
      <c r="N359" s="21">
        <v>26.2089133333333</v>
      </c>
      <c r="O359" s="24">
        <v>31.997540000000001</v>
      </c>
      <c r="P359" s="31">
        <v>-0.34</v>
      </c>
      <c r="Q359" s="31">
        <v>-2.8</v>
      </c>
      <c r="R359" s="26" t="s">
        <v>280</v>
      </c>
      <c r="S359" s="26"/>
      <c r="T359" s="71" t="s">
        <v>626</v>
      </c>
    </row>
    <row r="360" spans="1:20">
      <c r="A360" s="26" t="s">
        <v>86</v>
      </c>
      <c r="B360" s="26" t="s">
        <v>90</v>
      </c>
      <c r="C360" s="26" t="s">
        <v>580</v>
      </c>
      <c r="D360" s="25">
        <v>42238</v>
      </c>
      <c r="E360" s="1">
        <f t="shared" si="27"/>
        <v>2015</v>
      </c>
      <c r="F360" s="1">
        <f t="shared" si="28"/>
        <v>8</v>
      </c>
      <c r="G360" s="4">
        <f t="shared" si="29"/>
        <v>22</v>
      </c>
      <c r="H360" s="8">
        <v>0.69027777777777777</v>
      </c>
      <c r="I360" s="22">
        <v>133.25</v>
      </c>
      <c r="J360" s="22">
        <v>36.445999999999998</v>
      </c>
      <c r="K360" s="27">
        <v>4.5</v>
      </c>
      <c r="L360" s="27">
        <v>5</v>
      </c>
      <c r="M360" s="9" t="s">
        <v>501</v>
      </c>
      <c r="N360" s="21">
        <v>27.35558</v>
      </c>
      <c r="O360" s="24">
        <v>32.161706666666603</v>
      </c>
      <c r="P360" s="31">
        <v>-0.35</v>
      </c>
      <c r="Q360" s="31">
        <v>-2.56</v>
      </c>
      <c r="R360" s="26" t="s">
        <v>280</v>
      </c>
      <c r="S360" s="26"/>
      <c r="T360" s="71" t="s">
        <v>626</v>
      </c>
    </row>
    <row r="361" spans="1:20">
      <c r="A361" s="26" t="s">
        <v>86</v>
      </c>
      <c r="B361" s="26" t="s">
        <v>98</v>
      </c>
      <c r="C361" s="26" t="s">
        <v>580</v>
      </c>
      <c r="D361" s="25">
        <v>42246</v>
      </c>
      <c r="E361" s="1">
        <f t="shared" si="27"/>
        <v>2015</v>
      </c>
      <c r="F361" s="1">
        <f t="shared" si="28"/>
        <v>8</v>
      </c>
      <c r="G361" s="4">
        <f t="shared" si="29"/>
        <v>30</v>
      </c>
      <c r="H361" s="8">
        <v>0.69444444444444453</v>
      </c>
      <c r="I361" s="22">
        <v>136.05699999999999</v>
      </c>
      <c r="J361" s="22">
        <v>36.515999999999998</v>
      </c>
      <c r="K361" s="27">
        <v>4.5</v>
      </c>
      <c r="L361" s="27">
        <v>5</v>
      </c>
      <c r="M361" s="9" t="s">
        <v>501</v>
      </c>
      <c r="N361" s="21">
        <v>24.657246666666602</v>
      </c>
      <c r="O361" s="24">
        <v>33.1267066666666</v>
      </c>
      <c r="P361" s="31">
        <v>-0.15</v>
      </c>
      <c r="Q361" s="31">
        <v>-1.61</v>
      </c>
      <c r="R361" s="26" t="s">
        <v>280</v>
      </c>
      <c r="S361" s="26"/>
      <c r="T361" s="71" t="s">
        <v>626</v>
      </c>
    </row>
    <row r="362" spans="1:20">
      <c r="A362" s="26" t="s">
        <v>86</v>
      </c>
      <c r="B362" s="26" t="s">
        <v>99</v>
      </c>
      <c r="C362" s="26" t="s">
        <v>580</v>
      </c>
      <c r="D362" s="25">
        <v>42246</v>
      </c>
      <c r="E362" s="1">
        <f t="shared" si="27"/>
        <v>2015</v>
      </c>
      <c r="F362" s="1">
        <f t="shared" si="28"/>
        <v>8</v>
      </c>
      <c r="G362" s="4">
        <f t="shared" si="29"/>
        <v>30</v>
      </c>
      <c r="H362" s="8">
        <v>0.86736111111111114</v>
      </c>
      <c r="I362" s="22">
        <v>135.107</v>
      </c>
      <c r="J362" s="22">
        <v>36.279000000000003</v>
      </c>
      <c r="K362" s="27">
        <v>4.5</v>
      </c>
      <c r="L362" s="27">
        <v>5</v>
      </c>
      <c r="M362" s="9" t="s">
        <v>501</v>
      </c>
      <c r="N362" s="21">
        <v>24.283913333333302</v>
      </c>
      <c r="O362" s="24">
        <v>33.0018733333333</v>
      </c>
      <c r="P362" s="31">
        <v>-0.14000000000000001</v>
      </c>
      <c r="Q362" s="31">
        <v>-1.54</v>
      </c>
      <c r="R362" s="26" t="s">
        <v>280</v>
      </c>
      <c r="S362" s="26"/>
      <c r="T362" s="71" t="s">
        <v>626</v>
      </c>
    </row>
    <row r="363" spans="1:20">
      <c r="A363" s="26" t="s">
        <v>141</v>
      </c>
      <c r="B363" s="26" t="s">
        <v>87</v>
      </c>
      <c r="C363" s="26" t="s">
        <v>580</v>
      </c>
      <c r="D363" s="25">
        <v>42605</v>
      </c>
      <c r="E363" s="1">
        <f t="shared" si="27"/>
        <v>2016</v>
      </c>
      <c r="F363" s="1">
        <f t="shared" si="28"/>
        <v>8</v>
      </c>
      <c r="G363" s="4">
        <f t="shared" si="29"/>
        <v>23</v>
      </c>
      <c r="H363" s="8">
        <v>0.72013888888888899</v>
      </c>
      <c r="I363" s="22">
        <v>129.37</v>
      </c>
      <c r="J363" s="22">
        <v>33.049999999999997</v>
      </c>
      <c r="K363" s="27">
        <v>5</v>
      </c>
      <c r="L363" s="27">
        <v>5</v>
      </c>
      <c r="M363" s="9">
        <v>0</v>
      </c>
      <c r="N363" s="21">
        <v>26.3960956666666</v>
      </c>
      <c r="O363" s="24">
        <v>33.133193333333303</v>
      </c>
      <c r="P363" s="31">
        <v>-8.7927764705882483E-2</v>
      </c>
      <c r="Q363" s="31">
        <v>-0.74159716705882417</v>
      </c>
      <c r="R363" s="26" t="s">
        <v>280</v>
      </c>
      <c r="S363" s="26"/>
      <c r="T363" s="71" t="s">
        <v>626</v>
      </c>
    </row>
    <row r="364" spans="1:20">
      <c r="A364" s="26" t="s">
        <v>141</v>
      </c>
      <c r="B364" s="26" t="s">
        <v>88</v>
      </c>
      <c r="C364" s="26" t="s">
        <v>580</v>
      </c>
      <c r="D364" s="25">
        <v>42606</v>
      </c>
      <c r="E364" s="1">
        <f t="shared" si="27"/>
        <v>2016</v>
      </c>
      <c r="F364" s="1">
        <f t="shared" si="28"/>
        <v>8</v>
      </c>
      <c r="G364" s="4">
        <f t="shared" si="29"/>
        <v>24</v>
      </c>
      <c r="H364" s="8">
        <v>0.28750000000000003</v>
      </c>
      <c r="I364" s="22">
        <v>131.1</v>
      </c>
      <c r="J364" s="22">
        <v>35.14</v>
      </c>
      <c r="K364" s="27">
        <v>5</v>
      </c>
      <c r="L364" s="27">
        <v>5</v>
      </c>
      <c r="M364" s="9">
        <v>0</v>
      </c>
      <c r="N364" s="21">
        <v>27.864429000000001</v>
      </c>
      <c r="O364" s="24">
        <v>32.5641933333333</v>
      </c>
      <c r="P364" s="31">
        <v>-0.21433905882352944</v>
      </c>
      <c r="Q364" s="31">
        <v>-1.6740136282352944</v>
      </c>
      <c r="R364" s="26" t="s">
        <v>280</v>
      </c>
      <c r="S364" s="26"/>
      <c r="T364" s="71" t="s">
        <v>626</v>
      </c>
    </row>
    <row r="365" spans="1:20">
      <c r="A365" s="26" t="s">
        <v>141</v>
      </c>
      <c r="B365" s="26" t="s">
        <v>89</v>
      </c>
      <c r="C365" s="26" t="s">
        <v>580</v>
      </c>
      <c r="D365" s="25">
        <v>42606</v>
      </c>
      <c r="E365" s="1">
        <f t="shared" si="27"/>
        <v>2016</v>
      </c>
      <c r="F365" s="1">
        <f t="shared" si="28"/>
        <v>8</v>
      </c>
      <c r="G365" s="4">
        <f t="shared" si="29"/>
        <v>24</v>
      </c>
      <c r="H365" s="8">
        <v>0.49652777777777773</v>
      </c>
      <c r="I365" s="22">
        <v>131.94999999999999</v>
      </c>
      <c r="J365" s="22">
        <v>35.89</v>
      </c>
      <c r="K365" s="27">
        <v>5</v>
      </c>
      <c r="L365" s="27">
        <v>5</v>
      </c>
      <c r="M365" s="9">
        <v>0</v>
      </c>
      <c r="N365" s="21">
        <v>27.211095666666601</v>
      </c>
      <c r="O365" s="24">
        <v>32.405526666666603</v>
      </c>
      <c r="P365" s="31">
        <v>-0.32859635294117662</v>
      </c>
      <c r="Q365" s="31">
        <v>-2.4686991294117657</v>
      </c>
      <c r="R365" s="26" t="s">
        <v>280</v>
      </c>
      <c r="S365" s="26"/>
      <c r="T365" s="71" t="s">
        <v>626</v>
      </c>
    </row>
    <row r="366" spans="1:20">
      <c r="A366" s="26" t="s">
        <v>141</v>
      </c>
      <c r="B366" s="26" t="s">
        <v>90</v>
      </c>
      <c r="C366" s="26" t="s">
        <v>580</v>
      </c>
      <c r="D366" s="25">
        <v>42606</v>
      </c>
      <c r="E366" s="1">
        <f t="shared" si="27"/>
        <v>2016</v>
      </c>
      <c r="F366" s="1">
        <f t="shared" si="28"/>
        <v>8</v>
      </c>
      <c r="G366" s="4">
        <f t="shared" si="29"/>
        <v>24</v>
      </c>
      <c r="H366" s="8">
        <v>0.7090277777777777</v>
      </c>
      <c r="I366" s="22">
        <v>132.85</v>
      </c>
      <c r="J366" s="22">
        <v>36.729999999999997</v>
      </c>
      <c r="K366" s="27">
        <v>5</v>
      </c>
      <c r="L366" s="27">
        <v>5</v>
      </c>
      <c r="M366" s="9">
        <v>0</v>
      </c>
      <c r="N366" s="21">
        <v>28.184429000000002</v>
      </c>
      <c r="O366" s="24">
        <v>32.641026666666605</v>
      </c>
      <c r="P366" s="31">
        <v>-0.23520564705882352</v>
      </c>
      <c r="Q366" s="31">
        <v>-1.7930721505882365</v>
      </c>
      <c r="R366" s="26" t="s">
        <v>280</v>
      </c>
      <c r="S366" s="26"/>
      <c r="T366" s="71" t="s">
        <v>626</v>
      </c>
    </row>
    <row r="367" spans="1:20">
      <c r="A367" s="26" t="s">
        <v>141</v>
      </c>
      <c r="B367" s="26" t="s">
        <v>91</v>
      </c>
      <c r="C367" s="26" t="s">
        <v>580</v>
      </c>
      <c r="D367" s="25">
        <v>42607</v>
      </c>
      <c r="E367" s="1">
        <f t="shared" si="27"/>
        <v>2016</v>
      </c>
      <c r="F367" s="1">
        <f t="shared" si="28"/>
        <v>8</v>
      </c>
      <c r="G367" s="4">
        <f t="shared" si="29"/>
        <v>25</v>
      </c>
      <c r="H367" s="8">
        <v>6.9444444444444441E-3</v>
      </c>
      <c r="I367" s="22">
        <v>134.07</v>
      </c>
      <c r="J367" s="22">
        <v>37.82</v>
      </c>
      <c r="K367" s="27">
        <v>5</v>
      </c>
      <c r="L367" s="27">
        <v>5</v>
      </c>
      <c r="M367" s="9">
        <v>0</v>
      </c>
      <c r="N367" s="21">
        <v>27.329429000000001</v>
      </c>
      <c r="O367" s="24">
        <v>33.079193333333301</v>
      </c>
      <c r="P367" s="31">
        <v>-0.15994294117647057</v>
      </c>
      <c r="Q367" s="31">
        <v>-1.5038406117647067</v>
      </c>
      <c r="R367" s="26" t="s">
        <v>280</v>
      </c>
      <c r="S367" s="26"/>
      <c r="T367" s="71" t="s">
        <v>626</v>
      </c>
    </row>
    <row r="368" spans="1:20">
      <c r="A368" s="26" t="s">
        <v>141</v>
      </c>
      <c r="B368" s="26" t="s">
        <v>92</v>
      </c>
      <c r="C368" s="26" t="s">
        <v>580</v>
      </c>
      <c r="D368" s="25">
        <v>42607</v>
      </c>
      <c r="E368" s="1">
        <f t="shared" si="27"/>
        <v>2016</v>
      </c>
      <c r="F368" s="1">
        <f t="shared" si="28"/>
        <v>8</v>
      </c>
      <c r="G368" s="4">
        <f t="shared" si="29"/>
        <v>25</v>
      </c>
      <c r="H368" s="8">
        <v>0.27291666666666664</v>
      </c>
      <c r="I368" s="22">
        <v>135.16</v>
      </c>
      <c r="J368" s="22">
        <v>38.83</v>
      </c>
      <c r="K368" s="27">
        <v>5</v>
      </c>
      <c r="L368" s="27">
        <v>5</v>
      </c>
      <c r="M368" s="9">
        <v>0</v>
      </c>
      <c r="N368" s="21">
        <v>27.4860956666666</v>
      </c>
      <c r="O368" s="24">
        <v>32.806526666666606</v>
      </c>
      <c r="P368" s="31">
        <v>-0.21116423529411765</v>
      </c>
      <c r="Q368" s="31">
        <v>-1.829767952941177</v>
      </c>
      <c r="R368" s="26" t="s">
        <v>280</v>
      </c>
      <c r="S368" s="26"/>
      <c r="T368" s="71" t="s">
        <v>626</v>
      </c>
    </row>
    <row r="369" spans="1:20">
      <c r="A369" s="26" t="s">
        <v>141</v>
      </c>
      <c r="B369" s="26" t="s">
        <v>93</v>
      </c>
      <c r="C369" s="26" t="s">
        <v>580</v>
      </c>
      <c r="D369" s="25">
        <v>42614</v>
      </c>
      <c r="E369" s="1">
        <f t="shared" si="27"/>
        <v>2016</v>
      </c>
      <c r="F369" s="1">
        <f t="shared" si="28"/>
        <v>9</v>
      </c>
      <c r="G369" s="4">
        <f t="shared" si="29"/>
        <v>1</v>
      </c>
      <c r="H369" s="8">
        <v>0.65625</v>
      </c>
      <c r="I369" s="22">
        <v>136.29</v>
      </c>
      <c r="J369" s="22">
        <v>36.57</v>
      </c>
      <c r="K369" s="27">
        <v>5</v>
      </c>
      <c r="L369" s="27">
        <v>5</v>
      </c>
      <c r="M369" s="9">
        <v>0</v>
      </c>
      <c r="N369" s="21">
        <v>26.009429000000001</v>
      </c>
      <c r="O369" s="24">
        <v>32.730693333333299</v>
      </c>
      <c r="P369" s="31">
        <v>-0.1107574117647061</v>
      </c>
      <c r="Q369" s="31">
        <v>-1.6891741176470605</v>
      </c>
      <c r="R369" s="26" t="s">
        <v>280</v>
      </c>
      <c r="S369" s="26"/>
      <c r="T369" s="71" t="s">
        <v>626</v>
      </c>
    </row>
    <row r="370" spans="1:20">
      <c r="A370" s="26" t="s">
        <v>141</v>
      </c>
      <c r="B370" s="26" t="s">
        <v>94</v>
      </c>
      <c r="C370" s="26" t="s">
        <v>580</v>
      </c>
      <c r="D370" s="25">
        <v>42614</v>
      </c>
      <c r="E370" s="1">
        <f t="shared" si="27"/>
        <v>2016</v>
      </c>
      <c r="F370" s="1">
        <f t="shared" si="28"/>
        <v>9</v>
      </c>
      <c r="G370" s="4">
        <f t="shared" si="29"/>
        <v>1</v>
      </c>
      <c r="H370" s="8">
        <v>0.82291666666666663</v>
      </c>
      <c r="I370" s="22">
        <v>135.41</v>
      </c>
      <c r="J370" s="22">
        <v>36.36</v>
      </c>
      <c r="K370" s="27">
        <v>5</v>
      </c>
      <c r="L370" s="27">
        <v>5</v>
      </c>
      <c r="M370" s="9">
        <v>0</v>
      </c>
      <c r="N370" s="21">
        <v>25.009429000000001</v>
      </c>
      <c r="O370" s="24">
        <v>33.651360000000004</v>
      </c>
      <c r="P370" s="31">
        <v>-3.4808039215686426E-2</v>
      </c>
      <c r="Q370" s="31">
        <v>-0.83253305882352979</v>
      </c>
      <c r="R370" s="26" t="s">
        <v>280</v>
      </c>
      <c r="S370" s="26"/>
      <c r="T370" s="71" t="s">
        <v>626</v>
      </c>
    </row>
    <row r="371" spans="1:20">
      <c r="A371" s="26" t="s">
        <v>141</v>
      </c>
      <c r="B371" s="26" t="s">
        <v>95</v>
      </c>
      <c r="C371" s="26" t="s">
        <v>580</v>
      </c>
      <c r="D371" s="25">
        <v>42614</v>
      </c>
      <c r="E371" s="1">
        <f t="shared" si="27"/>
        <v>2016</v>
      </c>
      <c r="F371" s="1">
        <f t="shared" si="28"/>
        <v>9</v>
      </c>
      <c r="G371" s="4">
        <f t="shared" si="29"/>
        <v>1</v>
      </c>
      <c r="H371" s="8">
        <v>0.95138888888888884</v>
      </c>
      <c r="I371" s="22">
        <v>134.66999999999999</v>
      </c>
      <c r="J371" s="22">
        <v>36.17</v>
      </c>
      <c r="K371" s="27">
        <v>5</v>
      </c>
      <c r="L371" s="27">
        <v>5</v>
      </c>
      <c r="M371" s="9">
        <v>0</v>
      </c>
      <c r="N371" s="21">
        <v>24.464429000000003</v>
      </c>
      <c r="O371" s="24">
        <v>33.764360000000003</v>
      </c>
      <c r="P371" s="31">
        <v>-4.7163999999999984E-2</v>
      </c>
      <c r="Q371" s="31">
        <v>-0.61988440000000189</v>
      </c>
      <c r="R371" s="26" t="s">
        <v>280</v>
      </c>
      <c r="S371" s="26"/>
      <c r="T371" s="71" t="s">
        <v>626</v>
      </c>
    </row>
    <row r="372" spans="1:20">
      <c r="A372" s="26" t="s">
        <v>141</v>
      </c>
      <c r="B372" s="26" t="s">
        <v>96</v>
      </c>
      <c r="C372" s="26" t="s">
        <v>580</v>
      </c>
      <c r="D372" s="25">
        <v>42615</v>
      </c>
      <c r="E372" s="1">
        <f t="shared" si="27"/>
        <v>2016</v>
      </c>
      <c r="F372" s="1">
        <f t="shared" si="28"/>
        <v>9</v>
      </c>
      <c r="G372" s="4">
        <f t="shared" si="29"/>
        <v>2</v>
      </c>
      <c r="H372" s="8">
        <v>8.5416666666666655E-2</v>
      </c>
      <c r="I372" s="22">
        <v>133.91</v>
      </c>
      <c r="J372" s="22">
        <v>35.99</v>
      </c>
      <c r="K372" s="27">
        <v>5</v>
      </c>
      <c r="L372" s="27">
        <v>5</v>
      </c>
      <c r="M372" s="9">
        <v>0</v>
      </c>
      <c r="N372" s="21">
        <v>25.319429</v>
      </c>
      <c r="O372" s="24">
        <v>32.796026666666606</v>
      </c>
      <c r="P372" s="31">
        <v>-0.16574729411764677</v>
      </c>
      <c r="Q372" s="31">
        <v>-1.4650121411764729</v>
      </c>
      <c r="R372" s="26" t="s">
        <v>280</v>
      </c>
      <c r="S372" s="26"/>
      <c r="T372" s="71" t="s">
        <v>626</v>
      </c>
    </row>
    <row r="373" spans="1:20">
      <c r="A373" s="26" t="s">
        <v>141</v>
      </c>
      <c r="B373" s="26" t="s">
        <v>98</v>
      </c>
      <c r="C373" s="26" t="s">
        <v>580</v>
      </c>
      <c r="D373" s="25">
        <v>42615</v>
      </c>
      <c r="E373" s="1">
        <f t="shared" si="27"/>
        <v>2016</v>
      </c>
      <c r="F373" s="1">
        <f t="shared" si="28"/>
        <v>9</v>
      </c>
      <c r="G373" s="4">
        <f t="shared" si="29"/>
        <v>2</v>
      </c>
      <c r="H373" s="8">
        <v>0.16874999999999998</v>
      </c>
      <c r="I373" s="22">
        <v>133.44</v>
      </c>
      <c r="J373" s="22">
        <v>35.880000000000003</v>
      </c>
      <c r="K373" s="27">
        <v>5</v>
      </c>
      <c r="L373" s="27">
        <v>5</v>
      </c>
      <c r="M373" s="9">
        <v>0</v>
      </c>
      <c r="N373" s="21">
        <v>23.854429</v>
      </c>
      <c r="O373" s="24">
        <v>33.246360000000003</v>
      </c>
      <c r="P373" s="31">
        <v>-2.765458823529432E-2</v>
      </c>
      <c r="Q373" s="31">
        <v>-0.58741916235294234</v>
      </c>
      <c r="R373" s="26" t="s">
        <v>280</v>
      </c>
      <c r="S373" s="26"/>
      <c r="T373" s="71" t="s">
        <v>626</v>
      </c>
    </row>
    <row r="374" spans="1:20">
      <c r="A374" s="26" t="s">
        <v>141</v>
      </c>
      <c r="B374" s="26" t="s">
        <v>99</v>
      </c>
      <c r="C374" s="26" t="s">
        <v>580</v>
      </c>
      <c r="D374" s="25">
        <v>42615</v>
      </c>
      <c r="E374" s="1">
        <f t="shared" si="27"/>
        <v>2016</v>
      </c>
      <c r="F374" s="1">
        <f t="shared" si="28"/>
        <v>9</v>
      </c>
      <c r="G374" s="4">
        <f t="shared" si="29"/>
        <v>2</v>
      </c>
      <c r="H374" s="8">
        <v>0.25625000000000003</v>
      </c>
      <c r="I374" s="22">
        <v>132.94999999999999</v>
      </c>
      <c r="J374" s="22">
        <v>35.75</v>
      </c>
      <c r="K374" s="27">
        <v>5</v>
      </c>
      <c r="L374" s="27">
        <v>5</v>
      </c>
      <c r="M374" s="9">
        <v>0</v>
      </c>
      <c r="N374" s="21">
        <v>24.454429000000001</v>
      </c>
      <c r="O374" s="24">
        <v>32.871526666666604</v>
      </c>
      <c r="P374" s="31">
        <v>-0.14664988235294141</v>
      </c>
      <c r="Q374" s="31">
        <v>-1.329494983529413</v>
      </c>
      <c r="R374" s="26" t="s">
        <v>280</v>
      </c>
      <c r="S374" s="26"/>
      <c r="T374" s="71" t="s">
        <v>626</v>
      </c>
    </row>
    <row r="375" spans="1:20">
      <c r="A375" s="26" t="s">
        <v>141</v>
      </c>
      <c r="B375" s="26" t="s">
        <v>100</v>
      </c>
      <c r="C375" s="26" t="s">
        <v>580</v>
      </c>
      <c r="D375" s="25">
        <v>42615</v>
      </c>
      <c r="E375" s="1">
        <f t="shared" si="27"/>
        <v>2016</v>
      </c>
      <c r="F375" s="1">
        <f t="shared" si="28"/>
        <v>9</v>
      </c>
      <c r="G375" s="4">
        <f t="shared" si="29"/>
        <v>2</v>
      </c>
      <c r="H375" s="8">
        <v>0.4597222222222222</v>
      </c>
      <c r="I375" s="22">
        <v>132.18</v>
      </c>
      <c r="J375" s="22">
        <v>35.340000000000003</v>
      </c>
      <c r="K375" s="27">
        <v>5</v>
      </c>
      <c r="L375" s="27">
        <v>5</v>
      </c>
      <c r="M375" s="9">
        <v>0</v>
      </c>
      <c r="N375" s="21">
        <v>24.9660956666666</v>
      </c>
      <c r="O375" s="24">
        <v>32.711360000000006</v>
      </c>
      <c r="P375" s="31">
        <v>-0.17541717647058808</v>
      </c>
      <c r="Q375" s="31">
        <v>-1.4640964847058822</v>
      </c>
      <c r="R375" s="26" t="s">
        <v>280</v>
      </c>
      <c r="S375" s="26"/>
      <c r="T375" s="71" t="s">
        <v>626</v>
      </c>
    </row>
    <row r="376" spans="1:20">
      <c r="A376" s="26" t="s">
        <v>141</v>
      </c>
      <c r="B376" s="26" t="s">
        <v>101</v>
      </c>
      <c r="C376" s="26" t="s">
        <v>580</v>
      </c>
      <c r="D376" s="25">
        <v>42615</v>
      </c>
      <c r="E376" s="1">
        <f t="shared" si="27"/>
        <v>2016</v>
      </c>
      <c r="F376" s="1">
        <f t="shared" si="28"/>
        <v>9</v>
      </c>
      <c r="G376" s="4">
        <f t="shared" si="29"/>
        <v>2</v>
      </c>
      <c r="H376" s="8">
        <v>0.56805555555555554</v>
      </c>
      <c r="I376" s="22">
        <v>131.66999999999999</v>
      </c>
      <c r="J376" s="22">
        <v>34.97</v>
      </c>
      <c r="K376" s="27">
        <v>5</v>
      </c>
      <c r="L376" s="27">
        <v>5</v>
      </c>
      <c r="M376" s="9">
        <v>0</v>
      </c>
      <c r="N376" s="21">
        <v>24.469429000000002</v>
      </c>
      <c r="O376" s="24">
        <v>33.127860000000005</v>
      </c>
      <c r="P376" s="31">
        <v>-4.1650470588235011E-2</v>
      </c>
      <c r="Q376" s="31">
        <v>-0.69586070588235494</v>
      </c>
      <c r="R376" s="26" t="s">
        <v>280</v>
      </c>
      <c r="S376" s="26"/>
      <c r="T376" s="71" t="s">
        <v>626</v>
      </c>
    </row>
    <row r="377" spans="1:20">
      <c r="A377" s="26" t="s">
        <v>141</v>
      </c>
      <c r="B377" s="26" t="s">
        <v>102</v>
      </c>
      <c r="C377" s="26" t="s">
        <v>580</v>
      </c>
      <c r="D377" s="25">
        <v>42615</v>
      </c>
      <c r="E377" s="1">
        <f t="shared" si="27"/>
        <v>2016</v>
      </c>
      <c r="F377" s="1">
        <f t="shared" si="28"/>
        <v>9</v>
      </c>
      <c r="G377" s="4">
        <f t="shared" si="29"/>
        <v>2</v>
      </c>
      <c r="H377" s="8">
        <v>0.68958333333333333</v>
      </c>
      <c r="I377" s="22">
        <v>131.12</v>
      </c>
      <c r="J377" s="22">
        <v>34.590000000000003</v>
      </c>
      <c r="K377" s="27">
        <v>5</v>
      </c>
      <c r="L377" s="27">
        <v>5</v>
      </c>
      <c r="M377" s="9">
        <v>0</v>
      </c>
      <c r="N377" s="21">
        <v>25.036095666666601</v>
      </c>
      <c r="O377" s="24">
        <v>32.969193333333301</v>
      </c>
      <c r="P377" s="31">
        <v>-0.14562492588235321</v>
      </c>
      <c r="Q377" s="31">
        <v>-0.81714316470588155</v>
      </c>
      <c r="R377" s="26" t="s">
        <v>280</v>
      </c>
      <c r="S377" s="26"/>
      <c r="T377" s="71" t="s">
        <v>626</v>
      </c>
    </row>
    <row r="378" spans="1:20">
      <c r="A378" s="26" t="s">
        <v>145</v>
      </c>
      <c r="B378" s="26" t="s">
        <v>87</v>
      </c>
      <c r="C378" s="26" t="s">
        <v>580</v>
      </c>
      <c r="D378" s="25">
        <v>42970</v>
      </c>
      <c r="E378" s="1">
        <f t="shared" si="27"/>
        <v>2017</v>
      </c>
      <c r="F378" s="1">
        <f t="shared" si="28"/>
        <v>8</v>
      </c>
      <c r="G378" s="4">
        <f t="shared" si="29"/>
        <v>23</v>
      </c>
      <c r="H378" s="6">
        <v>0.70416666666666661</v>
      </c>
      <c r="I378" s="22">
        <v>129.39699999999999</v>
      </c>
      <c r="J378" s="22">
        <v>33.015999999999998</v>
      </c>
      <c r="K378" s="27">
        <v>4.5</v>
      </c>
      <c r="L378" s="27">
        <v>5</v>
      </c>
      <c r="M378" s="9">
        <v>0</v>
      </c>
      <c r="N378" s="21">
        <v>25.665447333333301</v>
      </c>
      <c r="O378" s="24">
        <v>33.6570166666666</v>
      </c>
      <c r="P378" s="16">
        <v>1.7261652941176431E-2</v>
      </c>
      <c r="Q378" s="16">
        <v>-0.23027835647059014</v>
      </c>
      <c r="R378" s="26" t="s">
        <v>280</v>
      </c>
      <c r="S378" s="26"/>
      <c r="T378" s="71" t="s">
        <v>626</v>
      </c>
    </row>
    <row r="379" spans="1:20">
      <c r="A379" s="26" t="s">
        <v>145</v>
      </c>
      <c r="B379" s="26" t="s">
        <v>88</v>
      </c>
      <c r="C379" s="26" t="s">
        <v>580</v>
      </c>
      <c r="D379" s="25">
        <v>42970</v>
      </c>
      <c r="E379" s="1">
        <f t="shared" si="27"/>
        <v>2017</v>
      </c>
      <c r="F379" s="1">
        <f t="shared" si="28"/>
        <v>8</v>
      </c>
      <c r="G379" s="4">
        <f t="shared" si="29"/>
        <v>23</v>
      </c>
      <c r="H379" s="6">
        <v>0.9555555555555556</v>
      </c>
      <c r="I379" s="22">
        <v>129.74700000000001</v>
      </c>
      <c r="J379" s="22">
        <v>34.064</v>
      </c>
      <c r="K379" s="27">
        <v>4.5</v>
      </c>
      <c r="L379" s="27">
        <v>5</v>
      </c>
      <c r="M379" s="9">
        <v>0</v>
      </c>
      <c r="N379" s="21">
        <v>28.888780666666598</v>
      </c>
      <c r="O379" s="24">
        <v>32.086683333333298</v>
      </c>
      <c r="P379" s="16">
        <v>-0.39495218235294094</v>
      </c>
      <c r="Q379" s="16">
        <v>-2.6667663188235293</v>
      </c>
      <c r="R379" s="26" t="s">
        <v>280</v>
      </c>
      <c r="S379" s="26"/>
      <c r="T379" s="71" t="s">
        <v>626</v>
      </c>
    </row>
    <row r="380" spans="1:20">
      <c r="A380" s="26" t="s">
        <v>145</v>
      </c>
      <c r="B380" s="26" t="s">
        <v>89</v>
      </c>
      <c r="C380" s="26" t="s">
        <v>580</v>
      </c>
      <c r="D380" s="25">
        <v>42971</v>
      </c>
      <c r="E380" s="1">
        <f t="shared" si="27"/>
        <v>2017</v>
      </c>
      <c r="F380" s="1">
        <f t="shared" si="28"/>
        <v>8</v>
      </c>
      <c r="G380" s="4">
        <f t="shared" si="29"/>
        <v>24</v>
      </c>
      <c r="H380" s="6">
        <v>0.15</v>
      </c>
      <c r="I380" s="22">
        <v>130.74</v>
      </c>
      <c r="J380" s="22">
        <v>34.707999999999998</v>
      </c>
      <c r="K380" s="27">
        <v>4.5</v>
      </c>
      <c r="L380" s="27">
        <v>5</v>
      </c>
      <c r="M380" s="9">
        <v>0</v>
      </c>
      <c r="N380" s="21">
        <v>28.930447333333301</v>
      </c>
      <c r="O380" s="24">
        <v>32.118516666666601</v>
      </c>
      <c r="P380" s="31">
        <v>-0.34207256470588243</v>
      </c>
      <c r="Q380" s="31">
        <v>-2.5837633411764704</v>
      </c>
      <c r="R380" s="26" t="s">
        <v>280</v>
      </c>
      <c r="S380" s="26"/>
      <c r="T380" s="71" t="s">
        <v>626</v>
      </c>
    </row>
    <row r="381" spans="1:20">
      <c r="A381" s="26" t="s">
        <v>145</v>
      </c>
      <c r="B381" s="26" t="s">
        <v>90</v>
      </c>
      <c r="C381" s="26" t="s">
        <v>580</v>
      </c>
      <c r="D381" s="25">
        <v>42971</v>
      </c>
      <c r="E381" s="1">
        <f t="shared" si="27"/>
        <v>2017</v>
      </c>
      <c r="F381" s="1">
        <f t="shared" si="28"/>
        <v>8</v>
      </c>
      <c r="G381" s="4">
        <f t="shared" si="29"/>
        <v>24</v>
      </c>
      <c r="H381" s="6">
        <v>0.32013888888888892</v>
      </c>
      <c r="I381" s="22">
        <v>131.67599999999999</v>
      </c>
      <c r="J381" s="22">
        <v>35.183</v>
      </c>
      <c r="K381" s="27">
        <v>4.5</v>
      </c>
      <c r="L381" s="27">
        <v>5</v>
      </c>
      <c r="M381" s="9">
        <v>0</v>
      </c>
      <c r="N381" s="21">
        <v>27.978780666666601</v>
      </c>
      <c r="O381" s="24">
        <v>32.125016666666603</v>
      </c>
      <c r="P381" s="16">
        <v>-0.33293059999999985</v>
      </c>
      <c r="Q381" s="16">
        <v>-2.8181526199999993</v>
      </c>
      <c r="R381" s="26" t="s">
        <v>280</v>
      </c>
      <c r="S381" s="26"/>
      <c r="T381" s="71" t="s">
        <v>626</v>
      </c>
    </row>
    <row r="382" spans="1:20">
      <c r="A382" s="26" t="s">
        <v>145</v>
      </c>
      <c r="B382" s="26" t="s">
        <v>91</v>
      </c>
      <c r="C382" s="26" t="s">
        <v>580</v>
      </c>
      <c r="D382" s="25">
        <v>42971</v>
      </c>
      <c r="E382" s="1">
        <f t="shared" si="27"/>
        <v>2017</v>
      </c>
      <c r="F382" s="1">
        <f t="shared" si="28"/>
        <v>8</v>
      </c>
      <c r="G382" s="4">
        <f t="shared" si="29"/>
        <v>24</v>
      </c>
      <c r="H382" s="6">
        <v>0.50972222222222219</v>
      </c>
      <c r="I382" s="22">
        <v>132.70400000000001</v>
      </c>
      <c r="J382" s="22">
        <v>35.698999999999998</v>
      </c>
      <c r="K382" s="27">
        <v>4.5</v>
      </c>
      <c r="L382" s="27">
        <v>5</v>
      </c>
      <c r="M382" s="9">
        <v>0</v>
      </c>
      <c r="N382" s="21">
        <v>28.153780666666599</v>
      </c>
      <c r="O382" s="24">
        <v>32.912683333333298</v>
      </c>
      <c r="P382" s="16">
        <v>-0.19293525882352935</v>
      </c>
      <c r="Q382" s="16">
        <v>-1.6876095705882355</v>
      </c>
      <c r="R382" s="26" t="s">
        <v>280</v>
      </c>
      <c r="S382" s="26"/>
      <c r="T382" s="71" t="s">
        <v>626</v>
      </c>
    </row>
    <row r="383" spans="1:20">
      <c r="A383" s="26" t="s">
        <v>145</v>
      </c>
      <c r="B383" s="26" t="s">
        <v>92</v>
      </c>
      <c r="C383" s="26" t="s">
        <v>580</v>
      </c>
      <c r="D383" s="25">
        <v>42971</v>
      </c>
      <c r="E383" s="1">
        <f t="shared" si="27"/>
        <v>2017</v>
      </c>
      <c r="F383" s="1">
        <f t="shared" si="28"/>
        <v>8</v>
      </c>
      <c r="G383" s="4">
        <f t="shared" si="29"/>
        <v>24</v>
      </c>
      <c r="H383" s="6">
        <v>0.67083333333333339</v>
      </c>
      <c r="I383" s="22">
        <v>133.60599999999999</v>
      </c>
      <c r="J383" s="22">
        <v>36.103000000000002</v>
      </c>
      <c r="K383" s="27">
        <v>4.5</v>
      </c>
      <c r="L383" s="27">
        <v>5</v>
      </c>
      <c r="M383" s="9">
        <v>0</v>
      </c>
      <c r="N383" s="21">
        <v>27.647113999999998</v>
      </c>
      <c r="O383" s="24">
        <v>32.720683333333298</v>
      </c>
      <c r="P383" s="16">
        <v>-0.21830281764705872</v>
      </c>
      <c r="Q383" s="16">
        <v>-1.6795966411764711</v>
      </c>
      <c r="R383" s="26" t="s">
        <v>280</v>
      </c>
      <c r="S383" s="26"/>
      <c r="T383" s="71" t="s">
        <v>626</v>
      </c>
    </row>
    <row r="384" spans="1:20">
      <c r="A384" s="26" t="s">
        <v>145</v>
      </c>
      <c r="B384" s="26" t="s">
        <v>93</v>
      </c>
      <c r="C384" s="26" t="s">
        <v>580</v>
      </c>
      <c r="D384" s="25">
        <v>42971</v>
      </c>
      <c r="E384" s="1">
        <f t="shared" si="27"/>
        <v>2017</v>
      </c>
      <c r="F384" s="1">
        <f t="shared" si="28"/>
        <v>8</v>
      </c>
      <c r="G384" s="4">
        <f t="shared" si="29"/>
        <v>24</v>
      </c>
      <c r="H384" s="6">
        <v>0.8569444444444444</v>
      </c>
      <c r="I384" s="22">
        <v>134.37899999999999</v>
      </c>
      <c r="J384" s="22">
        <v>36.744999999999997</v>
      </c>
      <c r="K384" s="27">
        <v>4.5</v>
      </c>
      <c r="L384" s="27">
        <v>5</v>
      </c>
      <c r="M384" s="9">
        <v>0</v>
      </c>
      <c r="N384" s="21">
        <v>27.700447333333301</v>
      </c>
      <c r="O384" s="24">
        <v>32.815516666666603</v>
      </c>
      <c r="P384" s="16">
        <v>-0.20778397647058799</v>
      </c>
      <c r="Q384" s="16">
        <v>-1.8678191917647062</v>
      </c>
      <c r="R384" s="26" t="s">
        <v>280</v>
      </c>
      <c r="S384" s="26"/>
      <c r="T384" s="71" t="s">
        <v>626</v>
      </c>
    </row>
    <row r="385" spans="1:20">
      <c r="A385" s="26" t="s">
        <v>145</v>
      </c>
      <c r="B385" s="26" t="s">
        <v>94</v>
      </c>
      <c r="C385" s="26" t="s">
        <v>580</v>
      </c>
      <c r="D385" s="25">
        <v>42977</v>
      </c>
      <c r="E385" s="1">
        <f t="shared" si="27"/>
        <v>2017</v>
      </c>
      <c r="F385" s="1">
        <f t="shared" si="28"/>
        <v>8</v>
      </c>
      <c r="G385" s="4">
        <f t="shared" si="29"/>
        <v>30</v>
      </c>
      <c r="H385" s="6">
        <v>0.20416666666666669</v>
      </c>
      <c r="I385" s="22">
        <v>134.749</v>
      </c>
      <c r="J385" s="22">
        <v>36.664999999999999</v>
      </c>
      <c r="K385" s="27">
        <v>4.5</v>
      </c>
      <c r="L385" s="27">
        <v>5</v>
      </c>
      <c r="M385" s="9">
        <v>0</v>
      </c>
      <c r="N385" s="21">
        <v>27.297114000000001</v>
      </c>
      <c r="O385" s="24">
        <v>33.239849999999997</v>
      </c>
      <c r="P385" s="31">
        <v>-0.33835694117647064</v>
      </c>
      <c r="Q385" s="31">
        <v>-2.4962816752941164</v>
      </c>
      <c r="R385" s="26" t="s">
        <v>280</v>
      </c>
      <c r="S385" s="26"/>
      <c r="T385" s="71" t="s">
        <v>626</v>
      </c>
    </row>
    <row r="386" spans="1:20">
      <c r="A386" s="26" t="s">
        <v>145</v>
      </c>
      <c r="B386" s="26" t="s">
        <v>95</v>
      </c>
      <c r="C386" s="26" t="s">
        <v>580</v>
      </c>
      <c r="D386" s="25">
        <v>42977</v>
      </c>
      <c r="E386" s="1">
        <f t="shared" si="27"/>
        <v>2017</v>
      </c>
      <c r="F386" s="1">
        <f t="shared" si="28"/>
        <v>8</v>
      </c>
      <c r="G386" s="4">
        <f t="shared" si="29"/>
        <v>30</v>
      </c>
      <c r="H386" s="6">
        <v>0.4604166666666667</v>
      </c>
      <c r="I386" s="22">
        <v>133.34299999999999</v>
      </c>
      <c r="J386" s="22">
        <v>36.005000000000003</v>
      </c>
      <c r="K386" s="27">
        <v>4.5</v>
      </c>
      <c r="L386" s="27">
        <v>5</v>
      </c>
      <c r="M386" s="9">
        <v>0</v>
      </c>
      <c r="N386" s="21">
        <v>27.110447333333301</v>
      </c>
      <c r="O386" s="24">
        <v>32.163183333333301</v>
      </c>
      <c r="P386" s="16">
        <v>-0.13230499411764707</v>
      </c>
      <c r="Q386" s="16">
        <v>-1.2583488129411791</v>
      </c>
      <c r="R386" s="26" t="s">
        <v>280</v>
      </c>
      <c r="S386" s="26"/>
      <c r="T386" s="71" t="s">
        <v>626</v>
      </c>
    </row>
    <row r="387" spans="1:20">
      <c r="A387" s="26" t="s">
        <v>145</v>
      </c>
      <c r="B387" s="26" t="s">
        <v>98</v>
      </c>
      <c r="C387" s="26" t="s">
        <v>580</v>
      </c>
      <c r="D387" s="25">
        <v>42977</v>
      </c>
      <c r="E387" s="1">
        <f t="shared" si="27"/>
        <v>2017</v>
      </c>
      <c r="F387" s="1">
        <f t="shared" si="28"/>
        <v>8</v>
      </c>
      <c r="G387" s="4">
        <f t="shared" si="29"/>
        <v>30</v>
      </c>
      <c r="H387" s="6">
        <v>0.74375000000000002</v>
      </c>
      <c r="I387" s="22">
        <v>131.99299999999999</v>
      </c>
      <c r="J387" s="22">
        <v>35.212000000000003</v>
      </c>
      <c r="K387" s="27">
        <v>4.5</v>
      </c>
      <c r="L387" s="27">
        <v>5</v>
      </c>
      <c r="M387" s="9">
        <v>0</v>
      </c>
      <c r="N387" s="21">
        <v>26.995447333333299</v>
      </c>
      <c r="O387" s="24">
        <v>31.7955166666666</v>
      </c>
      <c r="P387" s="31">
        <v>-0.37550119058823528</v>
      </c>
      <c r="Q387" s="31">
        <v>-3.0874509176470575</v>
      </c>
      <c r="R387" s="26" t="s">
        <v>280</v>
      </c>
      <c r="S387" s="26"/>
      <c r="T387" s="71" t="s">
        <v>626</v>
      </c>
    </row>
    <row r="388" spans="1:20">
      <c r="A388" s="1" t="s">
        <v>439</v>
      </c>
      <c r="B388" s="1" t="s">
        <v>451</v>
      </c>
      <c r="C388" s="26" t="s">
        <v>580</v>
      </c>
      <c r="D388" s="5">
        <v>43337</v>
      </c>
      <c r="E388" s="1">
        <v>2018</v>
      </c>
      <c r="F388" s="1">
        <v>8</v>
      </c>
      <c r="G388" s="4">
        <v>25</v>
      </c>
      <c r="H388" s="8">
        <v>0.97083333333333333</v>
      </c>
      <c r="I388" s="11">
        <v>129.7045</v>
      </c>
      <c r="J388" s="11">
        <v>34.039833333333299</v>
      </c>
      <c r="K388" s="9">
        <v>4.5</v>
      </c>
      <c r="L388" s="9">
        <v>5</v>
      </c>
      <c r="M388" s="9">
        <v>0</v>
      </c>
      <c r="N388" s="12">
        <v>27.844999999999999</v>
      </c>
      <c r="O388" s="11">
        <v>33.897288181986028</v>
      </c>
      <c r="P388" s="31">
        <v>-5.3043639999999836E-2</v>
      </c>
      <c r="Q388" s="31">
        <v>-0.27203535764705933</v>
      </c>
      <c r="R388" s="1" t="s">
        <v>441</v>
      </c>
      <c r="T388" s="71" t="s">
        <v>626</v>
      </c>
    </row>
    <row r="389" spans="1:20">
      <c r="A389" s="1" t="s">
        <v>439</v>
      </c>
      <c r="B389" s="1" t="s">
        <v>452</v>
      </c>
      <c r="C389" s="26" t="s">
        <v>580</v>
      </c>
      <c r="D389" s="5">
        <v>43338</v>
      </c>
      <c r="E389" s="1">
        <v>2018</v>
      </c>
      <c r="F389" s="1">
        <v>8</v>
      </c>
      <c r="G389" s="4">
        <v>26</v>
      </c>
      <c r="H389" s="8">
        <v>0.13472222222222222</v>
      </c>
      <c r="I389" s="11">
        <v>130.48366666666601</v>
      </c>
      <c r="J389" s="11">
        <v>34.582333333333303</v>
      </c>
      <c r="K389" s="9">
        <v>4.5</v>
      </c>
      <c r="L389" s="9">
        <v>5</v>
      </c>
      <c r="M389" s="9">
        <v>0</v>
      </c>
      <c r="N389" s="12">
        <v>27.78</v>
      </c>
      <c r="O389" s="11">
        <v>33.72328147642952</v>
      </c>
      <c r="P389" s="31">
        <v>-0.11741204000000005</v>
      </c>
      <c r="Q389" s="31">
        <v>-0.75255198117647026</v>
      </c>
      <c r="R389" s="1" t="s">
        <v>441</v>
      </c>
      <c r="T389" s="71" t="s">
        <v>626</v>
      </c>
    </row>
    <row r="390" spans="1:20">
      <c r="A390" s="1" t="s">
        <v>439</v>
      </c>
      <c r="B390" s="1" t="s">
        <v>453</v>
      </c>
      <c r="C390" s="26" t="s">
        <v>580</v>
      </c>
      <c r="D390" s="5">
        <v>43338</v>
      </c>
      <c r="E390" s="1">
        <v>2018</v>
      </c>
      <c r="F390" s="1">
        <v>8</v>
      </c>
      <c r="G390" s="4">
        <v>26</v>
      </c>
      <c r="H390" s="8">
        <v>0.29166666666666669</v>
      </c>
      <c r="I390" s="11">
        <v>131.32366666666601</v>
      </c>
      <c r="J390" s="11">
        <v>34.9568333333333</v>
      </c>
      <c r="K390" s="9">
        <v>4.5</v>
      </c>
      <c r="L390" s="9">
        <v>5</v>
      </c>
      <c r="M390" s="9">
        <v>0</v>
      </c>
      <c r="N390" s="12">
        <v>27.69</v>
      </c>
      <c r="O390" s="11">
        <v>33.669936457031362</v>
      </c>
      <c r="P390" s="31">
        <v>-9.9762639999999347E-2</v>
      </c>
      <c r="Q390" s="31">
        <v>-0.77248936470587992</v>
      </c>
      <c r="R390" s="1" t="s">
        <v>441</v>
      </c>
      <c r="T390" s="71" t="s">
        <v>626</v>
      </c>
    </row>
    <row r="391" spans="1:20">
      <c r="A391" s="1" t="s">
        <v>439</v>
      </c>
      <c r="B391" s="1" t="s">
        <v>454</v>
      </c>
      <c r="C391" s="26" t="s">
        <v>580</v>
      </c>
      <c r="D391" s="5">
        <v>43338</v>
      </c>
      <c r="E391" s="1">
        <v>2018</v>
      </c>
      <c r="F391" s="1">
        <v>8</v>
      </c>
      <c r="G391" s="4">
        <v>26</v>
      </c>
      <c r="H391" s="8">
        <v>0.42708333333333331</v>
      </c>
      <c r="I391" s="11">
        <v>132.08033333333299</v>
      </c>
      <c r="J391" s="11">
        <v>35.318166666666599</v>
      </c>
      <c r="K391" s="9">
        <v>4.5</v>
      </c>
      <c r="L391" s="9">
        <v>5</v>
      </c>
      <c r="M391" s="9">
        <v>0</v>
      </c>
      <c r="N391" s="12">
        <v>27.643333333333299</v>
      </c>
      <c r="O391" s="11">
        <v>33.330830409523905</v>
      </c>
      <c r="P391" s="31">
        <v>-0.18074224000000005</v>
      </c>
      <c r="Q391" s="31">
        <v>-1.2922971082352959</v>
      </c>
      <c r="R391" s="1" t="s">
        <v>441</v>
      </c>
      <c r="T391" s="71" t="s">
        <v>626</v>
      </c>
    </row>
    <row r="392" spans="1:20">
      <c r="A392" s="1" t="s">
        <v>439</v>
      </c>
      <c r="B392" s="1" t="s">
        <v>455</v>
      </c>
      <c r="C392" s="26" t="s">
        <v>580</v>
      </c>
      <c r="D392" s="5">
        <v>43338</v>
      </c>
      <c r="E392" s="1">
        <v>2018</v>
      </c>
      <c r="F392" s="1">
        <v>8</v>
      </c>
      <c r="G392" s="4">
        <v>26</v>
      </c>
      <c r="H392" s="8">
        <v>0.56666666666666665</v>
      </c>
      <c r="I392" s="11">
        <v>132.85366666666599</v>
      </c>
      <c r="J392" s="11">
        <v>35.680999999999997</v>
      </c>
      <c r="K392" s="9">
        <v>4.5</v>
      </c>
      <c r="L392" s="9">
        <v>5</v>
      </c>
      <c r="M392" s="9">
        <v>0</v>
      </c>
      <c r="N392" s="12">
        <v>27.92</v>
      </c>
      <c r="O392" s="11">
        <v>33.339027957752279</v>
      </c>
      <c r="P392" s="31">
        <v>-0.15997823999999961</v>
      </c>
      <c r="Q392" s="31">
        <v>-1.3334675717647055</v>
      </c>
      <c r="R392" s="1" t="s">
        <v>441</v>
      </c>
      <c r="T392" s="71" t="s">
        <v>626</v>
      </c>
    </row>
    <row r="393" spans="1:20">
      <c r="A393" s="1" t="s">
        <v>439</v>
      </c>
      <c r="B393" s="1" t="s">
        <v>456</v>
      </c>
      <c r="C393" s="26" t="s">
        <v>580</v>
      </c>
      <c r="D393" s="5">
        <v>43338</v>
      </c>
      <c r="E393" s="1">
        <v>2018</v>
      </c>
      <c r="F393" s="1">
        <v>8</v>
      </c>
      <c r="G393" s="4">
        <v>26</v>
      </c>
      <c r="H393" s="8">
        <v>0.68333333333333324</v>
      </c>
      <c r="I393" s="11">
        <v>133.316</v>
      </c>
      <c r="J393" s="11">
        <v>36.095999999999997</v>
      </c>
      <c r="K393" s="9">
        <v>4.5</v>
      </c>
      <c r="L393" s="9">
        <v>5</v>
      </c>
      <c r="M393" s="9">
        <v>0</v>
      </c>
      <c r="N393" s="12">
        <v>26.688333333333301</v>
      </c>
      <c r="O393" s="11">
        <v>33.402765859059976</v>
      </c>
      <c r="P393" s="31">
        <v>-0.11637384000000006</v>
      </c>
      <c r="Q393" s="31">
        <v>-1.1047596352941174</v>
      </c>
      <c r="R393" s="1" t="s">
        <v>441</v>
      </c>
      <c r="T393" s="71" t="s">
        <v>626</v>
      </c>
    </row>
    <row r="394" spans="1:20">
      <c r="A394" s="1" t="s">
        <v>439</v>
      </c>
      <c r="B394" s="1" t="s">
        <v>457</v>
      </c>
      <c r="C394" s="26" t="s">
        <v>580</v>
      </c>
      <c r="D394" s="5">
        <v>43338</v>
      </c>
      <c r="E394" s="1">
        <v>2018</v>
      </c>
      <c r="F394" s="1">
        <v>8</v>
      </c>
      <c r="G394" s="4">
        <v>26</v>
      </c>
      <c r="H394" s="8">
        <v>0.82638888888888884</v>
      </c>
      <c r="I394" s="11">
        <v>133.808666666666</v>
      </c>
      <c r="J394" s="11">
        <v>36.639000000000003</v>
      </c>
      <c r="K394" s="9">
        <v>4.5</v>
      </c>
      <c r="L394" s="9">
        <v>5</v>
      </c>
      <c r="M394" s="9">
        <v>0</v>
      </c>
      <c r="N394" s="12">
        <v>27.314999999999898</v>
      </c>
      <c r="O394" s="11">
        <v>33.222194342178213</v>
      </c>
      <c r="P394" s="31">
        <v>-0.16413103999999978</v>
      </c>
      <c r="Q394" s="31">
        <v>-1.5055033788235281</v>
      </c>
      <c r="R394" s="1" t="s">
        <v>441</v>
      </c>
      <c r="T394" s="71" t="s">
        <v>626</v>
      </c>
    </row>
    <row r="395" spans="1:20">
      <c r="A395" s="1" t="s">
        <v>439</v>
      </c>
      <c r="B395" s="1" t="s">
        <v>458</v>
      </c>
      <c r="C395" s="26" t="s">
        <v>580</v>
      </c>
      <c r="D395" s="5">
        <v>43338</v>
      </c>
      <c r="E395" s="1">
        <v>2018</v>
      </c>
      <c r="F395" s="1">
        <v>8</v>
      </c>
      <c r="G395" s="4">
        <v>26</v>
      </c>
      <c r="H395" s="8">
        <v>0.95972222222222225</v>
      </c>
      <c r="I395" s="11">
        <v>134.32049999999899</v>
      </c>
      <c r="J395" s="11">
        <v>37.170999999999999</v>
      </c>
      <c r="K395" s="9">
        <v>4.5</v>
      </c>
      <c r="L395" s="9">
        <v>5</v>
      </c>
      <c r="M395" s="9">
        <v>0</v>
      </c>
      <c r="N395" s="12">
        <v>26.635000000000002</v>
      </c>
      <c r="O395" s="11">
        <v>33.299045065561145</v>
      </c>
      <c r="P395" s="31">
        <v>-0.15437195999999975</v>
      </c>
      <c r="Q395" s="31">
        <v>-1.3018805929411776</v>
      </c>
      <c r="R395" s="1" t="s">
        <v>441</v>
      </c>
      <c r="T395" s="71" t="s">
        <v>626</v>
      </c>
    </row>
    <row r="396" spans="1:20">
      <c r="A396" s="1" t="s">
        <v>439</v>
      </c>
      <c r="B396" s="1" t="s">
        <v>459</v>
      </c>
      <c r="C396" s="26" t="s">
        <v>580</v>
      </c>
      <c r="D396" s="5">
        <v>43339</v>
      </c>
      <c r="E396" s="1">
        <v>2018</v>
      </c>
      <c r="F396" s="1">
        <v>8</v>
      </c>
      <c r="G396" s="4">
        <v>27</v>
      </c>
      <c r="H396" s="8">
        <v>0.10416666666666667</v>
      </c>
      <c r="I396" s="11">
        <v>134.851333333333</v>
      </c>
      <c r="J396" s="11">
        <v>37.725666666666598</v>
      </c>
      <c r="K396" s="9">
        <v>4.5</v>
      </c>
      <c r="L396" s="9">
        <v>5</v>
      </c>
      <c r="M396" s="9">
        <v>0</v>
      </c>
      <c r="N396" s="12">
        <v>25.4</v>
      </c>
      <c r="O396" s="11">
        <v>34.069177227606012</v>
      </c>
      <c r="P396" s="31">
        <v>1.1947680000000016E-2</v>
      </c>
      <c r="Q396" s="31">
        <v>-0.27822201647058975</v>
      </c>
      <c r="R396" s="1" t="s">
        <v>441</v>
      </c>
      <c r="T396" s="71" t="s">
        <v>626</v>
      </c>
    </row>
    <row r="397" spans="1:20">
      <c r="A397" s="1" t="s">
        <v>439</v>
      </c>
      <c r="B397" s="1" t="s">
        <v>96</v>
      </c>
      <c r="C397" s="26" t="s">
        <v>580</v>
      </c>
      <c r="D397" s="5">
        <v>43339</v>
      </c>
      <c r="E397" s="1">
        <v>2018</v>
      </c>
      <c r="F397" s="1">
        <v>8</v>
      </c>
      <c r="G397" s="4">
        <v>27</v>
      </c>
      <c r="H397" s="8">
        <v>2.338888888888889</v>
      </c>
      <c r="I397" s="11">
        <v>135.6</v>
      </c>
      <c r="J397" s="11">
        <v>38.643000000000001</v>
      </c>
      <c r="K397" s="9">
        <v>4.5</v>
      </c>
      <c r="L397" s="9">
        <v>5</v>
      </c>
      <c r="M397" s="9">
        <v>0</v>
      </c>
      <c r="N397" s="12">
        <v>25.713333333333299</v>
      </c>
      <c r="O397" s="11">
        <v>34.04611589469134</v>
      </c>
      <c r="P397" s="31">
        <v>8.6254400000003173E-3</v>
      </c>
      <c r="Q397" s="31">
        <v>-0.24656500000000037</v>
      </c>
      <c r="R397" s="1" t="s">
        <v>441</v>
      </c>
      <c r="T397" s="71" t="s">
        <v>626</v>
      </c>
    </row>
    <row r="398" spans="1:20">
      <c r="A398" s="1" t="s">
        <v>439</v>
      </c>
      <c r="B398" s="1" t="s">
        <v>98</v>
      </c>
      <c r="C398" s="26" t="s">
        <v>580</v>
      </c>
      <c r="D398" s="5">
        <v>43344</v>
      </c>
      <c r="E398" s="1">
        <v>2018</v>
      </c>
      <c r="F398" s="1">
        <v>9</v>
      </c>
      <c r="G398" s="4">
        <v>1</v>
      </c>
      <c r="H398" s="8">
        <v>0.22430555555555556</v>
      </c>
      <c r="I398" s="11">
        <v>135.03983333333301</v>
      </c>
      <c r="J398" s="11">
        <v>36.681666666666601</v>
      </c>
      <c r="K398" s="9">
        <v>4.5</v>
      </c>
      <c r="L398" s="9">
        <v>5</v>
      </c>
      <c r="M398" s="9">
        <v>0</v>
      </c>
      <c r="N398" s="12">
        <v>26.676666666666598</v>
      </c>
      <c r="O398" s="11">
        <v>33.000090551512194</v>
      </c>
      <c r="P398" s="31">
        <v>-0.26608228000000023</v>
      </c>
      <c r="Q398" s="31">
        <v>-1.9776505035294134</v>
      </c>
      <c r="R398" s="1" t="s">
        <v>441</v>
      </c>
      <c r="T398" s="71" t="s">
        <v>626</v>
      </c>
    </row>
    <row r="399" spans="1:20">
      <c r="A399" s="1" t="s">
        <v>439</v>
      </c>
      <c r="B399" s="1" t="s">
        <v>99</v>
      </c>
      <c r="C399" s="26" t="s">
        <v>580</v>
      </c>
      <c r="D399" s="5">
        <v>43344</v>
      </c>
      <c r="E399" s="1">
        <v>2018</v>
      </c>
      <c r="F399" s="1">
        <v>9</v>
      </c>
      <c r="G399" s="4">
        <v>1</v>
      </c>
      <c r="H399" s="8">
        <v>0.3611111111111111</v>
      </c>
      <c r="I399" s="11">
        <v>134.2885</v>
      </c>
      <c r="J399" s="11">
        <v>36.347999999999999</v>
      </c>
      <c r="K399" s="9">
        <v>4.5</v>
      </c>
      <c r="L399" s="9">
        <v>5</v>
      </c>
      <c r="M399" s="9">
        <v>0</v>
      </c>
      <c r="N399" s="12">
        <v>26.69</v>
      </c>
      <c r="O399" s="11">
        <v>33.065483319505887</v>
      </c>
      <c r="P399" s="31">
        <v>-0.31072487999999976</v>
      </c>
      <c r="Q399" s="31">
        <v>-2.1865027670588235</v>
      </c>
      <c r="R399" s="1" t="s">
        <v>441</v>
      </c>
      <c r="T399" s="71" t="s">
        <v>626</v>
      </c>
    </row>
    <row r="400" spans="1:20">
      <c r="A400" s="1" t="s">
        <v>439</v>
      </c>
      <c r="B400" s="1" t="s">
        <v>100</v>
      </c>
      <c r="C400" s="26" t="s">
        <v>580</v>
      </c>
      <c r="D400" s="5">
        <v>43344</v>
      </c>
      <c r="E400" s="1">
        <v>2018</v>
      </c>
      <c r="F400" s="1">
        <v>9</v>
      </c>
      <c r="G400" s="4">
        <v>1</v>
      </c>
      <c r="H400" s="8">
        <v>0.48194444444444445</v>
      </c>
      <c r="I400" s="11">
        <v>133.63183333333299</v>
      </c>
      <c r="J400" s="11">
        <v>36.042999999999999</v>
      </c>
      <c r="K400" s="9">
        <v>4.5</v>
      </c>
      <c r="L400" s="9">
        <v>5</v>
      </c>
      <c r="M400" s="9">
        <v>0</v>
      </c>
      <c r="N400" s="12">
        <v>26.6866666666666</v>
      </c>
      <c r="O400" s="11">
        <v>33.24617443708776</v>
      </c>
      <c r="P400" s="31">
        <v>-0.25570028000000011</v>
      </c>
      <c r="Q400" s="31">
        <v>-1.6650958305882355</v>
      </c>
      <c r="R400" s="1" t="s">
        <v>441</v>
      </c>
      <c r="T400" s="71" t="s">
        <v>626</v>
      </c>
    </row>
    <row r="401" spans="1:20">
      <c r="A401" s="1" t="s">
        <v>439</v>
      </c>
      <c r="B401" s="1" t="s">
        <v>101</v>
      </c>
      <c r="C401" s="26" t="s">
        <v>580</v>
      </c>
      <c r="D401" s="5">
        <v>43344</v>
      </c>
      <c r="E401" s="1">
        <v>2018</v>
      </c>
      <c r="F401" s="1">
        <v>9</v>
      </c>
      <c r="G401" s="4">
        <v>1</v>
      </c>
      <c r="H401" s="8">
        <v>0.60347222222222219</v>
      </c>
      <c r="I401" s="11">
        <v>132.987666666666</v>
      </c>
      <c r="J401" s="11">
        <v>35.743666666666599</v>
      </c>
      <c r="K401" s="9">
        <v>4.5</v>
      </c>
      <c r="L401" s="9">
        <v>5</v>
      </c>
      <c r="M401" s="9">
        <v>0</v>
      </c>
      <c r="N401" s="12">
        <v>27.246666666666599</v>
      </c>
      <c r="O401" s="11">
        <v>33.373880571325003</v>
      </c>
      <c r="P401" s="31">
        <v>-0.18863256000000006</v>
      </c>
      <c r="Q401" s="31">
        <v>-1.383007534117648</v>
      </c>
      <c r="R401" s="1" t="s">
        <v>441</v>
      </c>
      <c r="T401" s="71" t="s">
        <v>626</v>
      </c>
    </row>
    <row r="402" spans="1:20">
      <c r="A402" s="1" t="s">
        <v>439</v>
      </c>
      <c r="B402" s="1" t="s">
        <v>102</v>
      </c>
      <c r="C402" s="26" t="s">
        <v>580</v>
      </c>
      <c r="D402" s="5">
        <v>43344</v>
      </c>
      <c r="E402" s="1">
        <v>2018</v>
      </c>
      <c r="F402" s="1">
        <v>9</v>
      </c>
      <c r="G402" s="4">
        <v>1</v>
      </c>
      <c r="H402" s="8">
        <v>0.7284722222222223</v>
      </c>
      <c r="I402" s="11">
        <v>132.34933333333299</v>
      </c>
      <c r="J402" s="11">
        <v>35.454000000000001</v>
      </c>
      <c r="K402" s="9">
        <v>4.5</v>
      </c>
      <c r="L402" s="9">
        <v>5</v>
      </c>
      <c r="M402" s="9">
        <v>0</v>
      </c>
      <c r="N402" s="12">
        <v>27.501666666666601</v>
      </c>
      <c r="O402" s="11">
        <v>33.504594749614739</v>
      </c>
      <c r="P402" s="31">
        <v>-0.16745328000000037</v>
      </c>
      <c r="Q402" s="31">
        <v>-1.1334633976470592</v>
      </c>
      <c r="R402" s="1" t="s">
        <v>441</v>
      </c>
      <c r="T402" s="71" t="s">
        <v>626</v>
      </c>
    </row>
    <row r="403" spans="1:20">
      <c r="A403" s="1" t="s">
        <v>439</v>
      </c>
      <c r="B403" s="1" t="s">
        <v>103</v>
      </c>
      <c r="C403" s="26" t="s">
        <v>580</v>
      </c>
      <c r="D403" s="5">
        <v>43344</v>
      </c>
      <c r="E403" s="1">
        <v>2018</v>
      </c>
      <c r="F403" s="1">
        <v>9</v>
      </c>
      <c r="G403" s="4">
        <v>1</v>
      </c>
      <c r="H403" s="8">
        <v>0.84375</v>
      </c>
      <c r="I403" s="11">
        <v>131.73633333333299</v>
      </c>
      <c r="J403" s="11">
        <v>35.174499999999902</v>
      </c>
      <c r="K403" s="9">
        <v>4.5</v>
      </c>
      <c r="L403" s="9">
        <v>5</v>
      </c>
      <c r="M403" s="9">
        <v>0</v>
      </c>
      <c r="N403" s="12">
        <v>27.678333333333299</v>
      </c>
      <c r="O403" s="11">
        <v>33.676397741955789</v>
      </c>
      <c r="P403" s="31">
        <v>-0.182</v>
      </c>
      <c r="Q403" s="31">
        <v>-1.077</v>
      </c>
      <c r="R403" s="1" t="s">
        <v>441</v>
      </c>
      <c r="T403" s="71" t="s">
        <v>626</v>
      </c>
    </row>
    <row r="404" spans="1:20">
      <c r="A404" s="1" t="s">
        <v>439</v>
      </c>
      <c r="B404" s="1" t="s">
        <v>104</v>
      </c>
      <c r="C404" s="26" t="s">
        <v>580</v>
      </c>
      <c r="D404" s="5">
        <v>43344</v>
      </c>
      <c r="E404" s="1">
        <v>2018</v>
      </c>
      <c r="F404" s="1">
        <v>9</v>
      </c>
      <c r="G404" s="4">
        <v>1</v>
      </c>
      <c r="H404" s="8">
        <v>0.93125000000000002</v>
      </c>
      <c r="I404" s="11">
        <v>131.25666666666601</v>
      </c>
      <c r="J404" s="11">
        <v>34.950499999999998</v>
      </c>
      <c r="K404" s="9">
        <v>4.5</v>
      </c>
      <c r="L404" s="9">
        <v>5</v>
      </c>
      <c r="M404" s="9">
        <v>0</v>
      </c>
      <c r="N404" s="12">
        <v>27.23</v>
      </c>
      <c r="O404" s="11">
        <v>33.488167724775359</v>
      </c>
      <c r="P404" s="31">
        <v>-0.214</v>
      </c>
      <c r="Q404" s="31">
        <v>-1.4790000000000001</v>
      </c>
      <c r="R404" s="1" t="s">
        <v>441</v>
      </c>
      <c r="T404" s="71" t="s">
        <v>626</v>
      </c>
    </row>
    <row r="405" spans="1:20" ht="14" customHeight="1">
      <c r="A405" s="26" t="s">
        <v>174</v>
      </c>
      <c r="B405" s="26" t="s">
        <v>44</v>
      </c>
      <c r="C405" s="26" t="s">
        <v>518</v>
      </c>
      <c r="D405" s="25">
        <v>42913</v>
      </c>
      <c r="E405" s="19">
        <f t="shared" ref="E405:E420" si="30">YEAR(D405)</f>
        <v>2017</v>
      </c>
      <c r="F405" s="19">
        <f t="shared" ref="F405:F420" si="31">MONTH(D405)</f>
        <v>6</v>
      </c>
      <c r="G405" s="30">
        <f t="shared" ref="G405:G420" si="32">DAY(D405)</f>
        <v>27</v>
      </c>
      <c r="H405" s="29" t="s">
        <v>287</v>
      </c>
      <c r="I405" s="22">
        <v>126.54433</v>
      </c>
      <c r="J405" s="22">
        <v>27.252330000000001</v>
      </c>
      <c r="K405" s="27">
        <v>10</v>
      </c>
      <c r="L405" s="27">
        <v>10</v>
      </c>
      <c r="M405" s="27" t="s">
        <v>287</v>
      </c>
      <c r="N405" s="21">
        <v>27.309899999999999</v>
      </c>
      <c r="O405" s="24">
        <v>34.0062</v>
      </c>
      <c r="P405" s="20">
        <v>0.1707522736842102</v>
      </c>
      <c r="Q405" s="20">
        <v>0.80113798070175513</v>
      </c>
      <c r="R405" s="26" t="s">
        <v>279</v>
      </c>
      <c r="S405" s="26"/>
      <c r="T405" s="71" t="s">
        <v>626</v>
      </c>
    </row>
    <row r="406" spans="1:20" ht="14" customHeight="1">
      <c r="A406" s="26" t="s">
        <v>174</v>
      </c>
      <c r="B406" s="26" t="s">
        <v>45</v>
      </c>
      <c r="C406" s="26" t="s">
        <v>518</v>
      </c>
      <c r="D406" s="25">
        <v>42912</v>
      </c>
      <c r="E406" s="19">
        <f t="shared" si="30"/>
        <v>2017</v>
      </c>
      <c r="F406" s="19">
        <f t="shared" si="31"/>
        <v>6</v>
      </c>
      <c r="G406" s="30">
        <f t="shared" si="32"/>
        <v>26</v>
      </c>
      <c r="H406" s="29" t="s">
        <v>287</v>
      </c>
      <c r="I406" s="22">
        <v>127.18116999999999</v>
      </c>
      <c r="J406" s="22">
        <v>26.782</v>
      </c>
      <c r="K406" s="27">
        <v>10</v>
      </c>
      <c r="L406" s="27">
        <v>10</v>
      </c>
      <c r="M406" s="27" t="s">
        <v>287</v>
      </c>
      <c r="N406" s="21">
        <v>27.416599999999999</v>
      </c>
      <c r="O406" s="24">
        <v>34.229799999999997</v>
      </c>
      <c r="P406" s="20">
        <v>5.4736442105263183E-2</v>
      </c>
      <c r="Q406" s="20">
        <v>0.40583944421052465</v>
      </c>
      <c r="R406" s="26" t="s">
        <v>279</v>
      </c>
      <c r="S406" s="26"/>
      <c r="T406" s="71" t="s">
        <v>626</v>
      </c>
    </row>
    <row r="407" spans="1:20" ht="14" customHeight="1">
      <c r="A407" s="26" t="s">
        <v>174</v>
      </c>
      <c r="B407" s="26" t="s">
        <v>45</v>
      </c>
      <c r="C407" s="26" t="s">
        <v>518</v>
      </c>
      <c r="D407" s="25">
        <v>42912</v>
      </c>
      <c r="E407" s="19">
        <f t="shared" si="30"/>
        <v>2017</v>
      </c>
      <c r="F407" s="19">
        <f t="shared" si="31"/>
        <v>6</v>
      </c>
      <c r="G407" s="30">
        <f t="shared" si="32"/>
        <v>26</v>
      </c>
      <c r="H407" s="29" t="s">
        <v>287</v>
      </c>
      <c r="I407" s="22">
        <v>127.18116999999999</v>
      </c>
      <c r="J407" s="22">
        <v>26.782</v>
      </c>
      <c r="K407" s="27">
        <v>20</v>
      </c>
      <c r="L407" s="27">
        <v>20</v>
      </c>
      <c r="M407" s="27" t="s">
        <v>287</v>
      </c>
      <c r="N407" s="21">
        <v>27.217400000000001</v>
      </c>
      <c r="O407" s="24">
        <v>34.2834</v>
      </c>
      <c r="P407" s="20">
        <v>7.668248421052648E-2</v>
      </c>
      <c r="Q407" s="20">
        <v>0.48027746175438679</v>
      </c>
      <c r="R407" s="26" t="s">
        <v>279</v>
      </c>
      <c r="S407" s="26"/>
      <c r="T407" s="71" t="s">
        <v>626</v>
      </c>
    </row>
    <row r="408" spans="1:20" ht="14" customHeight="1">
      <c r="A408" s="26" t="s">
        <v>174</v>
      </c>
      <c r="B408" s="26" t="s">
        <v>45</v>
      </c>
      <c r="C408" s="26" t="s">
        <v>518</v>
      </c>
      <c r="D408" s="25">
        <v>42912</v>
      </c>
      <c r="E408" s="19">
        <f t="shared" si="30"/>
        <v>2017</v>
      </c>
      <c r="F408" s="19">
        <f t="shared" si="31"/>
        <v>6</v>
      </c>
      <c r="G408" s="30">
        <f t="shared" si="32"/>
        <v>26</v>
      </c>
      <c r="H408" s="29" t="s">
        <v>287</v>
      </c>
      <c r="I408" s="22">
        <v>127.18116999999999</v>
      </c>
      <c r="J408" s="22">
        <v>26.782</v>
      </c>
      <c r="K408" s="27">
        <v>30</v>
      </c>
      <c r="L408" s="27">
        <v>30</v>
      </c>
      <c r="M408" s="27" t="s">
        <v>287</v>
      </c>
      <c r="N408" s="21">
        <v>26.680700000000002</v>
      </c>
      <c r="O408" s="24">
        <v>34.345999999999997</v>
      </c>
      <c r="P408" s="20">
        <v>6.3167326315789474E-2</v>
      </c>
      <c r="Q408" s="20">
        <v>0.62056475929824551</v>
      </c>
      <c r="R408" s="26" t="s">
        <v>279</v>
      </c>
      <c r="S408" s="26"/>
      <c r="T408" s="71" t="s">
        <v>626</v>
      </c>
    </row>
    <row r="409" spans="1:20" ht="14" customHeight="1">
      <c r="A409" s="26" t="s">
        <v>174</v>
      </c>
      <c r="B409" s="26" t="s">
        <v>46</v>
      </c>
      <c r="C409" s="26" t="s">
        <v>518</v>
      </c>
      <c r="D409" s="25">
        <v>42909</v>
      </c>
      <c r="E409" s="19">
        <f t="shared" si="30"/>
        <v>2017</v>
      </c>
      <c r="F409" s="19">
        <f t="shared" si="31"/>
        <v>6</v>
      </c>
      <c r="G409" s="30">
        <f t="shared" si="32"/>
        <v>23</v>
      </c>
      <c r="H409" s="29" t="s">
        <v>287</v>
      </c>
      <c r="I409" s="22">
        <v>126.75166</v>
      </c>
      <c r="J409" s="22">
        <v>26.083169999999999</v>
      </c>
      <c r="K409" s="27">
        <v>10</v>
      </c>
      <c r="L409" s="27">
        <v>10</v>
      </c>
      <c r="M409" s="27" t="s">
        <v>287</v>
      </c>
      <c r="N409" s="21">
        <v>27.482700000000001</v>
      </c>
      <c r="O409" s="24">
        <v>34.1584</v>
      </c>
      <c r="P409" s="20">
        <v>4.8633168421052586E-2</v>
      </c>
      <c r="Q409" s="20">
        <v>0.34184681684210538</v>
      </c>
      <c r="R409" s="26" t="s">
        <v>279</v>
      </c>
      <c r="S409" s="26"/>
      <c r="T409" s="71" t="s">
        <v>626</v>
      </c>
    </row>
    <row r="410" spans="1:20" ht="14" customHeight="1">
      <c r="A410" s="26" t="s">
        <v>174</v>
      </c>
      <c r="B410" s="26" t="s">
        <v>47</v>
      </c>
      <c r="C410" s="26" t="s">
        <v>518</v>
      </c>
      <c r="D410" s="25">
        <v>42908</v>
      </c>
      <c r="E410" s="19">
        <f t="shared" si="30"/>
        <v>2017</v>
      </c>
      <c r="F410" s="19">
        <f t="shared" si="31"/>
        <v>6</v>
      </c>
      <c r="G410" s="30">
        <f t="shared" si="32"/>
        <v>22</v>
      </c>
      <c r="H410" s="29" t="s">
        <v>287</v>
      </c>
      <c r="I410" s="22">
        <v>126.0445</v>
      </c>
      <c r="J410" s="22">
        <v>26.533829999999998</v>
      </c>
      <c r="K410" s="27">
        <v>10</v>
      </c>
      <c r="L410" s="27">
        <v>10</v>
      </c>
      <c r="M410" s="27" t="s">
        <v>287</v>
      </c>
      <c r="N410" s="21">
        <v>28.55</v>
      </c>
      <c r="O410" s="24">
        <v>34.096200000000003</v>
      </c>
      <c r="P410" s="20">
        <v>2.9411610526315801E-2</v>
      </c>
      <c r="Q410" s="20">
        <v>0.13740529438596738</v>
      </c>
      <c r="R410" s="26" t="s">
        <v>279</v>
      </c>
      <c r="S410" s="26"/>
      <c r="T410" s="71" t="s">
        <v>626</v>
      </c>
    </row>
    <row r="411" spans="1:20" ht="14" customHeight="1">
      <c r="A411" s="26" t="s">
        <v>174</v>
      </c>
      <c r="B411" s="26" t="s">
        <v>47</v>
      </c>
      <c r="C411" s="26" t="s">
        <v>518</v>
      </c>
      <c r="D411" s="25">
        <v>42908</v>
      </c>
      <c r="E411" s="19">
        <f t="shared" si="30"/>
        <v>2017</v>
      </c>
      <c r="F411" s="19">
        <f t="shared" si="31"/>
        <v>6</v>
      </c>
      <c r="G411" s="30">
        <f t="shared" si="32"/>
        <v>22</v>
      </c>
      <c r="H411" s="29" t="s">
        <v>287</v>
      </c>
      <c r="I411" s="22">
        <v>126.0445</v>
      </c>
      <c r="J411" s="22">
        <v>26.533829999999998</v>
      </c>
      <c r="K411" s="27">
        <v>20</v>
      </c>
      <c r="L411" s="27">
        <v>20</v>
      </c>
      <c r="M411" s="27" t="s">
        <v>287</v>
      </c>
      <c r="N411" s="21">
        <v>28.421099999999999</v>
      </c>
      <c r="O411" s="24">
        <v>34.100299999999997</v>
      </c>
      <c r="P411" s="20">
        <v>-1.1616547368421326E-2</v>
      </c>
      <c r="Q411" s="20">
        <v>0.14814981192982479</v>
      </c>
      <c r="R411" s="26" t="s">
        <v>279</v>
      </c>
      <c r="S411" s="26"/>
      <c r="T411" s="71" t="s">
        <v>626</v>
      </c>
    </row>
    <row r="412" spans="1:20" ht="14" customHeight="1">
      <c r="A412" s="26" t="s">
        <v>174</v>
      </c>
      <c r="B412" s="26" t="s">
        <v>47</v>
      </c>
      <c r="C412" s="26" t="s">
        <v>518</v>
      </c>
      <c r="D412" s="25">
        <v>42908</v>
      </c>
      <c r="E412" s="19">
        <f t="shared" si="30"/>
        <v>2017</v>
      </c>
      <c r="F412" s="19">
        <f t="shared" si="31"/>
        <v>6</v>
      </c>
      <c r="G412" s="30">
        <f t="shared" si="32"/>
        <v>22</v>
      </c>
      <c r="H412" s="29" t="s">
        <v>287</v>
      </c>
      <c r="I412" s="22">
        <v>126.0445</v>
      </c>
      <c r="J412" s="22">
        <v>26.533829999999998</v>
      </c>
      <c r="K412" s="27">
        <v>30</v>
      </c>
      <c r="L412" s="27">
        <v>30</v>
      </c>
      <c r="M412" s="27" t="s">
        <v>287</v>
      </c>
      <c r="N412" s="21">
        <v>27.4603</v>
      </c>
      <c r="O412" s="24">
        <v>34.281399999999998</v>
      </c>
      <c r="P412" s="20">
        <v>7.4526494736842031E-2</v>
      </c>
      <c r="Q412" s="20">
        <v>0.6116081294736837</v>
      </c>
      <c r="R412" s="26" t="s">
        <v>279</v>
      </c>
      <c r="S412" s="26"/>
      <c r="T412" s="71" t="s">
        <v>626</v>
      </c>
    </row>
    <row r="413" spans="1:20" ht="14" customHeight="1">
      <c r="A413" s="26" t="s">
        <v>174</v>
      </c>
      <c r="B413" s="26" t="s">
        <v>48</v>
      </c>
      <c r="C413" s="26" t="s">
        <v>518</v>
      </c>
      <c r="D413" s="25">
        <v>42907</v>
      </c>
      <c r="E413" s="19">
        <f t="shared" si="30"/>
        <v>2017</v>
      </c>
      <c r="F413" s="19">
        <f t="shared" si="31"/>
        <v>6</v>
      </c>
      <c r="G413" s="30">
        <f t="shared" si="32"/>
        <v>21</v>
      </c>
      <c r="H413" s="29" t="s">
        <v>287</v>
      </c>
      <c r="I413" s="22">
        <v>125.461</v>
      </c>
      <c r="J413" s="22">
        <v>26.991669999999999</v>
      </c>
      <c r="K413" s="27">
        <v>10</v>
      </c>
      <c r="L413" s="27">
        <v>10</v>
      </c>
      <c r="M413" s="27" t="s">
        <v>287</v>
      </c>
      <c r="N413" s="21">
        <v>25.753</v>
      </c>
      <c r="O413" s="24">
        <v>34.016300000000001</v>
      </c>
      <c r="P413" s="20">
        <v>-5.0467263157894626E-2</v>
      </c>
      <c r="Q413" s="20">
        <v>-0.21957743298245447</v>
      </c>
      <c r="R413" s="26" t="s">
        <v>279</v>
      </c>
      <c r="S413" s="26"/>
      <c r="T413" s="71" t="s">
        <v>626</v>
      </c>
    </row>
    <row r="414" spans="1:20" ht="14" customHeight="1">
      <c r="A414" s="26" t="s">
        <v>174</v>
      </c>
      <c r="B414" s="26" t="s">
        <v>49</v>
      </c>
      <c r="C414" s="26" t="s">
        <v>518</v>
      </c>
      <c r="D414" s="25">
        <v>42907</v>
      </c>
      <c r="E414" s="19">
        <f t="shared" si="30"/>
        <v>2017</v>
      </c>
      <c r="F414" s="19">
        <f t="shared" si="31"/>
        <v>6</v>
      </c>
      <c r="G414" s="30">
        <f t="shared" si="32"/>
        <v>21</v>
      </c>
      <c r="H414" s="29" t="s">
        <v>287</v>
      </c>
      <c r="I414" s="22">
        <v>124.77533</v>
      </c>
      <c r="J414" s="22">
        <v>26.448830000000001</v>
      </c>
      <c r="K414" s="27">
        <v>10</v>
      </c>
      <c r="L414" s="27">
        <v>10</v>
      </c>
      <c r="M414" s="27" t="s">
        <v>287</v>
      </c>
      <c r="N414" s="21">
        <v>26.418500000000002</v>
      </c>
      <c r="O414" s="24">
        <v>33.9651</v>
      </c>
      <c r="P414" s="20">
        <v>-5.3638856470588525E-2</v>
      </c>
      <c r="Q414" s="20">
        <v>-9.9997694117646141E-2</v>
      </c>
      <c r="R414" s="26" t="s">
        <v>279</v>
      </c>
      <c r="S414" s="26"/>
      <c r="T414" s="71" t="s">
        <v>626</v>
      </c>
    </row>
    <row r="415" spans="1:20" ht="14" customHeight="1">
      <c r="A415" s="26" t="s">
        <v>174</v>
      </c>
      <c r="B415" s="26" t="s">
        <v>50</v>
      </c>
      <c r="C415" s="26" t="s">
        <v>518</v>
      </c>
      <c r="D415" s="25">
        <v>42906</v>
      </c>
      <c r="E415" s="19">
        <f t="shared" si="30"/>
        <v>2017</v>
      </c>
      <c r="F415" s="19">
        <f t="shared" si="31"/>
        <v>6</v>
      </c>
      <c r="G415" s="30">
        <f t="shared" si="32"/>
        <v>20</v>
      </c>
      <c r="H415" s="29" t="s">
        <v>287</v>
      </c>
      <c r="I415" s="22">
        <v>125.44117</v>
      </c>
      <c r="J415" s="22">
        <v>26.013829999999999</v>
      </c>
      <c r="K415" s="27">
        <v>10</v>
      </c>
      <c r="L415" s="27">
        <v>10</v>
      </c>
      <c r="M415" s="27" t="s">
        <v>287</v>
      </c>
      <c r="N415" s="21">
        <v>28.1722</v>
      </c>
      <c r="O415" s="24">
        <v>33.812100000000001</v>
      </c>
      <c r="P415" s="20">
        <v>-8.7703275294117811E-2</v>
      </c>
      <c r="Q415" s="20">
        <v>-0.35107905882352863</v>
      </c>
      <c r="R415" s="26" t="s">
        <v>279</v>
      </c>
      <c r="S415" s="26"/>
      <c r="T415" s="71" t="s">
        <v>626</v>
      </c>
    </row>
    <row r="416" spans="1:20" ht="14" customHeight="1">
      <c r="A416" s="26" t="s">
        <v>174</v>
      </c>
      <c r="B416" s="26" t="s">
        <v>50</v>
      </c>
      <c r="C416" s="26" t="s">
        <v>518</v>
      </c>
      <c r="D416" s="25">
        <v>42906</v>
      </c>
      <c r="E416" s="19">
        <f t="shared" si="30"/>
        <v>2017</v>
      </c>
      <c r="F416" s="19">
        <f t="shared" si="31"/>
        <v>6</v>
      </c>
      <c r="G416" s="30">
        <f t="shared" si="32"/>
        <v>20</v>
      </c>
      <c r="H416" s="29" t="s">
        <v>287</v>
      </c>
      <c r="I416" s="22">
        <v>125.44117</v>
      </c>
      <c r="J416" s="22">
        <v>26.013829999999999</v>
      </c>
      <c r="K416" s="27">
        <v>20</v>
      </c>
      <c r="L416" s="27">
        <v>20</v>
      </c>
      <c r="M416" s="27" t="s">
        <v>287</v>
      </c>
      <c r="N416" s="21">
        <v>28.206299999999999</v>
      </c>
      <c r="O416" s="24">
        <v>34.112400000000001</v>
      </c>
      <c r="P416" s="20">
        <v>5.9821585882352757E-2</v>
      </c>
      <c r="Q416" s="20">
        <v>0.28136477647058911</v>
      </c>
      <c r="R416" s="26" t="s">
        <v>279</v>
      </c>
      <c r="S416" s="26"/>
      <c r="T416" s="71" t="s">
        <v>626</v>
      </c>
    </row>
    <row r="417" spans="1:20" ht="14" customHeight="1">
      <c r="A417" s="26" t="s">
        <v>174</v>
      </c>
      <c r="B417" s="26" t="s">
        <v>50</v>
      </c>
      <c r="C417" s="26" t="s">
        <v>518</v>
      </c>
      <c r="D417" s="25">
        <v>42906</v>
      </c>
      <c r="E417" s="19">
        <f t="shared" si="30"/>
        <v>2017</v>
      </c>
      <c r="F417" s="19">
        <f t="shared" si="31"/>
        <v>6</v>
      </c>
      <c r="G417" s="30">
        <f t="shared" si="32"/>
        <v>20</v>
      </c>
      <c r="H417" s="29" t="s">
        <v>287</v>
      </c>
      <c r="I417" s="22">
        <v>125.44117</v>
      </c>
      <c r="J417" s="22">
        <v>26.013829999999999</v>
      </c>
      <c r="K417" s="27">
        <v>30</v>
      </c>
      <c r="L417" s="27">
        <v>30</v>
      </c>
      <c r="M417" s="27" t="s">
        <v>287</v>
      </c>
      <c r="N417" s="21">
        <v>28.167400000000001</v>
      </c>
      <c r="O417" s="24">
        <v>34.265999999999998</v>
      </c>
      <c r="P417" s="20">
        <v>0.16773804705882345</v>
      </c>
      <c r="Q417" s="20">
        <v>0.99635181176470766</v>
      </c>
      <c r="R417" s="26" t="s">
        <v>279</v>
      </c>
      <c r="S417" s="26"/>
      <c r="T417" s="71" t="s">
        <v>626</v>
      </c>
    </row>
    <row r="418" spans="1:20" ht="14" customHeight="1">
      <c r="A418" s="26" t="s">
        <v>174</v>
      </c>
      <c r="B418" s="26" t="s">
        <v>51</v>
      </c>
      <c r="C418" s="26" t="s">
        <v>518</v>
      </c>
      <c r="D418" s="25">
        <v>42904</v>
      </c>
      <c r="E418" s="19">
        <f t="shared" si="30"/>
        <v>2017</v>
      </c>
      <c r="F418" s="19">
        <f t="shared" si="31"/>
        <v>6</v>
      </c>
      <c r="G418" s="30">
        <f t="shared" si="32"/>
        <v>18</v>
      </c>
      <c r="H418" s="29" t="s">
        <v>287</v>
      </c>
      <c r="I418" s="22">
        <v>126.083</v>
      </c>
      <c r="J418" s="22">
        <v>25.548169999999999</v>
      </c>
      <c r="K418" s="27">
        <v>10</v>
      </c>
      <c r="L418" s="27">
        <v>10</v>
      </c>
      <c r="M418" s="27" t="s">
        <v>287</v>
      </c>
      <c r="N418" s="21">
        <v>26.7181</v>
      </c>
      <c r="O418" s="24">
        <v>34.591299999999997</v>
      </c>
      <c r="P418" s="20">
        <v>0.15906362823529374</v>
      </c>
      <c r="Q418" s="20">
        <v>1.2375956470588232</v>
      </c>
      <c r="R418" s="26" t="s">
        <v>279</v>
      </c>
      <c r="S418" s="26"/>
      <c r="T418" s="71" t="s">
        <v>626</v>
      </c>
    </row>
    <row r="419" spans="1:20" ht="14" customHeight="1">
      <c r="A419" s="26" t="s">
        <v>174</v>
      </c>
      <c r="B419" s="26" t="s">
        <v>52</v>
      </c>
      <c r="C419" s="26" t="s">
        <v>518</v>
      </c>
      <c r="D419" s="25">
        <v>42904</v>
      </c>
      <c r="E419" s="19">
        <f t="shared" si="30"/>
        <v>2017</v>
      </c>
      <c r="F419" s="19">
        <f t="shared" si="31"/>
        <v>6</v>
      </c>
      <c r="G419" s="30">
        <f t="shared" si="32"/>
        <v>18</v>
      </c>
      <c r="H419" s="29" t="s">
        <v>287</v>
      </c>
      <c r="I419" s="22">
        <v>126.73350000000001</v>
      </c>
      <c r="J419" s="22">
        <v>25.11467</v>
      </c>
      <c r="K419" s="27">
        <v>10</v>
      </c>
      <c r="L419" s="27">
        <v>10</v>
      </c>
      <c r="M419" s="27" t="s">
        <v>287</v>
      </c>
      <c r="N419" s="21">
        <v>27.9284</v>
      </c>
      <c r="O419" s="24">
        <v>34.517699999999998</v>
      </c>
      <c r="P419" s="20">
        <v>0.20279416941176476</v>
      </c>
      <c r="Q419" s="20">
        <v>1.3826042823529434</v>
      </c>
      <c r="R419" s="26" t="s">
        <v>279</v>
      </c>
      <c r="S419" s="26"/>
      <c r="T419" s="71" t="s">
        <v>626</v>
      </c>
    </row>
    <row r="420" spans="1:20" ht="14" customHeight="1">
      <c r="A420" s="26" t="s">
        <v>174</v>
      </c>
      <c r="B420" s="26" t="s">
        <v>53</v>
      </c>
      <c r="C420" s="26" t="s">
        <v>518</v>
      </c>
      <c r="D420" s="25">
        <v>42902</v>
      </c>
      <c r="E420" s="19">
        <f t="shared" si="30"/>
        <v>2017</v>
      </c>
      <c r="F420" s="19">
        <f t="shared" si="31"/>
        <v>6</v>
      </c>
      <c r="G420" s="30">
        <f t="shared" si="32"/>
        <v>16</v>
      </c>
      <c r="H420" s="29" t="s">
        <v>287</v>
      </c>
      <c r="I420" s="22">
        <v>127.40349999999999</v>
      </c>
      <c r="J420" s="22">
        <v>25.65483</v>
      </c>
      <c r="K420" s="27">
        <v>10</v>
      </c>
      <c r="L420" s="27">
        <v>10</v>
      </c>
      <c r="M420" s="27" t="s">
        <v>287</v>
      </c>
      <c r="N420" s="21">
        <v>27.037800000000001</v>
      </c>
      <c r="O420" s="24">
        <v>34.404499999999999</v>
      </c>
      <c r="P420" s="20">
        <v>0.1579643905882353</v>
      </c>
      <c r="Q420" s="20">
        <v>0.87782971764706019</v>
      </c>
      <c r="R420" s="26" t="s">
        <v>279</v>
      </c>
      <c r="S420" s="26"/>
      <c r="T420" s="71" t="s">
        <v>626</v>
      </c>
    </row>
    <row r="421" spans="1:20" ht="14" customHeight="1">
      <c r="A421" s="19" t="s">
        <v>392</v>
      </c>
      <c r="B421" s="19" t="s">
        <v>342</v>
      </c>
      <c r="C421" s="19" t="s">
        <v>518</v>
      </c>
      <c r="D421" s="34">
        <v>43275</v>
      </c>
      <c r="E421" s="19">
        <v>2018</v>
      </c>
      <c r="F421" s="19">
        <v>6</v>
      </c>
      <c r="G421" s="30">
        <v>24</v>
      </c>
      <c r="H421" s="29">
        <v>0.81535879629629626</v>
      </c>
      <c r="I421" s="35">
        <v>127.17033333333333</v>
      </c>
      <c r="J421" s="35">
        <v>24.801666666666666</v>
      </c>
      <c r="K421" s="28">
        <v>10</v>
      </c>
      <c r="L421" s="28">
        <v>10</v>
      </c>
      <c r="M421" s="28">
        <v>0</v>
      </c>
      <c r="N421" s="36">
        <v>29.308399999999999</v>
      </c>
      <c r="O421" s="35">
        <v>34.572499999999998</v>
      </c>
      <c r="P421" s="20">
        <v>0.17896527058823497</v>
      </c>
      <c r="Q421" s="20">
        <v>1.3022019576470587</v>
      </c>
      <c r="R421" s="26" t="s">
        <v>393</v>
      </c>
      <c r="S421" s="26"/>
      <c r="T421" s="71" t="s">
        <v>626</v>
      </c>
    </row>
    <row r="422" spans="1:20" ht="14" customHeight="1">
      <c r="A422" s="19" t="s">
        <v>392</v>
      </c>
      <c r="B422" s="19" t="s">
        <v>343</v>
      </c>
      <c r="C422" s="19" t="s">
        <v>518</v>
      </c>
      <c r="D422" s="34">
        <v>43275</v>
      </c>
      <c r="E422" s="19">
        <v>2018</v>
      </c>
      <c r="F422" s="19">
        <v>6</v>
      </c>
      <c r="G422" s="30">
        <v>24</v>
      </c>
      <c r="H422" s="29">
        <v>0.9434027777777777</v>
      </c>
      <c r="I422" s="35">
        <v>126.949</v>
      </c>
      <c r="J422" s="35">
        <v>24.95</v>
      </c>
      <c r="K422" s="28">
        <v>10</v>
      </c>
      <c r="L422" s="28">
        <v>10</v>
      </c>
      <c r="M422" s="28">
        <v>0</v>
      </c>
      <c r="N422" s="36">
        <v>28.894100000000002</v>
      </c>
      <c r="O422" s="35">
        <v>34.590899999999998</v>
      </c>
      <c r="P422" s="20">
        <v>0.19280896470588238</v>
      </c>
      <c r="Q422" s="20">
        <v>1.1650513411764702</v>
      </c>
      <c r="R422" s="26" t="s">
        <v>393</v>
      </c>
      <c r="S422" s="26"/>
      <c r="T422" s="71" t="s">
        <v>626</v>
      </c>
    </row>
    <row r="423" spans="1:20" ht="14" customHeight="1">
      <c r="A423" s="19" t="s">
        <v>392</v>
      </c>
      <c r="B423" s="19" t="s">
        <v>344</v>
      </c>
      <c r="C423" s="19" t="s">
        <v>518</v>
      </c>
      <c r="D423" s="34">
        <v>43276</v>
      </c>
      <c r="E423" s="19">
        <v>2018</v>
      </c>
      <c r="F423" s="19">
        <v>6</v>
      </c>
      <c r="G423" s="30">
        <v>25</v>
      </c>
      <c r="H423" s="29">
        <v>0.15736111111111112</v>
      </c>
      <c r="I423" s="35">
        <v>126.73533333333333</v>
      </c>
      <c r="J423" s="35">
        <v>25.11</v>
      </c>
      <c r="K423" s="28">
        <v>10</v>
      </c>
      <c r="L423" s="28">
        <v>10</v>
      </c>
      <c r="M423" s="28">
        <v>0</v>
      </c>
      <c r="N423" s="36">
        <v>28.7241</v>
      </c>
      <c r="O423" s="35">
        <v>34.544600000000003</v>
      </c>
      <c r="P423" s="20">
        <v>0.21123725882352917</v>
      </c>
      <c r="Q423" s="20">
        <v>1.1626318980392156</v>
      </c>
      <c r="R423" s="26" t="s">
        <v>393</v>
      </c>
      <c r="S423" s="26"/>
      <c r="T423" s="71" t="s">
        <v>626</v>
      </c>
    </row>
    <row r="424" spans="1:20" ht="14" customHeight="1">
      <c r="A424" s="19" t="s">
        <v>392</v>
      </c>
      <c r="B424" s="19" t="s">
        <v>345</v>
      </c>
      <c r="C424" s="19" t="s">
        <v>518</v>
      </c>
      <c r="D424" s="34">
        <v>43276</v>
      </c>
      <c r="E424" s="19">
        <v>2018</v>
      </c>
      <c r="F424" s="19">
        <v>6</v>
      </c>
      <c r="G424" s="30">
        <v>25</v>
      </c>
      <c r="H424" s="29">
        <v>0.81649305555555562</v>
      </c>
      <c r="I424" s="35">
        <v>126.51683333333334</v>
      </c>
      <c r="J424" s="35">
        <v>25.251666666666665</v>
      </c>
      <c r="K424" s="28">
        <v>10</v>
      </c>
      <c r="L424" s="28">
        <v>10</v>
      </c>
      <c r="M424" s="28">
        <v>0</v>
      </c>
      <c r="N424" s="36">
        <v>28.8721</v>
      </c>
      <c r="O424" s="35">
        <v>34.570599999999999</v>
      </c>
      <c r="P424" s="20">
        <v>0.22151515294117696</v>
      </c>
      <c r="Q424" s="20">
        <v>1.2368365082352941</v>
      </c>
      <c r="R424" s="26" t="s">
        <v>393</v>
      </c>
      <c r="S424" s="26"/>
      <c r="T424" s="71" t="s">
        <v>626</v>
      </c>
    </row>
    <row r="425" spans="1:20" ht="14" customHeight="1">
      <c r="A425" s="19" t="s">
        <v>392</v>
      </c>
      <c r="B425" s="19" t="s">
        <v>346</v>
      </c>
      <c r="C425" s="19" t="s">
        <v>518</v>
      </c>
      <c r="D425" s="34">
        <v>43276</v>
      </c>
      <c r="E425" s="19">
        <v>2018</v>
      </c>
      <c r="F425" s="19">
        <v>6</v>
      </c>
      <c r="G425" s="30">
        <v>25</v>
      </c>
      <c r="H425" s="29">
        <v>0.92693287037037031</v>
      </c>
      <c r="I425" s="35">
        <v>126.30533333333334</v>
      </c>
      <c r="J425" s="35">
        <v>25.398333333333333</v>
      </c>
      <c r="K425" s="28">
        <v>10</v>
      </c>
      <c r="L425" s="28">
        <v>10</v>
      </c>
      <c r="M425" s="28">
        <v>0</v>
      </c>
      <c r="N425" s="36">
        <v>27.941600000000001</v>
      </c>
      <c r="O425" s="35">
        <v>34.723799999999997</v>
      </c>
      <c r="P425" s="20">
        <v>0.26979428705882413</v>
      </c>
      <c r="Q425" s="20">
        <v>1.4843137317647059</v>
      </c>
      <c r="R425" s="26" t="s">
        <v>393</v>
      </c>
      <c r="S425" s="26"/>
      <c r="T425" s="71" t="s">
        <v>626</v>
      </c>
    </row>
    <row r="426" spans="1:20" ht="14" customHeight="1">
      <c r="A426" s="19" t="s">
        <v>392</v>
      </c>
      <c r="B426" s="19" t="s">
        <v>347</v>
      </c>
      <c r="C426" s="19" t="s">
        <v>518</v>
      </c>
      <c r="D426" s="34">
        <v>43277</v>
      </c>
      <c r="E426" s="19">
        <v>2018</v>
      </c>
      <c r="F426" s="19">
        <v>6</v>
      </c>
      <c r="G426" s="30">
        <v>26</v>
      </c>
      <c r="H426" s="29">
        <v>0.13715277777777776</v>
      </c>
      <c r="I426" s="35">
        <v>126.07850000000001</v>
      </c>
      <c r="J426" s="35">
        <v>25.551666666666666</v>
      </c>
      <c r="K426" s="28">
        <v>10</v>
      </c>
      <c r="L426" s="28">
        <v>10</v>
      </c>
      <c r="M426" s="28">
        <v>0</v>
      </c>
      <c r="N426" s="36">
        <v>27.7531</v>
      </c>
      <c r="O426" s="35">
        <v>34.628</v>
      </c>
      <c r="P426" s="20">
        <v>0.27609886117647098</v>
      </c>
      <c r="Q426" s="20">
        <v>1.4647538352941147</v>
      </c>
      <c r="R426" s="26" t="s">
        <v>393</v>
      </c>
      <c r="S426" s="26"/>
      <c r="T426" s="71" t="s">
        <v>626</v>
      </c>
    </row>
    <row r="427" spans="1:20" ht="14" customHeight="1">
      <c r="A427" s="19" t="s">
        <v>392</v>
      </c>
      <c r="B427" s="19" t="s">
        <v>348</v>
      </c>
      <c r="C427" s="19" t="s">
        <v>518</v>
      </c>
      <c r="D427" s="34">
        <v>43277</v>
      </c>
      <c r="E427" s="19">
        <v>2018</v>
      </c>
      <c r="F427" s="19">
        <v>6</v>
      </c>
      <c r="G427" s="30">
        <v>26</v>
      </c>
      <c r="H427" s="29">
        <v>0.81232638888888886</v>
      </c>
      <c r="I427" s="35">
        <v>125.86450000000001</v>
      </c>
      <c r="J427" s="35">
        <v>25.7</v>
      </c>
      <c r="K427" s="28">
        <v>10</v>
      </c>
      <c r="L427" s="28">
        <v>10</v>
      </c>
      <c r="M427" s="28">
        <v>0</v>
      </c>
      <c r="N427" s="36">
        <v>27.816800000000001</v>
      </c>
      <c r="O427" s="35">
        <v>34.693199999999997</v>
      </c>
      <c r="P427" s="20">
        <v>0.27995831529411741</v>
      </c>
      <c r="Q427" s="20">
        <v>1.569470418823526</v>
      </c>
      <c r="R427" s="26" t="s">
        <v>393</v>
      </c>
      <c r="S427" s="26"/>
      <c r="T427" s="71" t="s">
        <v>626</v>
      </c>
    </row>
    <row r="428" spans="1:20" ht="14" customHeight="1">
      <c r="A428" s="19" t="s">
        <v>392</v>
      </c>
      <c r="B428" s="19" t="s">
        <v>349</v>
      </c>
      <c r="C428" s="19" t="s">
        <v>518</v>
      </c>
      <c r="D428" s="34">
        <v>43278</v>
      </c>
      <c r="E428" s="19">
        <v>2018</v>
      </c>
      <c r="F428" s="19">
        <v>6</v>
      </c>
      <c r="G428" s="30">
        <v>27</v>
      </c>
      <c r="H428" s="29">
        <v>1.3368055555555557E-2</v>
      </c>
      <c r="I428" s="35">
        <v>125.646</v>
      </c>
      <c r="J428" s="35">
        <v>25.906666666666666</v>
      </c>
      <c r="K428" s="28">
        <v>10</v>
      </c>
      <c r="L428" s="28">
        <v>10</v>
      </c>
      <c r="M428" s="28">
        <v>0</v>
      </c>
      <c r="N428" s="36">
        <v>28.211099999999998</v>
      </c>
      <c r="O428" s="35">
        <v>34.537599999999998</v>
      </c>
      <c r="P428" s="20">
        <v>0.25301405176470548</v>
      </c>
      <c r="Q428" s="20">
        <v>1.3290028329411747</v>
      </c>
      <c r="R428" s="26" t="s">
        <v>393</v>
      </c>
      <c r="S428" s="26"/>
      <c r="T428" s="71" t="s">
        <v>626</v>
      </c>
    </row>
    <row r="429" spans="1:20" ht="14" customHeight="1">
      <c r="A429" s="19" t="s">
        <v>392</v>
      </c>
      <c r="B429" s="19" t="s">
        <v>350</v>
      </c>
      <c r="C429" s="19" t="s">
        <v>518</v>
      </c>
      <c r="D429" s="34">
        <v>43278</v>
      </c>
      <c r="E429" s="19">
        <v>2018</v>
      </c>
      <c r="F429" s="19">
        <v>6</v>
      </c>
      <c r="G429" s="30">
        <v>27</v>
      </c>
      <c r="H429" s="29">
        <v>0.12446759259259259</v>
      </c>
      <c r="I429" s="35">
        <v>125.43899999999999</v>
      </c>
      <c r="J429" s="35">
        <v>26.01</v>
      </c>
      <c r="K429" s="28">
        <v>10</v>
      </c>
      <c r="L429" s="28">
        <v>10</v>
      </c>
      <c r="M429" s="28">
        <v>0</v>
      </c>
      <c r="N429" s="36">
        <v>28.781300000000002</v>
      </c>
      <c r="O429" s="35">
        <v>34.009</v>
      </c>
      <c r="P429" s="20">
        <v>4.3944305882352763E-2</v>
      </c>
      <c r="Q429" s="20">
        <v>5.4289816470589614E-2</v>
      </c>
      <c r="R429" s="26" t="s">
        <v>393</v>
      </c>
      <c r="S429" s="26"/>
      <c r="T429" s="71" t="s">
        <v>626</v>
      </c>
    </row>
    <row r="430" spans="1:20" ht="14" customHeight="1">
      <c r="A430" s="19" t="s">
        <v>392</v>
      </c>
      <c r="B430" s="19" t="s">
        <v>48</v>
      </c>
      <c r="C430" s="19" t="s">
        <v>518</v>
      </c>
      <c r="D430" s="34">
        <v>43279</v>
      </c>
      <c r="E430" s="19">
        <v>2018</v>
      </c>
      <c r="F430" s="19">
        <v>6</v>
      </c>
      <c r="G430" s="30">
        <v>28</v>
      </c>
      <c r="H430" s="29">
        <v>0.80182870370370374</v>
      </c>
      <c r="I430" s="35">
        <v>125.4495</v>
      </c>
      <c r="J430" s="35">
        <v>26.983333333333334</v>
      </c>
      <c r="K430" s="28">
        <v>10</v>
      </c>
      <c r="L430" s="28">
        <v>10</v>
      </c>
      <c r="M430" s="28">
        <v>0</v>
      </c>
      <c r="N430" s="36">
        <v>28.038699999999999</v>
      </c>
      <c r="O430" s="35">
        <v>34.199300000000001</v>
      </c>
      <c r="P430" s="20">
        <v>8.5295599999999583E-2</v>
      </c>
      <c r="Q430" s="20">
        <v>0.29173839999999807</v>
      </c>
      <c r="R430" s="26" t="s">
        <v>393</v>
      </c>
      <c r="S430" s="26"/>
      <c r="T430" s="71" t="s">
        <v>626</v>
      </c>
    </row>
    <row r="431" spans="1:20" ht="14" customHeight="1">
      <c r="A431" s="19" t="s">
        <v>392</v>
      </c>
      <c r="B431" s="19" t="s">
        <v>351</v>
      </c>
      <c r="C431" s="19" t="s">
        <v>518</v>
      </c>
      <c r="D431" s="34">
        <v>43279</v>
      </c>
      <c r="E431" s="19">
        <v>2018</v>
      </c>
      <c r="F431" s="19">
        <v>6</v>
      </c>
      <c r="G431" s="30">
        <v>28</v>
      </c>
      <c r="H431" s="29">
        <v>0.9272800925925927</v>
      </c>
      <c r="I431" s="35">
        <v>125.66783333333333</v>
      </c>
      <c r="J431" s="35">
        <v>26.833333333333332</v>
      </c>
      <c r="K431" s="28">
        <v>10</v>
      </c>
      <c r="L431" s="28">
        <v>10</v>
      </c>
      <c r="M431" s="28">
        <v>0</v>
      </c>
      <c r="N431" s="36">
        <v>28.645099999999999</v>
      </c>
      <c r="O431" s="35">
        <v>34.075899999999997</v>
      </c>
      <c r="P431" s="20">
        <v>5.9745694117646631E-2</v>
      </c>
      <c r="Q431" s="20">
        <v>5.0073623529408806E-2</v>
      </c>
      <c r="R431" s="26" t="s">
        <v>393</v>
      </c>
      <c r="S431" s="26"/>
      <c r="T431" s="71" t="s">
        <v>626</v>
      </c>
    </row>
    <row r="432" spans="1:20" ht="14" customHeight="1">
      <c r="A432" s="19" t="s">
        <v>392</v>
      </c>
      <c r="B432" s="19" t="s">
        <v>352</v>
      </c>
      <c r="C432" s="19" t="s">
        <v>518</v>
      </c>
      <c r="D432" s="34">
        <v>43280</v>
      </c>
      <c r="E432" s="19">
        <v>2018</v>
      </c>
      <c r="F432" s="19">
        <v>6</v>
      </c>
      <c r="G432" s="30">
        <v>29</v>
      </c>
      <c r="H432" s="29">
        <v>0.16109953703703703</v>
      </c>
      <c r="I432" s="35">
        <v>125.886</v>
      </c>
      <c r="J432" s="35">
        <v>26.698333333333334</v>
      </c>
      <c r="K432" s="28">
        <v>10</v>
      </c>
      <c r="L432" s="28">
        <v>10</v>
      </c>
      <c r="M432" s="28">
        <v>0</v>
      </c>
      <c r="N432" s="36">
        <v>28.726700000000001</v>
      </c>
      <c r="O432" s="35">
        <v>33.854599999999998</v>
      </c>
      <c r="P432" s="20">
        <v>-9.4428117647060716E-3</v>
      </c>
      <c r="Q432" s="20">
        <v>-0.43886595294117647</v>
      </c>
      <c r="R432" s="26" t="s">
        <v>393</v>
      </c>
      <c r="S432" s="26"/>
      <c r="T432" s="71" t="s">
        <v>626</v>
      </c>
    </row>
    <row r="433" spans="1:20" ht="14" customHeight="1">
      <c r="A433" s="19" t="s">
        <v>392</v>
      </c>
      <c r="B433" s="19" t="s">
        <v>47</v>
      </c>
      <c r="C433" s="19" t="s">
        <v>518</v>
      </c>
      <c r="D433" s="34">
        <v>43279</v>
      </c>
      <c r="E433" s="19">
        <v>2018</v>
      </c>
      <c r="F433" s="19">
        <v>6</v>
      </c>
      <c r="G433" s="30">
        <v>28</v>
      </c>
      <c r="H433" s="29">
        <v>0.13462962962962963</v>
      </c>
      <c r="I433" s="35">
        <v>126.10966666666667</v>
      </c>
      <c r="J433" s="35">
        <v>26.548333333333332</v>
      </c>
      <c r="K433" s="28">
        <v>10</v>
      </c>
      <c r="L433" s="28">
        <v>10</v>
      </c>
      <c r="M433" s="28">
        <v>0</v>
      </c>
      <c r="N433" s="36">
        <v>28.422599999999999</v>
      </c>
      <c r="O433" s="35">
        <v>34.532200000000003</v>
      </c>
      <c r="P433" s="20">
        <v>0.20140284235294126</v>
      </c>
      <c r="Q433" s="20">
        <v>1.036923030588234</v>
      </c>
      <c r="R433" s="26" t="s">
        <v>393</v>
      </c>
      <c r="S433" s="26"/>
      <c r="T433" s="71" t="s">
        <v>626</v>
      </c>
    </row>
    <row r="434" spans="1:20" ht="14" customHeight="1">
      <c r="A434" s="19" t="s">
        <v>392</v>
      </c>
      <c r="B434" s="19" t="s">
        <v>353</v>
      </c>
      <c r="C434" s="19" t="s">
        <v>518</v>
      </c>
      <c r="D434" s="34">
        <v>43278</v>
      </c>
      <c r="E434" s="19">
        <v>2018</v>
      </c>
      <c r="F434" s="19">
        <v>6</v>
      </c>
      <c r="G434" s="30">
        <v>27</v>
      </c>
      <c r="H434" s="29">
        <v>0.93130787037037033</v>
      </c>
      <c r="I434" s="35">
        <v>126.31383333333333</v>
      </c>
      <c r="J434" s="35">
        <v>26.385000000000002</v>
      </c>
      <c r="K434" s="28">
        <v>10</v>
      </c>
      <c r="L434" s="28">
        <v>10</v>
      </c>
      <c r="M434" s="28">
        <v>0</v>
      </c>
      <c r="N434" s="36">
        <v>29.1403</v>
      </c>
      <c r="O434" s="35">
        <v>34.226999999999997</v>
      </c>
      <c r="P434" s="20">
        <v>0.21382021647058758</v>
      </c>
      <c r="Q434" s="20">
        <v>0.79142377411764642</v>
      </c>
      <c r="R434" s="26" t="s">
        <v>393</v>
      </c>
      <c r="S434" s="26"/>
      <c r="T434" s="71" t="s">
        <v>626</v>
      </c>
    </row>
    <row r="435" spans="1:20" ht="14" customHeight="1">
      <c r="A435" s="19" t="s">
        <v>392</v>
      </c>
      <c r="B435" s="19" t="s">
        <v>354</v>
      </c>
      <c r="C435" s="19" t="s">
        <v>518</v>
      </c>
      <c r="D435" s="34">
        <v>43278</v>
      </c>
      <c r="E435" s="19">
        <v>2018</v>
      </c>
      <c r="F435" s="19">
        <v>6</v>
      </c>
      <c r="G435" s="30">
        <v>27</v>
      </c>
      <c r="H435" s="29">
        <v>0.81260416666666668</v>
      </c>
      <c r="I435" s="35">
        <v>126.53183333333334</v>
      </c>
      <c r="J435" s="35">
        <v>26.233333333333334</v>
      </c>
      <c r="K435" s="28">
        <v>10</v>
      </c>
      <c r="L435" s="28">
        <v>10</v>
      </c>
      <c r="M435" s="28">
        <v>0</v>
      </c>
      <c r="N435" s="36">
        <v>29.3461</v>
      </c>
      <c r="O435" s="35">
        <v>34.212800000000001</v>
      </c>
      <c r="P435" s="20">
        <v>0.1225237505882355</v>
      </c>
      <c r="Q435" s="20">
        <v>0.65938579764705807</v>
      </c>
      <c r="R435" s="26" t="s">
        <v>393</v>
      </c>
      <c r="S435" s="26"/>
      <c r="T435" s="71" t="s">
        <v>626</v>
      </c>
    </row>
    <row r="436" spans="1:20" ht="14" customHeight="1">
      <c r="A436" s="19" t="s">
        <v>392</v>
      </c>
      <c r="B436" s="19" t="s">
        <v>46</v>
      </c>
      <c r="C436" s="19" t="s">
        <v>518</v>
      </c>
      <c r="D436" s="34">
        <v>43272</v>
      </c>
      <c r="E436" s="19">
        <v>2018</v>
      </c>
      <c r="F436" s="19">
        <v>6</v>
      </c>
      <c r="G436" s="30">
        <v>21</v>
      </c>
      <c r="H436" s="29">
        <v>0.81171296296296302</v>
      </c>
      <c r="I436" s="35">
        <v>126.75149999999999</v>
      </c>
      <c r="J436" s="35">
        <v>26.08</v>
      </c>
      <c r="K436" s="28">
        <v>10</v>
      </c>
      <c r="L436" s="28">
        <v>10</v>
      </c>
      <c r="M436" s="28">
        <v>0</v>
      </c>
      <c r="N436" s="36">
        <v>27.138200000000001</v>
      </c>
      <c r="O436" s="35">
        <v>34.690300000000001</v>
      </c>
      <c r="P436" s="20">
        <v>0.30289891176470629</v>
      </c>
      <c r="Q436" s="20">
        <v>1.6045837823529414</v>
      </c>
      <c r="R436" s="26" t="s">
        <v>393</v>
      </c>
      <c r="S436" s="26"/>
      <c r="T436" s="71" t="s">
        <v>626</v>
      </c>
    </row>
    <row r="437" spans="1:20" ht="14" customHeight="1">
      <c r="A437" s="19" t="s">
        <v>392</v>
      </c>
      <c r="B437" s="19" t="s">
        <v>355</v>
      </c>
      <c r="C437" s="19" t="s">
        <v>518</v>
      </c>
      <c r="D437" s="34">
        <v>43272</v>
      </c>
      <c r="E437" s="19">
        <v>2018</v>
      </c>
      <c r="F437" s="19">
        <v>6</v>
      </c>
      <c r="G437" s="30">
        <v>21</v>
      </c>
      <c r="H437" s="29">
        <v>0.92976851851851849</v>
      </c>
      <c r="I437" s="35">
        <v>126.96899999999999</v>
      </c>
      <c r="J437" s="35">
        <v>25.931666666666665</v>
      </c>
      <c r="K437" s="28">
        <v>10</v>
      </c>
      <c r="L437" s="28">
        <v>10</v>
      </c>
      <c r="M437" s="28">
        <v>0</v>
      </c>
      <c r="N437" s="36">
        <v>27.532499999999999</v>
      </c>
      <c r="O437" s="35">
        <v>34.651400000000002</v>
      </c>
      <c r="P437" s="20">
        <v>0.28646329411764748</v>
      </c>
      <c r="Q437" s="20">
        <v>1.5106247588235284</v>
      </c>
      <c r="R437" s="26" t="s">
        <v>393</v>
      </c>
      <c r="S437" s="26"/>
      <c r="T437" s="71" t="s">
        <v>626</v>
      </c>
    </row>
    <row r="438" spans="1:20" ht="14" customHeight="1">
      <c r="A438" s="19" t="s">
        <v>392</v>
      </c>
      <c r="B438" s="19" t="s">
        <v>356</v>
      </c>
      <c r="C438" s="19" t="s">
        <v>518</v>
      </c>
      <c r="D438" s="34">
        <v>43273</v>
      </c>
      <c r="E438" s="19">
        <v>2018</v>
      </c>
      <c r="F438" s="19">
        <v>6</v>
      </c>
      <c r="G438" s="30">
        <v>22</v>
      </c>
      <c r="H438" s="29">
        <v>0.13475694444444444</v>
      </c>
      <c r="I438" s="35">
        <v>127.18633333333334</v>
      </c>
      <c r="J438" s="35">
        <v>25.791666666666668</v>
      </c>
      <c r="K438" s="28">
        <v>10</v>
      </c>
      <c r="L438" s="28">
        <v>10</v>
      </c>
      <c r="M438" s="28">
        <v>0</v>
      </c>
      <c r="N438" s="36">
        <v>27.8934</v>
      </c>
      <c r="O438" s="35">
        <v>34.634500000000003</v>
      </c>
      <c r="P438" s="20">
        <v>0.30523317647058867</v>
      </c>
      <c r="Q438" s="20">
        <v>1.5243007352941209</v>
      </c>
      <c r="R438" s="26" t="s">
        <v>393</v>
      </c>
      <c r="S438" s="26"/>
      <c r="T438" s="71" t="s">
        <v>626</v>
      </c>
    </row>
    <row r="439" spans="1:20" ht="14" customHeight="1">
      <c r="A439" s="19" t="s">
        <v>392</v>
      </c>
      <c r="B439" s="19" t="s">
        <v>53</v>
      </c>
      <c r="C439" s="19" t="s">
        <v>518</v>
      </c>
      <c r="D439" s="34">
        <v>43275</v>
      </c>
      <c r="E439" s="19">
        <v>2018</v>
      </c>
      <c r="F439" s="19">
        <v>6</v>
      </c>
      <c r="G439" s="30">
        <v>24</v>
      </c>
      <c r="H439" s="29">
        <v>0.16796296296296298</v>
      </c>
      <c r="I439" s="35">
        <v>127.438</v>
      </c>
      <c r="J439" s="35">
        <v>25.664999999999999</v>
      </c>
      <c r="K439" s="28">
        <v>10</v>
      </c>
      <c r="L439" s="28">
        <v>10</v>
      </c>
      <c r="M439" s="28">
        <v>0</v>
      </c>
      <c r="N439" s="36">
        <v>27.9754</v>
      </c>
      <c r="O439" s="35">
        <v>34.734099999999998</v>
      </c>
      <c r="P439" s="20">
        <v>0.30161805882352954</v>
      </c>
      <c r="Q439" s="20">
        <v>1.60275341176471</v>
      </c>
      <c r="R439" s="26" t="s">
        <v>393</v>
      </c>
      <c r="S439" s="26"/>
      <c r="T439" s="71" t="s">
        <v>626</v>
      </c>
    </row>
    <row r="440" spans="1:20" ht="14" customHeight="1">
      <c r="A440" s="19" t="s">
        <v>392</v>
      </c>
      <c r="B440" s="19" t="s">
        <v>357</v>
      </c>
      <c r="C440" s="19" t="s">
        <v>518</v>
      </c>
      <c r="D440" s="34">
        <v>43274</v>
      </c>
      <c r="E440" s="19">
        <v>2018</v>
      </c>
      <c r="F440" s="19">
        <v>6</v>
      </c>
      <c r="G440" s="30">
        <v>23</v>
      </c>
      <c r="H440" s="29">
        <v>0.94238425925925917</v>
      </c>
      <c r="I440" s="35">
        <v>127.62</v>
      </c>
      <c r="J440" s="35">
        <v>25.481666666666666</v>
      </c>
      <c r="K440" s="28">
        <v>10</v>
      </c>
      <c r="L440" s="28">
        <v>10</v>
      </c>
      <c r="M440" s="28">
        <v>0</v>
      </c>
      <c r="N440" s="36">
        <v>28.522600000000001</v>
      </c>
      <c r="O440" s="35">
        <v>34.580199999999998</v>
      </c>
      <c r="P440" s="20">
        <v>0.24916294117647064</v>
      </c>
      <c r="Q440" s="20">
        <v>1.4185766882352944</v>
      </c>
      <c r="R440" s="26" t="s">
        <v>393</v>
      </c>
      <c r="S440" s="26"/>
      <c r="T440" s="71" t="s">
        <v>626</v>
      </c>
    </row>
    <row r="441" spans="1:20" ht="14" customHeight="1">
      <c r="A441" s="19" t="s">
        <v>392</v>
      </c>
      <c r="B441" s="19" t="s">
        <v>358</v>
      </c>
      <c r="C441" s="19" t="s">
        <v>518</v>
      </c>
      <c r="D441" s="34">
        <v>43274</v>
      </c>
      <c r="E441" s="19">
        <v>2018</v>
      </c>
      <c r="F441" s="19">
        <v>6</v>
      </c>
      <c r="G441" s="30">
        <v>23</v>
      </c>
      <c r="H441" s="29">
        <v>0.81056712962962962</v>
      </c>
      <c r="I441" s="35">
        <v>127.83499999999999</v>
      </c>
      <c r="J441" s="35">
        <v>25.331666666666667</v>
      </c>
      <c r="K441" s="28">
        <v>10</v>
      </c>
      <c r="L441" s="28">
        <v>10</v>
      </c>
      <c r="M441" s="28">
        <v>0</v>
      </c>
      <c r="N441" s="36">
        <v>28.718699999999998</v>
      </c>
      <c r="O441" s="35">
        <v>34.505499999999998</v>
      </c>
      <c r="P441" s="20">
        <v>0.27810782352941166</v>
      </c>
      <c r="Q441" s="20">
        <v>1.3758910647058844</v>
      </c>
      <c r="R441" s="26" t="s">
        <v>393</v>
      </c>
      <c r="S441" s="26"/>
      <c r="T441" s="71" t="s">
        <v>626</v>
      </c>
    </row>
    <row r="442" spans="1:20" ht="14" customHeight="1">
      <c r="A442" s="19" t="s">
        <v>392</v>
      </c>
      <c r="B442" s="19" t="s">
        <v>359</v>
      </c>
      <c r="C442" s="19" t="s">
        <v>518</v>
      </c>
      <c r="D442" s="34">
        <v>43271</v>
      </c>
      <c r="E442" s="19">
        <v>2018</v>
      </c>
      <c r="F442" s="19">
        <v>6</v>
      </c>
      <c r="G442" s="30">
        <v>20</v>
      </c>
      <c r="H442" s="29">
        <v>0.8143287037037038</v>
      </c>
      <c r="I442" s="35">
        <v>127.6195</v>
      </c>
      <c r="J442" s="35">
        <v>26.483333333333334</v>
      </c>
      <c r="K442" s="28">
        <v>10</v>
      </c>
      <c r="L442" s="28">
        <v>10</v>
      </c>
      <c r="M442" s="28">
        <v>0</v>
      </c>
      <c r="N442" s="36">
        <v>26.126899999999999</v>
      </c>
      <c r="O442" s="35">
        <v>34.402900000000002</v>
      </c>
      <c r="P442" s="20">
        <v>0.2237703308823531</v>
      </c>
      <c r="Q442" s="20">
        <v>1.1756669411764697</v>
      </c>
      <c r="R442" s="26" t="s">
        <v>393</v>
      </c>
      <c r="S442" s="26"/>
      <c r="T442" s="71" t="s">
        <v>626</v>
      </c>
    </row>
    <row r="443" spans="1:20" ht="14" customHeight="1">
      <c r="A443" s="19" t="s">
        <v>392</v>
      </c>
      <c r="B443" s="19" t="s">
        <v>360</v>
      </c>
      <c r="C443" s="19" t="s">
        <v>518</v>
      </c>
      <c r="D443" s="34">
        <v>43271</v>
      </c>
      <c r="E443" s="19">
        <v>2018</v>
      </c>
      <c r="F443" s="19">
        <v>6</v>
      </c>
      <c r="G443" s="30">
        <v>20</v>
      </c>
      <c r="H443" s="29">
        <v>0.94265046296296295</v>
      </c>
      <c r="I443" s="35">
        <v>127.39883333333333</v>
      </c>
      <c r="J443" s="35">
        <v>26.633333333333333</v>
      </c>
      <c r="K443" s="28">
        <v>10</v>
      </c>
      <c r="L443" s="28">
        <v>10</v>
      </c>
      <c r="M443" s="28">
        <v>0</v>
      </c>
      <c r="N443" s="36">
        <v>26.4008</v>
      </c>
      <c r="O443" s="35">
        <v>34.241999999999997</v>
      </c>
      <c r="P443" s="20">
        <v>6.1009235294117836E-2</v>
      </c>
      <c r="Q443" s="20">
        <v>0.32056154705882278</v>
      </c>
      <c r="R443" s="26" t="s">
        <v>393</v>
      </c>
      <c r="S443" s="26"/>
      <c r="T443" s="71" t="s">
        <v>626</v>
      </c>
    </row>
    <row r="444" spans="1:20" ht="14" customHeight="1">
      <c r="A444" s="19" t="s">
        <v>392</v>
      </c>
      <c r="B444" s="19" t="s">
        <v>45</v>
      </c>
      <c r="C444" s="19" t="s">
        <v>518</v>
      </c>
      <c r="D444" s="34">
        <v>43272</v>
      </c>
      <c r="E444" s="19">
        <v>2018</v>
      </c>
      <c r="F444" s="19">
        <v>6</v>
      </c>
      <c r="G444" s="30">
        <v>21</v>
      </c>
      <c r="H444" s="29">
        <v>0.16513888888888889</v>
      </c>
      <c r="I444" s="35">
        <v>127.19199999999999</v>
      </c>
      <c r="J444" s="35">
        <v>26.791666666666668</v>
      </c>
      <c r="K444" s="28">
        <v>10</v>
      </c>
      <c r="L444" s="28">
        <v>10</v>
      </c>
      <c r="M444" s="28">
        <v>0</v>
      </c>
      <c r="N444" s="36">
        <v>26.817299999999999</v>
      </c>
      <c r="O444" s="35">
        <v>34.1845</v>
      </c>
      <c r="P444" s="20">
        <v>8.3238617647058533E-2</v>
      </c>
      <c r="Q444" s="20">
        <v>0.62289502352941284</v>
      </c>
      <c r="R444" s="26" t="s">
        <v>393</v>
      </c>
      <c r="S444" s="26"/>
      <c r="T444" s="71" t="s">
        <v>626</v>
      </c>
    </row>
    <row r="445" spans="1:20" ht="14" customHeight="1">
      <c r="A445" s="19" t="s">
        <v>392</v>
      </c>
      <c r="B445" s="19" t="s">
        <v>361</v>
      </c>
      <c r="C445" s="19" t="s">
        <v>518</v>
      </c>
      <c r="D445" s="34">
        <v>43271</v>
      </c>
      <c r="E445" s="19">
        <v>2018</v>
      </c>
      <c r="F445" s="19">
        <v>6</v>
      </c>
      <c r="G445" s="30">
        <v>20</v>
      </c>
      <c r="H445" s="29">
        <v>0.19855324074074074</v>
      </c>
      <c r="I445" s="35">
        <v>127.02500000000001</v>
      </c>
      <c r="J445" s="35">
        <v>26.93</v>
      </c>
      <c r="K445" s="28">
        <v>10</v>
      </c>
      <c r="L445" s="28">
        <v>10</v>
      </c>
      <c r="M445" s="28">
        <v>0</v>
      </c>
      <c r="N445" s="36">
        <v>27.6187</v>
      </c>
      <c r="O445" s="35">
        <v>33.897599999999997</v>
      </c>
      <c r="P445" s="20">
        <v>-1.7256249999995088E-3</v>
      </c>
      <c r="Q445" s="20">
        <v>-0.32040199999999963</v>
      </c>
      <c r="R445" s="26" t="s">
        <v>393</v>
      </c>
      <c r="S445" s="26"/>
      <c r="T445" s="71" t="s">
        <v>626</v>
      </c>
    </row>
    <row r="446" spans="1:20" ht="14" customHeight="1">
      <c r="A446" s="19" t="s">
        <v>392</v>
      </c>
      <c r="B446" s="19" t="s">
        <v>362</v>
      </c>
      <c r="C446" s="19" t="s">
        <v>518</v>
      </c>
      <c r="D446" s="34">
        <v>43270</v>
      </c>
      <c r="E446" s="19">
        <v>2018</v>
      </c>
      <c r="F446" s="19">
        <v>6</v>
      </c>
      <c r="G446" s="30">
        <v>19</v>
      </c>
      <c r="H446" s="29">
        <v>0.95650462962962957</v>
      </c>
      <c r="I446" s="35">
        <v>126.75933333333333</v>
      </c>
      <c r="J446" s="35">
        <v>27.085000000000001</v>
      </c>
      <c r="K446" s="28">
        <v>10</v>
      </c>
      <c r="L446" s="28">
        <v>10</v>
      </c>
      <c r="M446" s="28">
        <v>0</v>
      </c>
      <c r="N446" s="36">
        <v>28.515699999999999</v>
      </c>
      <c r="O446" s="35">
        <v>34.1432</v>
      </c>
      <c r="P446" s="20">
        <v>9.0660382352941049E-2</v>
      </c>
      <c r="Q446" s="20">
        <v>0.60699727647059021</v>
      </c>
      <c r="R446" s="26" t="s">
        <v>393</v>
      </c>
      <c r="S446" s="26"/>
      <c r="T446" s="71" t="s">
        <v>626</v>
      </c>
    </row>
    <row r="447" spans="1:20" ht="14" customHeight="1">
      <c r="A447" s="19" t="s">
        <v>392</v>
      </c>
      <c r="B447" s="19" t="s">
        <v>44</v>
      </c>
      <c r="C447" s="19" t="s">
        <v>518</v>
      </c>
      <c r="D447" s="34">
        <v>43270</v>
      </c>
      <c r="E447" s="19">
        <v>2018</v>
      </c>
      <c r="F447" s="19">
        <v>6</v>
      </c>
      <c r="G447" s="30">
        <v>19</v>
      </c>
      <c r="H447" s="29">
        <v>0.81885416666666666</v>
      </c>
      <c r="I447" s="35">
        <v>126.54533333333333</v>
      </c>
      <c r="J447" s="35">
        <v>27.24</v>
      </c>
      <c r="K447" s="28">
        <v>10</v>
      </c>
      <c r="L447" s="28">
        <v>10</v>
      </c>
      <c r="M447" s="28">
        <v>0</v>
      </c>
      <c r="N447" s="36">
        <v>28.232700000000001</v>
      </c>
      <c r="O447" s="35">
        <v>34.243000000000002</v>
      </c>
      <c r="P447" s="20">
        <v>0.12102976470588267</v>
      </c>
      <c r="Q447" s="20">
        <v>0.73417925294117836</v>
      </c>
      <c r="R447" s="26" t="s">
        <v>393</v>
      </c>
      <c r="S447" s="26"/>
      <c r="T447" s="71" t="s">
        <v>626</v>
      </c>
    </row>
    <row r="448" spans="1:20" ht="14" customHeight="1">
      <c r="A448" s="19" t="s">
        <v>392</v>
      </c>
      <c r="B448" s="19" t="s">
        <v>363</v>
      </c>
      <c r="C448" s="19" t="s">
        <v>518</v>
      </c>
      <c r="D448" s="34">
        <v>43280</v>
      </c>
      <c r="E448" s="19">
        <v>2018</v>
      </c>
      <c r="F448" s="19">
        <v>6</v>
      </c>
      <c r="G448" s="30">
        <v>29</v>
      </c>
      <c r="H448" s="29">
        <v>0.81363425925925925</v>
      </c>
      <c r="I448" s="35">
        <v>126.3115</v>
      </c>
      <c r="J448" s="35">
        <v>27.378333333333334</v>
      </c>
      <c r="K448" s="28">
        <v>10</v>
      </c>
      <c r="L448" s="28">
        <v>10</v>
      </c>
      <c r="M448" s="28">
        <v>0</v>
      </c>
      <c r="N448" s="36">
        <v>28.466999999999999</v>
      </c>
      <c r="O448" s="35">
        <v>33.988300000000002</v>
      </c>
      <c r="P448" s="20">
        <v>-1.709885294117619E-2</v>
      </c>
      <c r="Q448" s="20">
        <v>-1.9680170588234347E-2</v>
      </c>
      <c r="R448" s="26" t="s">
        <v>393</v>
      </c>
      <c r="S448" s="26"/>
      <c r="T448" s="71" t="s">
        <v>626</v>
      </c>
    </row>
    <row r="449" spans="1:20">
      <c r="A449" s="1" t="s">
        <v>288</v>
      </c>
      <c r="B449" s="1">
        <v>1</v>
      </c>
      <c r="C449" s="1" t="s">
        <v>513</v>
      </c>
      <c r="D449" s="5">
        <v>43200</v>
      </c>
      <c r="E449" s="1">
        <f t="shared" ref="E449:E480" si="33">YEAR(D449)</f>
        <v>2018</v>
      </c>
      <c r="F449" s="1">
        <f t="shared" ref="F449:F480" si="34">MONTH(D449)</f>
        <v>4</v>
      </c>
      <c r="G449" s="4">
        <f t="shared" ref="G449:G480" si="35">DAY(D449)</f>
        <v>10</v>
      </c>
      <c r="H449" s="8">
        <v>0.76736111111111116</v>
      </c>
      <c r="I449" s="11">
        <v>129.63200000000001</v>
      </c>
      <c r="J449" s="11">
        <v>32.747999999999998</v>
      </c>
      <c r="K449" s="9">
        <v>5</v>
      </c>
      <c r="L449" s="9">
        <v>5</v>
      </c>
      <c r="M449" s="9">
        <v>0</v>
      </c>
      <c r="N449" s="12">
        <v>17.598333333333301</v>
      </c>
      <c r="O449" s="11">
        <v>34.623673333333301</v>
      </c>
      <c r="P449" s="31">
        <v>0.26097067294117626</v>
      </c>
      <c r="Q449" s="31">
        <v>1.4453922576470593</v>
      </c>
      <c r="R449" s="26" t="s">
        <v>280</v>
      </c>
      <c r="S449" s="26"/>
      <c r="T449" s="71" t="s">
        <v>626</v>
      </c>
    </row>
    <row r="450" spans="1:20">
      <c r="A450" s="1" t="s">
        <v>288</v>
      </c>
      <c r="B450" s="1">
        <v>2</v>
      </c>
      <c r="C450" s="1" t="s">
        <v>512</v>
      </c>
      <c r="D450" s="5">
        <v>43200</v>
      </c>
      <c r="E450" s="1">
        <f t="shared" si="33"/>
        <v>2018</v>
      </c>
      <c r="F450" s="1">
        <f t="shared" si="34"/>
        <v>4</v>
      </c>
      <c r="G450" s="4">
        <f t="shared" si="35"/>
        <v>10</v>
      </c>
      <c r="H450" s="8">
        <v>0.76736111111111116</v>
      </c>
      <c r="I450" s="11">
        <v>129.15866666666599</v>
      </c>
      <c r="J450" s="11">
        <v>32.75</v>
      </c>
      <c r="K450" s="9">
        <v>5</v>
      </c>
      <c r="L450" s="9">
        <v>5</v>
      </c>
      <c r="M450" s="9">
        <v>0</v>
      </c>
      <c r="N450" s="12">
        <v>17.494999999999902</v>
      </c>
      <c r="O450" s="11">
        <v>34.620853333333301</v>
      </c>
      <c r="P450" s="31">
        <v>0.24306986352941151</v>
      </c>
      <c r="Q450" s="31">
        <v>1.3983749411764723</v>
      </c>
      <c r="R450" s="26" t="s">
        <v>280</v>
      </c>
      <c r="S450" s="26"/>
      <c r="T450" s="71" t="s">
        <v>626</v>
      </c>
    </row>
    <row r="451" spans="1:20">
      <c r="A451" s="1" t="s">
        <v>288</v>
      </c>
      <c r="B451" s="1">
        <v>3</v>
      </c>
      <c r="C451" s="1" t="s">
        <v>512</v>
      </c>
      <c r="D451" s="5">
        <v>43201</v>
      </c>
      <c r="E451" s="1">
        <f t="shared" si="33"/>
        <v>2018</v>
      </c>
      <c r="F451" s="1">
        <f t="shared" si="34"/>
        <v>4</v>
      </c>
      <c r="G451" s="4">
        <f t="shared" si="35"/>
        <v>11</v>
      </c>
      <c r="H451" s="8">
        <v>1.1111111111111112E-2</v>
      </c>
      <c r="I451" s="11">
        <v>128.37266666666599</v>
      </c>
      <c r="J451" s="11">
        <v>32.716166666666602</v>
      </c>
      <c r="K451" s="9">
        <v>5</v>
      </c>
      <c r="L451" s="9">
        <v>5</v>
      </c>
      <c r="M451" s="9">
        <v>0</v>
      </c>
      <c r="N451" s="12">
        <v>17.34</v>
      </c>
      <c r="O451" s="11">
        <v>34.6668533333333</v>
      </c>
      <c r="P451" s="31">
        <v>0.29342049411764726</v>
      </c>
      <c r="Q451" s="31">
        <v>1.6258728047058817</v>
      </c>
      <c r="R451" s="26" t="s">
        <v>280</v>
      </c>
      <c r="S451" s="26"/>
      <c r="T451" s="71" t="s">
        <v>626</v>
      </c>
    </row>
    <row r="452" spans="1:20">
      <c r="A452" s="1" t="s">
        <v>288</v>
      </c>
      <c r="B452" s="1">
        <v>4</v>
      </c>
      <c r="C452" s="1" t="s">
        <v>512</v>
      </c>
      <c r="D452" s="5">
        <v>43201</v>
      </c>
      <c r="E452" s="1">
        <f t="shared" si="33"/>
        <v>2018</v>
      </c>
      <c r="F452" s="1">
        <f t="shared" si="34"/>
        <v>4</v>
      </c>
      <c r="G452" s="4">
        <f t="shared" si="35"/>
        <v>11</v>
      </c>
      <c r="H452" s="8">
        <v>0.18958333333333333</v>
      </c>
      <c r="I452" s="11">
        <v>127.775666666666</v>
      </c>
      <c r="J452" s="11">
        <v>32.75</v>
      </c>
      <c r="K452" s="9">
        <v>5</v>
      </c>
      <c r="L452" s="9">
        <v>5</v>
      </c>
      <c r="M452" s="9">
        <v>0</v>
      </c>
      <c r="N452" s="12">
        <v>17.8533333333333</v>
      </c>
      <c r="O452" s="11">
        <v>34.649686666666597</v>
      </c>
      <c r="P452" s="31">
        <v>0.27197144470588275</v>
      </c>
      <c r="Q452" s="31">
        <v>1.791152528235294</v>
      </c>
      <c r="R452" s="26" t="s">
        <v>280</v>
      </c>
      <c r="S452" s="26"/>
      <c r="T452" s="71" t="s">
        <v>626</v>
      </c>
    </row>
    <row r="453" spans="1:20">
      <c r="A453" s="1" t="s">
        <v>288</v>
      </c>
      <c r="B453" s="1">
        <v>5</v>
      </c>
      <c r="C453" s="1" t="s">
        <v>512</v>
      </c>
      <c r="D453" s="5">
        <v>43201</v>
      </c>
      <c r="E453" s="1">
        <f t="shared" si="33"/>
        <v>2018</v>
      </c>
      <c r="F453" s="1">
        <f t="shared" si="34"/>
        <v>4</v>
      </c>
      <c r="G453" s="4">
        <f t="shared" si="35"/>
        <v>11</v>
      </c>
      <c r="H453" s="8">
        <v>0.39930555555555558</v>
      </c>
      <c r="I453" s="11">
        <v>127.276666666666</v>
      </c>
      <c r="J453" s="11">
        <v>32.276333333333298</v>
      </c>
      <c r="K453" s="9">
        <v>5</v>
      </c>
      <c r="L453" s="9">
        <v>5</v>
      </c>
      <c r="M453" s="9">
        <v>0</v>
      </c>
      <c r="N453" s="12">
        <v>17.783333333333299</v>
      </c>
      <c r="O453" s="11">
        <v>34.627020000000002</v>
      </c>
      <c r="P453" s="31">
        <v>0.30729423529411748</v>
      </c>
      <c r="Q453" s="31">
        <v>1.6669423117647053</v>
      </c>
      <c r="R453" s="26" t="s">
        <v>280</v>
      </c>
      <c r="S453" s="26"/>
      <c r="T453" s="71" t="s">
        <v>626</v>
      </c>
    </row>
    <row r="454" spans="1:20">
      <c r="A454" s="1" t="s">
        <v>288</v>
      </c>
      <c r="B454" s="1">
        <v>6</v>
      </c>
      <c r="C454" s="1" t="s">
        <v>512</v>
      </c>
      <c r="D454" s="5">
        <v>43201</v>
      </c>
      <c r="E454" s="1">
        <f t="shared" si="33"/>
        <v>2018</v>
      </c>
      <c r="F454" s="1">
        <f t="shared" si="34"/>
        <v>4</v>
      </c>
      <c r="G454" s="4">
        <f t="shared" si="35"/>
        <v>11</v>
      </c>
      <c r="H454" s="8">
        <v>0.54513888888888895</v>
      </c>
      <c r="I454" s="11">
        <v>127.697</v>
      </c>
      <c r="J454" s="11">
        <v>32.247999999999998</v>
      </c>
      <c r="K454" s="9">
        <v>5</v>
      </c>
      <c r="L454" s="9">
        <v>5</v>
      </c>
      <c r="M454" s="9">
        <v>0</v>
      </c>
      <c r="N454" s="12">
        <v>18.29</v>
      </c>
      <c r="O454" s="11">
        <v>34.615853333333298</v>
      </c>
      <c r="P454" s="31">
        <v>0.28542774588235331</v>
      </c>
      <c r="Q454" s="31">
        <v>1.6315204952941187</v>
      </c>
      <c r="R454" s="26" t="s">
        <v>280</v>
      </c>
      <c r="S454" s="26"/>
      <c r="T454" s="71" t="s">
        <v>626</v>
      </c>
    </row>
    <row r="455" spans="1:20">
      <c r="A455" s="1" t="s">
        <v>288</v>
      </c>
      <c r="B455" s="1">
        <v>7</v>
      </c>
      <c r="C455" s="1" t="s">
        <v>512</v>
      </c>
      <c r="D455" s="5">
        <v>43201</v>
      </c>
      <c r="E455" s="1">
        <f t="shared" si="33"/>
        <v>2018</v>
      </c>
      <c r="F455" s="1">
        <f t="shared" si="34"/>
        <v>4</v>
      </c>
      <c r="G455" s="4">
        <f t="shared" si="35"/>
        <v>11</v>
      </c>
      <c r="H455" s="8">
        <v>0.6875</v>
      </c>
      <c r="I455" s="11">
        <v>128.20216666666599</v>
      </c>
      <c r="J455" s="11">
        <v>32.241999999999997</v>
      </c>
      <c r="K455" s="9">
        <v>5</v>
      </c>
      <c r="L455" s="9">
        <v>5</v>
      </c>
      <c r="M455" s="9">
        <v>0</v>
      </c>
      <c r="N455" s="12">
        <v>18.07</v>
      </c>
      <c r="O455" s="11">
        <v>34.661186666666602</v>
      </c>
      <c r="P455" s="31">
        <v>0.3489277364705885</v>
      </c>
      <c r="Q455" s="31">
        <v>2.0186386988235316</v>
      </c>
      <c r="R455" s="26" t="s">
        <v>280</v>
      </c>
      <c r="S455" s="26"/>
      <c r="T455" s="71" t="s">
        <v>626</v>
      </c>
    </row>
    <row r="456" spans="1:20">
      <c r="A456" s="1" t="s">
        <v>288</v>
      </c>
      <c r="B456" s="1">
        <v>8</v>
      </c>
      <c r="C456" s="1" t="s">
        <v>512</v>
      </c>
      <c r="D456" s="5">
        <v>43201</v>
      </c>
      <c r="E456" s="1">
        <f t="shared" si="33"/>
        <v>2018</v>
      </c>
      <c r="F456" s="1">
        <f t="shared" si="34"/>
        <v>4</v>
      </c>
      <c r="G456" s="4">
        <f t="shared" si="35"/>
        <v>11</v>
      </c>
      <c r="H456" s="8">
        <v>0.85069444444444453</v>
      </c>
      <c r="I456" s="11">
        <v>128.74816666666601</v>
      </c>
      <c r="J456" s="11">
        <v>32.248166666666599</v>
      </c>
      <c r="K456" s="9">
        <v>5</v>
      </c>
      <c r="L456" s="9">
        <v>5</v>
      </c>
      <c r="M456" s="9">
        <v>0</v>
      </c>
      <c r="N456" s="12">
        <v>19.2216666666666</v>
      </c>
      <c r="O456" s="11">
        <v>34.639020000000002</v>
      </c>
      <c r="P456" s="31">
        <v>0.27043673882352981</v>
      </c>
      <c r="Q456" s="31">
        <v>1.5421396529411755</v>
      </c>
      <c r="R456" s="26" t="s">
        <v>280</v>
      </c>
      <c r="S456" s="26"/>
      <c r="T456" s="71" t="s">
        <v>626</v>
      </c>
    </row>
    <row r="457" spans="1:20">
      <c r="A457" s="1" t="s">
        <v>288</v>
      </c>
      <c r="B457" s="1">
        <v>9</v>
      </c>
      <c r="C457" s="1" t="s">
        <v>512</v>
      </c>
      <c r="D457" s="5">
        <v>43201</v>
      </c>
      <c r="E457" s="1">
        <f t="shared" si="33"/>
        <v>2018</v>
      </c>
      <c r="F457" s="1">
        <f t="shared" si="34"/>
        <v>4</v>
      </c>
      <c r="G457" s="4">
        <f t="shared" si="35"/>
        <v>11</v>
      </c>
      <c r="H457" s="8">
        <v>0.98541666666666661</v>
      </c>
      <c r="I457" s="11">
        <v>129.19800000000001</v>
      </c>
      <c r="J457" s="11">
        <v>32.25</v>
      </c>
      <c r="K457" s="9">
        <v>5</v>
      </c>
      <c r="L457" s="9">
        <v>5</v>
      </c>
      <c r="M457" s="9">
        <v>0</v>
      </c>
      <c r="N457" s="12">
        <v>19.63</v>
      </c>
      <c r="O457" s="11">
        <v>34.631019999999999</v>
      </c>
      <c r="P457" s="31">
        <v>0.25211848941176451</v>
      </c>
      <c r="Q457" s="31">
        <v>1.6360573564705891</v>
      </c>
      <c r="R457" s="26" t="s">
        <v>280</v>
      </c>
      <c r="S457" s="26"/>
      <c r="T457" s="71" t="s">
        <v>626</v>
      </c>
    </row>
    <row r="458" spans="1:20">
      <c r="A458" s="1" t="s">
        <v>288</v>
      </c>
      <c r="B458" s="1">
        <v>10</v>
      </c>
      <c r="C458" s="1" t="s">
        <v>512</v>
      </c>
      <c r="D458" s="5">
        <v>43202</v>
      </c>
      <c r="E458" s="1">
        <f t="shared" si="33"/>
        <v>2018</v>
      </c>
      <c r="F458" s="1">
        <f t="shared" si="34"/>
        <v>4</v>
      </c>
      <c r="G458" s="4">
        <f t="shared" si="35"/>
        <v>12</v>
      </c>
      <c r="H458" s="8">
        <v>0.12569444444444444</v>
      </c>
      <c r="I458" s="11">
        <v>129.69800000000001</v>
      </c>
      <c r="J458" s="11">
        <v>32.25</v>
      </c>
      <c r="K458" s="9">
        <v>5</v>
      </c>
      <c r="L458" s="9">
        <v>5</v>
      </c>
      <c r="M458" s="9">
        <v>0</v>
      </c>
      <c r="N458" s="12">
        <v>18.105</v>
      </c>
      <c r="O458" s="11">
        <v>34.568186666666598</v>
      </c>
      <c r="P458" s="31">
        <v>0.26072512000000025</v>
      </c>
      <c r="Q458" s="31">
        <v>1.6045448800000006</v>
      </c>
      <c r="R458" s="26" t="s">
        <v>280</v>
      </c>
      <c r="S458" s="26"/>
      <c r="T458" s="71" t="s">
        <v>626</v>
      </c>
    </row>
    <row r="459" spans="1:20">
      <c r="A459" s="1" t="s">
        <v>288</v>
      </c>
      <c r="B459" s="1">
        <v>11</v>
      </c>
      <c r="C459" s="1" t="s">
        <v>512</v>
      </c>
      <c r="D459" s="5">
        <v>43202</v>
      </c>
      <c r="E459" s="1">
        <f t="shared" si="33"/>
        <v>2018</v>
      </c>
      <c r="F459" s="1">
        <f t="shared" si="34"/>
        <v>4</v>
      </c>
      <c r="G459" s="4">
        <f t="shared" si="35"/>
        <v>12</v>
      </c>
      <c r="H459" s="8">
        <v>0.29375000000000001</v>
      </c>
      <c r="I459" s="11">
        <v>129.66999999999999</v>
      </c>
      <c r="J459" s="11">
        <v>31.782</v>
      </c>
      <c r="K459" s="9">
        <v>5</v>
      </c>
      <c r="L459" s="9">
        <v>5</v>
      </c>
      <c r="M459" s="9">
        <v>0</v>
      </c>
      <c r="N459" s="12">
        <v>19.396666666666601</v>
      </c>
      <c r="O459" s="11">
        <v>34.635353333333299</v>
      </c>
      <c r="P459" s="31">
        <v>0.29062119058823588</v>
      </c>
      <c r="Q459" s="31">
        <v>1.7103893835294102</v>
      </c>
      <c r="R459" s="26" t="s">
        <v>280</v>
      </c>
      <c r="S459" s="26"/>
      <c r="T459" s="71" t="s">
        <v>626</v>
      </c>
    </row>
    <row r="460" spans="1:20">
      <c r="A460" s="1" t="s">
        <v>288</v>
      </c>
      <c r="B460" s="1">
        <v>12</v>
      </c>
      <c r="C460" s="1" t="s">
        <v>512</v>
      </c>
      <c r="D460" s="5">
        <v>43202</v>
      </c>
      <c r="E460" s="1">
        <f t="shared" si="33"/>
        <v>2018</v>
      </c>
      <c r="F460" s="1">
        <f t="shared" si="34"/>
        <v>4</v>
      </c>
      <c r="G460" s="4">
        <f t="shared" si="35"/>
        <v>12</v>
      </c>
      <c r="H460" s="8">
        <v>0.42291666666666666</v>
      </c>
      <c r="I460" s="11">
        <v>129.30699999999999</v>
      </c>
      <c r="J460" s="11">
        <v>31.75</v>
      </c>
      <c r="K460" s="9">
        <v>5</v>
      </c>
      <c r="L460" s="9">
        <v>5</v>
      </c>
      <c r="M460" s="9">
        <v>0</v>
      </c>
      <c r="N460" s="12">
        <v>19.663333333333298</v>
      </c>
      <c r="O460" s="11">
        <v>34.631019999999999</v>
      </c>
      <c r="P460" s="31">
        <v>0.32865734117647061</v>
      </c>
      <c r="Q460" s="31">
        <v>1.6639684070588245</v>
      </c>
      <c r="R460" s="26" t="s">
        <v>280</v>
      </c>
      <c r="S460" s="26"/>
      <c r="T460" s="71" t="s">
        <v>626</v>
      </c>
    </row>
    <row r="461" spans="1:20">
      <c r="A461" s="1" t="s">
        <v>288</v>
      </c>
      <c r="B461" s="1">
        <v>13</v>
      </c>
      <c r="C461" s="1" t="s">
        <v>512</v>
      </c>
      <c r="D461" s="5">
        <v>43202</v>
      </c>
      <c r="E461" s="1">
        <f t="shared" si="33"/>
        <v>2018</v>
      </c>
      <c r="F461" s="1">
        <f t="shared" si="34"/>
        <v>4</v>
      </c>
      <c r="G461" s="4">
        <f t="shared" si="35"/>
        <v>12</v>
      </c>
      <c r="H461" s="8">
        <v>0.56458333333333333</v>
      </c>
      <c r="I461" s="11">
        <v>128.80433333333301</v>
      </c>
      <c r="J461" s="11">
        <v>31.75</v>
      </c>
      <c r="K461" s="9">
        <v>5</v>
      </c>
      <c r="L461" s="9">
        <v>5</v>
      </c>
      <c r="M461" s="9">
        <v>0</v>
      </c>
      <c r="N461" s="12">
        <v>20.831666666666599</v>
      </c>
      <c r="O461" s="11">
        <v>34.5476866666666</v>
      </c>
      <c r="P461" s="31">
        <v>0.27569157176470616</v>
      </c>
      <c r="Q461" s="31">
        <v>1.5257110705882351</v>
      </c>
      <c r="R461" s="26" t="s">
        <v>280</v>
      </c>
      <c r="S461" s="26"/>
      <c r="T461" s="71" t="s">
        <v>626</v>
      </c>
    </row>
    <row r="462" spans="1:20">
      <c r="A462" s="1" t="s">
        <v>288</v>
      </c>
      <c r="B462" s="1">
        <v>14</v>
      </c>
      <c r="C462" s="1" t="s">
        <v>512</v>
      </c>
      <c r="D462" s="5">
        <v>43202</v>
      </c>
      <c r="E462" s="1">
        <f t="shared" si="33"/>
        <v>2018</v>
      </c>
      <c r="F462" s="1">
        <f t="shared" si="34"/>
        <v>4</v>
      </c>
      <c r="G462" s="4">
        <f t="shared" si="35"/>
        <v>12</v>
      </c>
      <c r="H462" s="8">
        <v>0.69791666666666663</v>
      </c>
      <c r="I462" s="11">
        <v>128.30349999999899</v>
      </c>
      <c r="J462" s="11">
        <v>31.751000000000001</v>
      </c>
      <c r="K462" s="9">
        <v>5</v>
      </c>
      <c r="L462" s="9">
        <v>5</v>
      </c>
      <c r="M462" s="9">
        <v>0</v>
      </c>
      <c r="N462" s="12">
        <v>19.438333333333301</v>
      </c>
      <c r="O462" s="11">
        <v>34.654020000000003</v>
      </c>
      <c r="P462" s="31">
        <v>0.30183068235294175</v>
      </c>
      <c r="Q462" s="31">
        <v>1.791772254117646</v>
      </c>
      <c r="R462" s="26" t="s">
        <v>280</v>
      </c>
      <c r="S462" s="26"/>
      <c r="T462" s="71" t="s">
        <v>626</v>
      </c>
    </row>
    <row r="463" spans="1:20">
      <c r="A463" s="1" t="s">
        <v>288</v>
      </c>
      <c r="B463" s="1">
        <v>15</v>
      </c>
      <c r="C463" s="1" t="s">
        <v>512</v>
      </c>
      <c r="D463" s="5">
        <v>43202</v>
      </c>
      <c r="E463" s="1">
        <f t="shared" si="33"/>
        <v>2018</v>
      </c>
      <c r="F463" s="1">
        <f t="shared" si="34"/>
        <v>4</v>
      </c>
      <c r="G463" s="4">
        <f t="shared" si="35"/>
        <v>12</v>
      </c>
      <c r="H463" s="8">
        <v>0.84166666666666667</v>
      </c>
      <c r="I463" s="11">
        <v>127.764666666666</v>
      </c>
      <c r="J463" s="11">
        <v>31.748999999999999</v>
      </c>
      <c r="K463" s="9">
        <v>5</v>
      </c>
      <c r="L463" s="9">
        <v>5</v>
      </c>
      <c r="M463" s="9">
        <v>0</v>
      </c>
      <c r="N463" s="12">
        <v>18.043333333333301</v>
      </c>
      <c r="O463" s="11">
        <v>34.649853333333297</v>
      </c>
      <c r="P463" s="31">
        <v>0.26911075294117714</v>
      </c>
      <c r="Q463" s="31">
        <v>1.7991212676470596</v>
      </c>
      <c r="R463" s="26" t="s">
        <v>280</v>
      </c>
      <c r="S463" s="26"/>
      <c r="T463" s="71" t="s">
        <v>626</v>
      </c>
    </row>
    <row r="464" spans="1:20">
      <c r="A464" s="1" t="s">
        <v>288</v>
      </c>
      <c r="B464" s="1">
        <v>16</v>
      </c>
      <c r="C464" s="1" t="s">
        <v>512</v>
      </c>
      <c r="D464" s="5">
        <v>43202</v>
      </c>
      <c r="E464" s="1">
        <f t="shared" si="33"/>
        <v>2018</v>
      </c>
      <c r="F464" s="1">
        <f t="shared" si="34"/>
        <v>4</v>
      </c>
      <c r="G464" s="4">
        <f t="shared" si="35"/>
        <v>12</v>
      </c>
      <c r="H464" s="8">
        <v>0.97222222222222221</v>
      </c>
      <c r="I464" s="11">
        <v>127.374666666666</v>
      </c>
      <c r="J464" s="11">
        <v>31.75</v>
      </c>
      <c r="K464" s="9">
        <v>5</v>
      </c>
      <c r="L464" s="9">
        <v>5</v>
      </c>
      <c r="M464" s="9">
        <v>0</v>
      </c>
      <c r="N464" s="12">
        <v>18.445</v>
      </c>
      <c r="O464" s="11">
        <v>34.619519999999902</v>
      </c>
      <c r="P464" s="31">
        <v>0.25994137411764706</v>
      </c>
      <c r="Q464" s="31">
        <v>1.5450867882352952</v>
      </c>
      <c r="R464" s="26" t="s">
        <v>280</v>
      </c>
      <c r="S464" s="26"/>
      <c r="T464" s="71" t="s">
        <v>626</v>
      </c>
    </row>
    <row r="465" spans="1:20">
      <c r="A465" s="1" t="s">
        <v>288</v>
      </c>
      <c r="B465" s="1">
        <v>17</v>
      </c>
      <c r="C465" s="1" t="s">
        <v>512</v>
      </c>
      <c r="D465" s="5">
        <v>43203</v>
      </c>
      <c r="E465" s="1">
        <f t="shared" si="33"/>
        <v>2018</v>
      </c>
      <c r="F465" s="1">
        <f t="shared" si="34"/>
        <v>4</v>
      </c>
      <c r="G465" s="4">
        <f t="shared" si="35"/>
        <v>13</v>
      </c>
      <c r="H465" s="8">
        <v>0.14652777777777778</v>
      </c>
      <c r="I465" s="11">
        <v>126.79300000000001</v>
      </c>
      <c r="J465" s="11">
        <v>31.754999999999999</v>
      </c>
      <c r="K465" s="9">
        <v>5</v>
      </c>
      <c r="L465" s="9">
        <v>5</v>
      </c>
      <c r="M465" s="9">
        <v>0</v>
      </c>
      <c r="N465" s="12">
        <v>16.344999999999999</v>
      </c>
      <c r="O465" s="11">
        <v>34.576853333333297</v>
      </c>
      <c r="P465" s="31">
        <v>0.25487963294117666</v>
      </c>
      <c r="Q465" s="31">
        <v>1.569877905882354</v>
      </c>
      <c r="R465" s="26" t="s">
        <v>280</v>
      </c>
      <c r="S465" s="26"/>
      <c r="T465" s="71" t="s">
        <v>626</v>
      </c>
    </row>
    <row r="466" spans="1:20">
      <c r="A466" s="1" t="s">
        <v>288</v>
      </c>
      <c r="B466" s="1">
        <v>18</v>
      </c>
      <c r="C466" s="1" t="s">
        <v>512</v>
      </c>
      <c r="D466" s="5">
        <v>43203</v>
      </c>
      <c r="E466" s="1">
        <f t="shared" si="33"/>
        <v>2018</v>
      </c>
      <c r="F466" s="1">
        <f t="shared" si="34"/>
        <v>4</v>
      </c>
      <c r="G466" s="4">
        <f t="shared" si="35"/>
        <v>13</v>
      </c>
      <c r="H466" s="8">
        <v>0.30486111111111108</v>
      </c>
      <c r="I466" s="11">
        <v>126.751</v>
      </c>
      <c r="J466" s="11">
        <v>31.276</v>
      </c>
      <c r="K466" s="9">
        <v>5</v>
      </c>
      <c r="L466" s="9">
        <v>5</v>
      </c>
      <c r="M466" s="9">
        <v>0</v>
      </c>
      <c r="N466" s="12">
        <v>16.52</v>
      </c>
      <c r="O466" s="11">
        <v>34.551686666666598</v>
      </c>
      <c r="P466" s="31">
        <v>0.28075477176470587</v>
      </c>
      <c r="Q466" s="31">
        <v>1.7541682235294118</v>
      </c>
      <c r="R466" s="26" t="s">
        <v>280</v>
      </c>
      <c r="S466" s="26"/>
      <c r="T466" s="71" t="s">
        <v>626</v>
      </c>
    </row>
    <row r="467" spans="1:20">
      <c r="A467" s="1" t="s">
        <v>288</v>
      </c>
      <c r="B467" s="1">
        <v>19</v>
      </c>
      <c r="C467" s="1" t="s">
        <v>512</v>
      </c>
      <c r="D467" s="5">
        <v>43203</v>
      </c>
      <c r="E467" s="1">
        <f t="shared" si="33"/>
        <v>2018</v>
      </c>
      <c r="F467" s="1">
        <f t="shared" si="34"/>
        <v>4</v>
      </c>
      <c r="G467" s="4">
        <f t="shared" si="35"/>
        <v>13</v>
      </c>
      <c r="H467" s="8">
        <v>0.44236111111111115</v>
      </c>
      <c r="I467" s="11">
        <v>127.207333333333</v>
      </c>
      <c r="J467" s="11">
        <v>31.247499999999999</v>
      </c>
      <c r="K467" s="9">
        <v>5</v>
      </c>
      <c r="L467" s="9">
        <v>5</v>
      </c>
      <c r="M467" s="9">
        <v>0</v>
      </c>
      <c r="N467" s="12">
        <v>17.36</v>
      </c>
      <c r="O467" s="11">
        <v>34.523020000000002</v>
      </c>
      <c r="P467" s="31">
        <v>0.25602455058823548</v>
      </c>
      <c r="Q467" s="31">
        <v>1.4463403411764713</v>
      </c>
      <c r="R467" s="26" t="s">
        <v>280</v>
      </c>
      <c r="S467" s="26"/>
      <c r="T467" s="71" t="s">
        <v>626</v>
      </c>
    </row>
    <row r="468" spans="1:20">
      <c r="A468" s="1" t="s">
        <v>288</v>
      </c>
      <c r="B468" s="1">
        <v>20</v>
      </c>
      <c r="C468" s="1" t="s">
        <v>512</v>
      </c>
      <c r="D468" s="5">
        <v>43203</v>
      </c>
      <c r="E468" s="1">
        <f t="shared" si="33"/>
        <v>2018</v>
      </c>
      <c r="F468" s="1">
        <f t="shared" si="34"/>
        <v>4</v>
      </c>
      <c r="G468" s="4">
        <f t="shared" si="35"/>
        <v>13</v>
      </c>
      <c r="H468" s="8">
        <v>0.58402777777777781</v>
      </c>
      <c r="I468" s="11">
        <v>127.70383333333299</v>
      </c>
      <c r="J468" s="11">
        <v>31.25</v>
      </c>
      <c r="K468" s="9">
        <v>5</v>
      </c>
      <c r="L468" s="9">
        <v>5</v>
      </c>
      <c r="M468" s="9">
        <v>0</v>
      </c>
      <c r="N468" s="12">
        <v>19.9033333333333</v>
      </c>
      <c r="O468" s="11">
        <v>34.4853533333333</v>
      </c>
      <c r="P468" s="31">
        <v>0.24461152941176501</v>
      </c>
      <c r="Q468" s="31">
        <v>1.4908714588235288</v>
      </c>
      <c r="R468" s="26" t="s">
        <v>280</v>
      </c>
      <c r="S468" s="26"/>
      <c r="T468" s="71" t="s">
        <v>626</v>
      </c>
    </row>
    <row r="469" spans="1:20">
      <c r="A469" s="1" t="s">
        <v>288</v>
      </c>
      <c r="B469" s="1">
        <v>21</v>
      </c>
      <c r="C469" s="1" t="s">
        <v>512</v>
      </c>
      <c r="D469" s="5">
        <v>43203</v>
      </c>
      <c r="E469" s="1">
        <f t="shared" si="33"/>
        <v>2018</v>
      </c>
      <c r="F469" s="1">
        <f t="shared" si="34"/>
        <v>4</v>
      </c>
      <c r="G469" s="4">
        <f t="shared" si="35"/>
        <v>13</v>
      </c>
      <c r="H469" s="8">
        <v>0.73055555555555562</v>
      </c>
      <c r="I469" s="11">
        <v>128.21766666666599</v>
      </c>
      <c r="J469" s="11">
        <v>31.248999999999999</v>
      </c>
      <c r="K469" s="9">
        <v>5</v>
      </c>
      <c r="L469" s="9">
        <v>5</v>
      </c>
      <c r="M469" s="9">
        <v>0</v>
      </c>
      <c r="N469" s="12">
        <v>19.484999999999999</v>
      </c>
      <c r="O469" s="11">
        <v>34.52852</v>
      </c>
      <c r="P469" s="31">
        <v>0.30613578823529464</v>
      </c>
      <c r="Q469" s="31">
        <v>1.8502555764705892</v>
      </c>
      <c r="R469" s="26" t="s">
        <v>280</v>
      </c>
      <c r="S469" s="26"/>
      <c r="T469" s="71" t="s">
        <v>626</v>
      </c>
    </row>
    <row r="470" spans="1:20">
      <c r="A470" s="1" t="s">
        <v>288</v>
      </c>
      <c r="B470" s="1">
        <v>22</v>
      </c>
      <c r="C470" s="1" t="s">
        <v>512</v>
      </c>
      <c r="D470" s="5">
        <v>43203</v>
      </c>
      <c r="E470" s="1">
        <f t="shared" si="33"/>
        <v>2018</v>
      </c>
      <c r="F470" s="1">
        <f t="shared" si="34"/>
        <v>4</v>
      </c>
      <c r="G470" s="4">
        <f t="shared" si="35"/>
        <v>13</v>
      </c>
      <c r="H470" s="8">
        <v>0.90694444444444444</v>
      </c>
      <c r="I470" s="11">
        <v>128.72200000000001</v>
      </c>
      <c r="J470" s="11">
        <v>31.257000000000001</v>
      </c>
      <c r="K470" s="9">
        <v>5</v>
      </c>
      <c r="L470" s="9">
        <v>5</v>
      </c>
      <c r="M470" s="9">
        <v>0</v>
      </c>
      <c r="N470" s="12">
        <v>19.418333333333301</v>
      </c>
      <c r="O470" s="11">
        <v>34.5388533333333</v>
      </c>
      <c r="P470" s="31">
        <v>0.3592599670588239</v>
      </c>
      <c r="Q470" s="31">
        <v>1.8973528941176454</v>
      </c>
      <c r="R470" s="26" t="s">
        <v>280</v>
      </c>
      <c r="S470" s="26"/>
      <c r="T470" s="71" t="s">
        <v>626</v>
      </c>
    </row>
    <row r="471" spans="1:20">
      <c r="A471" s="1" t="s">
        <v>288</v>
      </c>
      <c r="B471" s="1">
        <v>23</v>
      </c>
      <c r="C471" s="1" t="s">
        <v>512</v>
      </c>
      <c r="D471" s="5">
        <v>43204</v>
      </c>
      <c r="E471" s="1">
        <f t="shared" si="33"/>
        <v>2018</v>
      </c>
      <c r="F471" s="1">
        <f t="shared" si="34"/>
        <v>4</v>
      </c>
      <c r="G471" s="4">
        <f t="shared" si="35"/>
        <v>14</v>
      </c>
      <c r="H471" s="8">
        <v>0.12847222222222224</v>
      </c>
      <c r="I471" s="11">
        <v>129.21799999999999</v>
      </c>
      <c r="J471" s="11">
        <v>31.258499999999898</v>
      </c>
      <c r="K471" s="9">
        <v>5</v>
      </c>
      <c r="L471" s="9">
        <v>5</v>
      </c>
      <c r="M471" s="9">
        <v>0</v>
      </c>
      <c r="N471" s="12">
        <v>20.25</v>
      </c>
      <c r="O471" s="11">
        <v>34.622853333333303</v>
      </c>
      <c r="P471" s="31">
        <v>0.35478876235294088</v>
      </c>
      <c r="Q471" s="31">
        <v>1.8575477647058829</v>
      </c>
      <c r="R471" s="26" t="s">
        <v>280</v>
      </c>
      <c r="S471" s="26"/>
      <c r="T471" s="71" t="s">
        <v>626</v>
      </c>
    </row>
    <row r="472" spans="1:20">
      <c r="A472" s="1" t="s">
        <v>288</v>
      </c>
      <c r="B472" s="1">
        <v>24</v>
      </c>
      <c r="C472" s="1" t="s">
        <v>512</v>
      </c>
      <c r="D472" s="5">
        <v>43204</v>
      </c>
      <c r="E472" s="1">
        <f t="shared" si="33"/>
        <v>2018</v>
      </c>
      <c r="F472" s="1">
        <f t="shared" si="34"/>
        <v>4</v>
      </c>
      <c r="G472" s="4">
        <f t="shared" si="35"/>
        <v>14</v>
      </c>
      <c r="H472" s="8">
        <v>0.35000000000000003</v>
      </c>
      <c r="I472" s="11">
        <v>129.751</v>
      </c>
      <c r="J472" s="11">
        <v>31.251999999999999</v>
      </c>
      <c r="K472" s="9">
        <v>5</v>
      </c>
      <c r="L472" s="9">
        <v>5</v>
      </c>
      <c r="M472" s="9">
        <v>0</v>
      </c>
      <c r="N472" s="12">
        <v>20.25</v>
      </c>
      <c r="O472" s="11">
        <v>34.592019999999998</v>
      </c>
      <c r="P472" s="31">
        <v>0.33190246117647071</v>
      </c>
      <c r="Q472" s="31">
        <v>1.9703792823529405</v>
      </c>
      <c r="R472" s="26" t="s">
        <v>280</v>
      </c>
      <c r="S472" s="26"/>
      <c r="T472" s="71" t="s">
        <v>626</v>
      </c>
    </row>
    <row r="473" spans="1:20">
      <c r="A473" s="1" t="s">
        <v>288</v>
      </c>
      <c r="B473" s="1">
        <v>25</v>
      </c>
      <c r="C473" s="1" t="s">
        <v>512</v>
      </c>
      <c r="D473" s="5">
        <v>43204</v>
      </c>
      <c r="E473" s="1">
        <f t="shared" si="33"/>
        <v>2018</v>
      </c>
      <c r="F473" s="1">
        <f t="shared" si="34"/>
        <v>4</v>
      </c>
      <c r="G473" s="4">
        <f t="shared" si="35"/>
        <v>14</v>
      </c>
      <c r="H473" s="8">
        <v>0.52083333333333337</v>
      </c>
      <c r="I473" s="11">
        <v>129.750333333333</v>
      </c>
      <c r="J473" s="11">
        <v>30.7835</v>
      </c>
      <c r="K473" s="9">
        <v>5</v>
      </c>
      <c r="L473" s="9">
        <v>5</v>
      </c>
      <c r="M473" s="9">
        <v>0</v>
      </c>
      <c r="N473" s="12">
        <v>20.555</v>
      </c>
      <c r="O473" s="11">
        <v>34.507686666666601</v>
      </c>
      <c r="P473" s="31">
        <v>0.30901615999999965</v>
      </c>
      <c r="Q473" s="31">
        <v>1.8167208000000006</v>
      </c>
      <c r="R473" s="26" t="s">
        <v>280</v>
      </c>
      <c r="S473" s="26"/>
      <c r="T473" s="71" t="s">
        <v>626</v>
      </c>
    </row>
    <row r="474" spans="1:20">
      <c r="A474" s="1" t="s">
        <v>288</v>
      </c>
      <c r="B474" s="1">
        <v>26</v>
      </c>
      <c r="C474" s="1" t="s">
        <v>512</v>
      </c>
      <c r="D474" s="5">
        <v>43204</v>
      </c>
      <c r="E474" s="1">
        <f t="shared" si="33"/>
        <v>2018</v>
      </c>
      <c r="F474" s="1">
        <f t="shared" si="34"/>
        <v>4</v>
      </c>
      <c r="G474" s="4">
        <f t="shared" si="35"/>
        <v>14</v>
      </c>
      <c r="H474" s="8">
        <v>0.67499999999999993</v>
      </c>
      <c r="I474" s="11">
        <v>129.297</v>
      </c>
      <c r="J474" s="11">
        <v>30.751000000000001</v>
      </c>
      <c r="K474" s="9">
        <v>5</v>
      </c>
      <c r="L474" s="9">
        <v>5</v>
      </c>
      <c r="M474" s="9">
        <v>0</v>
      </c>
      <c r="N474" s="12">
        <v>20.95</v>
      </c>
      <c r="O474" s="11">
        <v>34.471820000000001</v>
      </c>
      <c r="P474" s="31">
        <v>0.32321313882352953</v>
      </c>
      <c r="Q474" s="31">
        <v>1.7815023176470586</v>
      </c>
      <c r="R474" s="26" t="s">
        <v>280</v>
      </c>
      <c r="S474" s="26"/>
      <c r="T474" s="71" t="s">
        <v>626</v>
      </c>
    </row>
    <row r="475" spans="1:20">
      <c r="A475" s="1" t="s">
        <v>288</v>
      </c>
      <c r="B475" s="1">
        <v>27</v>
      </c>
      <c r="C475" s="1" t="s">
        <v>512</v>
      </c>
      <c r="D475" s="5">
        <v>43204</v>
      </c>
      <c r="E475" s="1">
        <f t="shared" si="33"/>
        <v>2018</v>
      </c>
      <c r="F475" s="1">
        <f t="shared" si="34"/>
        <v>4</v>
      </c>
      <c r="G475" s="4">
        <f t="shared" si="35"/>
        <v>14</v>
      </c>
      <c r="H475" s="8">
        <v>0.84791666666666676</v>
      </c>
      <c r="I475" s="11">
        <v>128.78960000000001</v>
      </c>
      <c r="J475" s="11">
        <v>30.75</v>
      </c>
      <c r="K475" s="9">
        <v>5</v>
      </c>
      <c r="L475" s="9">
        <v>5</v>
      </c>
      <c r="M475" s="9">
        <v>0</v>
      </c>
      <c r="N475" s="12">
        <v>20.561999999999902</v>
      </c>
      <c r="O475" s="11">
        <v>34.445819999999998</v>
      </c>
      <c r="P475" s="31">
        <v>0.31938067764705957</v>
      </c>
      <c r="Q475" s="31">
        <v>1.6801548352941182</v>
      </c>
      <c r="R475" s="26" t="s">
        <v>280</v>
      </c>
      <c r="S475" s="26"/>
      <c r="T475" s="71" t="s">
        <v>626</v>
      </c>
    </row>
    <row r="476" spans="1:20">
      <c r="A476" s="1" t="s">
        <v>288</v>
      </c>
      <c r="B476" s="1">
        <v>28</v>
      </c>
      <c r="C476" s="1" t="s">
        <v>512</v>
      </c>
      <c r="D476" s="5">
        <v>43205</v>
      </c>
      <c r="E476" s="1">
        <f t="shared" si="33"/>
        <v>2018</v>
      </c>
      <c r="F476" s="1">
        <f t="shared" si="34"/>
        <v>4</v>
      </c>
      <c r="G476" s="4">
        <f t="shared" si="35"/>
        <v>15</v>
      </c>
      <c r="H476" s="8">
        <v>9.375E-2</v>
      </c>
      <c r="I476" s="11">
        <v>128.261333333333</v>
      </c>
      <c r="J476" s="11">
        <v>30.734833333333299</v>
      </c>
      <c r="K476" s="9">
        <v>5</v>
      </c>
      <c r="L476" s="9">
        <v>5</v>
      </c>
      <c r="M476" s="9">
        <v>0</v>
      </c>
      <c r="N476" s="12">
        <v>21.136666666666599</v>
      </c>
      <c r="O476" s="11">
        <v>34.712686666666599</v>
      </c>
      <c r="P476" s="31">
        <v>0.4063100564705886</v>
      </c>
      <c r="Q476" s="31">
        <v>2.3212287529411775</v>
      </c>
      <c r="R476" s="26" t="s">
        <v>280</v>
      </c>
      <c r="S476" s="26"/>
      <c r="T476" s="71" t="s">
        <v>626</v>
      </c>
    </row>
    <row r="477" spans="1:20">
      <c r="A477" s="1" t="s">
        <v>288</v>
      </c>
      <c r="B477" s="1">
        <v>29</v>
      </c>
      <c r="C477" s="1" t="s">
        <v>512</v>
      </c>
      <c r="D477" s="5">
        <v>43205</v>
      </c>
      <c r="E477" s="1">
        <f t="shared" si="33"/>
        <v>2018</v>
      </c>
      <c r="F477" s="1">
        <f t="shared" si="34"/>
        <v>4</v>
      </c>
      <c r="G477" s="4">
        <f t="shared" si="35"/>
        <v>15</v>
      </c>
      <c r="H477" s="8">
        <v>0.29236111111111113</v>
      </c>
      <c r="I477" s="11">
        <v>127.7645</v>
      </c>
      <c r="J477" s="11">
        <v>30.75</v>
      </c>
      <c r="K477" s="9">
        <v>5</v>
      </c>
      <c r="L477" s="9">
        <v>5</v>
      </c>
      <c r="M477" s="9">
        <v>0</v>
      </c>
      <c r="N477" s="12">
        <v>19.36</v>
      </c>
      <c r="O477" s="11">
        <v>34.521853333333297</v>
      </c>
      <c r="P477" s="31">
        <v>0.34142335529411749</v>
      </c>
      <c r="Q477" s="31">
        <v>1.8558756705882384</v>
      </c>
      <c r="R477" s="26" t="s">
        <v>280</v>
      </c>
      <c r="S477" s="26"/>
      <c r="T477" s="71" t="s">
        <v>626</v>
      </c>
    </row>
    <row r="478" spans="1:20">
      <c r="A478" s="1" t="s">
        <v>288</v>
      </c>
      <c r="B478" s="1">
        <v>30</v>
      </c>
      <c r="C478" s="1" t="s">
        <v>512</v>
      </c>
      <c r="D478" s="5">
        <v>43205</v>
      </c>
      <c r="E478" s="1">
        <f t="shared" si="33"/>
        <v>2018</v>
      </c>
      <c r="F478" s="1">
        <f t="shared" si="34"/>
        <v>4</v>
      </c>
      <c r="G478" s="4">
        <f t="shared" si="35"/>
        <v>15</v>
      </c>
      <c r="H478" s="8">
        <v>0.46388888888888885</v>
      </c>
      <c r="I478" s="11">
        <v>127.284833333333</v>
      </c>
      <c r="J478" s="11">
        <v>30.751000000000001</v>
      </c>
      <c r="K478" s="9">
        <v>5</v>
      </c>
      <c r="L478" s="9">
        <v>5</v>
      </c>
      <c r="M478" s="9">
        <v>0</v>
      </c>
      <c r="N478" s="12">
        <v>17.9716666666666</v>
      </c>
      <c r="O478" s="11">
        <v>34.439686666666603</v>
      </c>
      <c r="P478" s="31">
        <v>0.29395145411764689</v>
      </c>
      <c r="Q478" s="31">
        <v>1.4414517882352964</v>
      </c>
      <c r="R478" s="26" t="s">
        <v>280</v>
      </c>
      <c r="S478" s="26"/>
      <c r="T478" s="71" t="s">
        <v>626</v>
      </c>
    </row>
    <row r="479" spans="1:20">
      <c r="A479" s="1" t="s">
        <v>288</v>
      </c>
      <c r="B479" s="1">
        <v>31</v>
      </c>
      <c r="C479" s="1" t="s">
        <v>512</v>
      </c>
      <c r="D479" s="5">
        <v>43205</v>
      </c>
      <c r="E479" s="1">
        <f t="shared" si="33"/>
        <v>2018</v>
      </c>
      <c r="F479" s="1">
        <f t="shared" si="34"/>
        <v>4</v>
      </c>
      <c r="G479" s="4">
        <f t="shared" si="35"/>
        <v>15</v>
      </c>
      <c r="H479" s="8">
        <v>0.625</v>
      </c>
      <c r="I479" s="11">
        <v>126.790166666666</v>
      </c>
      <c r="J479" s="11">
        <v>30.748999999999999</v>
      </c>
      <c r="K479" s="9">
        <v>5</v>
      </c>
      <c r="L479" s="9">
        <v>5</v>
      </c>
      <c r="M479" s="9">
        <v>0</v>
      </c>
      <c r="N479" s="12">
        <v>17.001666666666601</v>
      </c>
      <c r="O479" s="11">
        <v>34.509520000000002</v>
      </c>
      <c r="P479" s="31">
        <v>0.20498771882352984</v>
      </c>
      <c r="Q479" s="31">
        <v>1.3905719905882368</v>
      </c>
      <c r="R479" s="26" t="s">
        <v>280</v>
      </c>
      <c r="S479" s="26"/>
      <c r="T479" s="71" t="s">
        <v>626</v>
      </c>
    </row>
    <row r="480" spans="1:20">
      <c r="A480" s="1" t="s">
        <v>288</v>
      </c>
      <c r="B480" s="1">
        <v>72</v>
      </c>
      <c r="C480" s="1" t="s">
        <v>513</v>
      </c>
      <c r="D480" s="5">
        <v>43217</v>
      </c>
      <c r="E480" s="1">
        <f t="shared" si="33"/>
        <v>2018</v>
      </c>
      <c r="F480" s="1">
        <f t="shared" si="34"/>
        <v>4</v>
      </c>
      <c r="G480" s="4">
        <f t="shared" si="35"/>
        <v>27</v>
      </c>
      <c r="H480" s="8">
        <v>0.17708333333333334</v>
      </c>
      <c r="I480" s="11">
        <v>126.2535</v>
      </c>
      <c r="J480" s="11">
        <v>30.7156666666666</v>
      </c>
      <c r="K480" s="9">
        <v>5</v>
      </c>
      <c r="L480" s="9">
        <v>5</v>
      </c>
      <c r="M480" s="9">
        <v>0</v>
      </c>
      <c r="N480" s="12">
        <v>16.649999999999999</v>
      </c>
      <c r="O480" s="11">
        <v>34.3691866666666</v>
      </c>
      <c r="P480" s="31">
        <v>0.29231147058823548</v>
      </c>
      <c r="Q480" s="31">
        <v>1.1419163529411769</v>
      </c>
      <c r="R480" s="26" t="s">
        <v>280</v>
      </c>
      <c r="S480" s="26"/>
      <c r="T480" s="71" t="s">
        <v>626</v>
      </c>
    </row>
    <row r="481" spans="1:20">
      <c r="A481" s="1" t="s">
        <v>474</v>
      </c>
      <c r="B481" s="1">
        <v>1</v>
      </c>
      <c r="C481" s="1" t="s">
        <v>513</v>
      </c>
      <c r="D481" s="5">
        <v>43566</v>
      </c>
      <c r="E481" s="1">
        <f t="shared" ref="E481:E512" si="36">YEAR(D481)</f>
        <v>2019</v>
      </c>
      <c r="F481" s="1">
        <f t="shared" ref="F481:F512" si="37">MONTH(D481)</f>
        <v>4</v>
      </c>
      <c r="G481" s="4">
        <f t="shared" ref="G481:G512" si="38">DAY(D481)</f>
        <v>11</v>
      </c>
      <c r="H481" s="8">
        <v>0.61249999999999993</v>
      </c>
      <c r="I481" s="11">
        <v>129.67533333333299</v>
      </c>
      <c r="J481" s="11">
        <v>32.7721666666666</v>
      </c>
      <c r="K481" s="9">
        <v>5</v>
      </c>
      <c r="L481" s="9">
        <v>5</v>
      </c>
      <c r="M481" s="9">
        <v>0</v>
      </c>
      <c r="N481" s="12">
        <v>16.899333333333299</v>
      </c>
      <c r="O481" s="11">
        <v>34.32</v>
      </c>
      <c r="P481" s="33">
        <v>0.2294920611764697</v>
      </c>
      <c r="Q481" s="33">
        <v>1.1110615070588228</v>
      </c>
      <c r="R481" s="1" t="s">
        <v>280</v>
      </c>
      <c r="T481" s="71" t="s">
        <v>626</v>
      </c>
    </row>
    <row r="482" spans="1:20">
      <c r="A482" s="1" t="s">
        <v>474</v>
      </c>
      <c r="B482" s="1">
        <v>2</v>
      </c>
      <c r="C482" s="1" t="s">
        <v>513</v>
      </c>
      <c r="D482" s="5">
        <v>43566</v>
      </c>
      <c r="E482" s="1">
        <f t="shared" si="36"/>
        <v>2019</v>
      </c>
      <c r="F482" s="1">
        <f t="shared" si="37"/>
        <v>4</v>
      </c>
      <c r="G482" s="4">
        <f t="shared" si="38"/>
        <v>11</v>
      </c>
      <c r="H482" s="8">
        <v>0.78472222222222221</v>
      </c>
      <c r="I482" s="11">
        <v>129.18349999999899</v>
      </c>
      <c r="J482" s="11">
        <v>32.75</v>
      </c>
      <c r="K482" s="9">
        <v>5</v>
      </c>
      <c r="L482" s="9">
        <v>5</v>
      </c>
      <c r="M482" s="9">
        <v>0</v>
      </c>
      <c r="N482" s="12">
        <v>17.409333333333301</v>
      </c>
      <c r="O482" s="11">
        <v>34.635833333333295</v>
      </c>
      <c r="P482" s="33">
        <v>0.2303048105882346</v>
      </c>
      <c r="Q482" s="33">
        <v>1.4614110035294114</v>
      </c>
      <c r="R482" s="1" t="s">
        <v>280</v>
      </c>
      <c r="T482" s="71" t="s">
        <v>626</v>
      </c>
    </row>
    <row r="483" spans="1:20">
      <c r="A483" s="1" t="s">
        <v>474</v>
      </c>
      <c r="B483" s="1">
        <v>3</v>
      </c>
      <c r="C483" s="1" t="s">
        <v>513</v>
      </c>
      <c r="D483" s="5">
        <v>43567</v>
      </c>
      <c r="E483" s="1">
        <f t="shared" si="36"/>
        <v>2019</v>
      </c>
      <c r="F483" s="1">
        <f t="shared" si="37"/>
        <v>4</v>
      </c>
      <c r="G483" s="4">
        <f t="shared" si="38"/>
        <v>12</v>
      </c>
      <c r="H483" s="8">
        <v>2.2222222222222223E-2</v>
      </c>
      <c r="I483" s="11">
        <v>128.36699999999999</v>
      </c>
      <c r="J483" s="11">
        <v>32.718166666666598</v>
      </c>
      <c r="K483" s="9">
        <v>5</v>
      </c>
      <c r="L483" s="9">
        <v>5</v>
      </c>
      <c r="M483" s="9">
        <v>0</v>
      </c>
      <c r="N483" s="12">
        <v>17.1926666666666</v>
      </c>
      <c r="O483" s="11">
        <v>34.646499999999996</v>
      </c>
      <c r="P483" s="33">
        <v>0.23550709999999953</v>
      </c>
      <c r="Q483" s="33">
        <v>1.303908728571427</v>
      </c>
      <c r="R483" s="1" t="s">
        <v>280</v>
      </c>
      <c r="T483" s="71" t="s">
        <v>626</v>
      </c>
    </row>
    <row r="484" spans="1:20">
      <c r="A484" s="1" t="s">
        <v>474</v>
      </c>
      <c r="B484" s="1">
        <v>4</v>
      </c>
      <c r="C484" s="1" t="s">
        <v>513</v>
      </c>
      <c r="D484" s="5">
        <v>43567</v>
      </c>
      <c r="E484" s="1">
        <f t="shared" si="36"/>
        <v>2019</v>
      </c>
      <c r="F484" s="1">
        <f t="shared" si="37"/>
        <v>4</v>
      </c>
      <c r="G484" s="4">
        <f t="shared" si="38"/>
        <v>12</v>
      </c>
      <c r="H484" s="8">
        <v>0.18958333333333333</v>
      </c>
      <c r="I484" s="11">
        <v>127.80466666666599</v>
      </c>
      <c r="J484" s="11">
        <v>32.750833333333297</v>
      </c>
      <c r="K484" s="9">
        <v>5</v>
      </c>
      <c r="L484" s="9">
        <v>5</v>
      </c>
      <c r="M484" s="9">
        <v>0</v>
      </c>
      <c r="N484" s="12">
        <v>17.897666666666598</v>
      </c>
      <c r="O484" s="11">
        <v>34.643999999999998</v>
      </c>
      <c r="P484" s="33">
        <v>0.26471928941176426</v>
      </c>
      <c r="Q484" s="33">
        <v>1.5878771564705865</v>
      </c>
      <c r="R484" s="1" t="s">
        <v>280</v>
      </c>
      <c r="T484" s="71" t="s">
        <v>626</v>
      </c>
    </row>
    <row r="485" spans="1:20">
      <c r="A485" s="1" t="s">
        <v>474</v>
      </c>
      <c r="B485" s="1">
        <v>5</v>
      </c>
      <c r="C485" s="1" t="s">
        <v>513</v>
      </c>
      <c r="D485" s="5">
        <v>43567</v>
      </c>
      <c r="E485" s="1">
        <f t="shared" si="36"/>
        <v>2019</v>
      </c>
      <c r="F485" s="1">
        <f t="shared" si="37"/>
        <v>4</v>
      </c>
      <c r="G485" s="4">
        <f t="shared" si="38"/>
        <v>12</v>
      </c>
      <c r="H485" s="8">
        <v>0.3840277777777778</v>
      </c>
      <c r="I485" s="11">
        <v>127.28666666666599</v>
      </c>
      <c r="J485" s="11">
        <v>32.284999999999997</v>
      </c>
      <c r="K485" s="9">
        <v>5</v>
      </c>
      <c r="L485" s="9">
        <v>5</v>
      </c>
      <c r="M485" s="9">
        <v>0</v>
      </c>
      <c r="N485" s="12">
        <v>17.730999999999998</v>
      </c>
      <c r="O485" s="11">
        <v>34.617166666666598</v>
      </c>
      <c r="P485" s="33">
        <v>0.23769233882352925</v>
      </c>
      <c r="Q485" s="33">
        <v>1.5086358529411736</v>
      </c>
      <c r="R485" s="1" t="s">
        <v>280</v>
      </c>
      <c r="T485" s="71" t="s">
        <v>626</v>
      </c>
    </row>
    <row r="486" spans="1:20">
      <c r="A486" s="1" t="s">
        <v>474</v>
      </c>
      <c r="B486" s="1">
        <v>6</v>
      </c>
      <c r="C486" s="1" t="s">
        <v>513</v>
      </c>
      <c r="D486" s="5">
        <v>43567</v>
      </c>
      <c r="E486" s="1">
        <f t="shared" si="36"/>
        <v>2019</v>
      </c>
      <c r="F486" s="1">
        <f t="shared" si="37"/>
        <v>4</v>
      </c>
      <c r="G486" s="4">
        <f t="shared" si="38"/>
        <v>12</v>
      </c>
      <c r="H486" s="8">
        <v>0.53055555555555556</v>
      </c>
      <c r="I486" s="11">
        <v>127.695666666666</v>
      </c>
      <c r="J486" s="11">
        <v>32.249666666666599</v>
      </c>
      <c r="K486" s="9">
        <v>5</v>
      </c>
      <c r="L486" s="9">
        <v>5</v>
      </c>
      <c r="M486" s="9">
        <v>0</v>
      </c>
      <c r="N486" s="12">
        <v>18.451000000000001</v>
      </c>
      <c r="O486" s="11">
        <v>34.628499999999995</v>
      </c>
      <c r="P486" s="33">
        <v>0.2371793882352935</v>
      </c>
      <c r="Q486" s="33">
        <v>1.602131715126049</v>
      </c>
      <c r="R486" s="1" t="s">
        <v>280</v>
      </c>
      <c r="T486" s="71" t="s">
        <v>626</v>
      </c>
    </row>
    <row r="487" spans="1:20">
      <c r="A487" s="1" t="s">
        <v>474</v>
      </c>
      <c r="B487" s="1">
        <v>7</v>
      </c>
      <c r="C487" s="1" t="s">
        <v>513</v>
      </c>
      <c r="D487" s="5">
        <v>43567</v>
      </c>
      <c r="E487" s="1">
        <f t="shared" si="36"/>
        <v>2019</v>
      </c>
      <c r="F487" s="1">
        <f t="shared" si="37"/>
        <v>4</v>
      </c>
      <c r="G487" s="4">
        <f t="shared" si="38"/>
        <v>12</v>
      </c>
      <c r="H487" s="8">
        <v>0.6791666666666667</v>
      </c>
      <c r="I487" s="11">
        <v>128.19266666666601</v>
      </c>
      <c r="J487" s="11">
        <v>32.246000000000002</v>
      </c>
      <c r="K487" s="9">
        <v>5</v>
      </c>
      <c r="L487" s="9">
        <v>5</v>
      </c>
      <c r="M487" s="9">
        <v>0</v>
      </c>
      <c r="N487" s="12">
        <v>18.030999999999999</v>
      </c>
      <c r="O487" s="11">
        <v>34.665833333333296</v>
      </c>
      <c r="P487" s="33">
        <v>0.28911996764705838</v>
      </c>
      <c r="Q487" s="33">
        <v>1.5900245308823528</v>
      </c>
      <c r="R487" s="1" t="s">
        <v>280</v>
      </c>
      <c r="T487" s="71" t="s">
        <v>626</v>
      </c>
    </row>
    <row r="488" spans="1:20">
      <c r="A488" s="1" t="s">
        <v>474</v>
      </c>
      <c r="B488" s="1">
        <v>8</v>
      </c>
      <c r="C488" s="1" t="s">
        <v>513</v>
      </c>
      <c r="D488" s="5">
        <v>43567</v>
      </c>
      <c r="E488" s="1">
        <f t="shared" si="36"/>
        <v>2019</v>
      </c>
      <c r="F488" s="1">
        <f t="shared" si="37"/>
        <v>4</v>
      </c>
      <c r="G488" s="4">
        <f t="shared" si="38"/>
        <v>12</v>
      </c>
      <c r="H488" s="8">
        <v>0.81736111111111109</v>
      </c>
      <c r="I488" s="11">
        <v>128.68516666666599</v>
      </c>
      <c r="J488" s="11">
        <v>32.25</v>
      </c>
      <c r="K488" s="9">
        <v>5</v>
      </c>
      <c r="L488" s="9">
        <v>5</v>
      </c>
      <c r="M488" s="9">
        <v>0</v>
      </c>
      <c r="N488" s="12">
        <v>18.1376666666666</v>
      </c>
      <c r="O488" s="11">
        <v>34.661499999999997</v>
      </c>
      <c r="P488" s="33">
        <v>0.24219278705882319</v>
      </c>
      <c r="Q488" s="33">
        <v>1.5732019823529413</v>
      </c>
      <c r="R488" s="1" t="s">
        <v>280</v>
      </c>
      <c r="T488" s="71" t="s">
        <v>626</v>
      </c>
    </row>
    <row r="489" spans="1:20">
      <c r="A489" s="1" t="s">
        <v>474</v>
      </c>
      <c r="B489" s="1">
        <v>9</v>
      </c>
      <c r="C489" s="1" t="s">
        <v>513</v>
      </c>
      <c r="D489" s="5">
        <v>43567</v>
      </c>
      <c r="E489" s="1">
        <f t="shared" si="36"/>
        <v>2019</v>
      </c>
      <c r="F489" s="1">
        <f t="shared" si="37"/>
        <v>4</v>
      </c>
      <c r="G489" s="4">
        <f t="shared" si="38"/>
        <v>12</v>
      </c>
      <c r="H489" s="8">
        <v>0.96180555555555547</v>
      </c>
      <c r="I489" s="11">
        <v>129.2045</v>
      </c>
      <c r="J489" s="11">
        <v>32.247999999999998</v>
      </c>
      <c r="K489" s="9">
        <v>5</v>
      </c>
      <c r="L489" s="9">
        <v>5</v>
      </c>
      <c r="M489" s="9">
        <v>0</v>
      </c>
      <c r="N489" s="12">
        <v>18.044333333333299</v>
      </c>
      <c r="O489" s="11">
        <v>34.6606666666666</v>
      </c>
      <c r="P489" s="33">
        <v>0.21722909999999995</v>
      </c>
      <c r="Q489" s="33">
        <v>1.5276279999999982</v>
      </c>
      <c r="R489" s="1" t="s">
        <v>280</v>
      </c>
      <c r="T489" s="71" t="s">
        <v>626</v>
      </c>
    </row>
    <row r="490" spans="1:20">
      <c r="A490" s="1" t="s">
        <v>474</v>
      </c>
      <c r="B490" s="1">
        <v>10</v>
      </c>
      <c r="C490" s="1" t="s">
        <v>513</v>
      </c>
      <c r="D490" s="5">
        <v>43568</v>
      </c>
      <c r="E490" s="1">
        <f t="shared" si="36"/>
        <v>2019</v>
      </c>
      <c r="F490" s="1">
        <f t="shared" si="37"/>
        <v>4</v>
      </c>
      <c r="G490" s="4">
        <f t="shared" si="38"/>
        <v>13</v>
      </c>
      <c r="H490" s="8">
        <v>0.15138888888888888</v>
      </c>
      <c r="I490" s="11">
        <v>129.745</v>
      </c>
      <c r="J490" s="11">
        <v>32.250571428571398</v>
      </c>
      <c r="K490" s="9">
        <v>5</v>
      </c>
      <c r="L490" s="9">
        <v>5</v>
      </c>
      <c r="M490" s="9">
        <v>0</v>
      </c>
      <c r="N490" s="12">
        <v>17.762428571428501</v>
      </c>
      <c r="O490" s="11">
        <v>34.644428571428499</v>
      </c>
      <c r="P490" s="33">
        <v>0.22682439999999993</v>
      </c>
      <c r="Q490" s="33">
        <v>1.5619987999999996</v>
      </c>
      <c r="R490" s="1" t="s">
        <v>280</v>
      </c>
      <c r="T490" s="71" t="s">
        <v>626</v>
      </c>
    </row>
    <row r="491" spans="1:20">
      <c r="A491" s="1" t="s">
        <v>474</v>
      </c>
      <c r="B491" s="1">
        <v>11</v>
      </c>
      <c r="C491" s="1" t="s">
        <v>513</v>
      </c>
      <c r="D491" s="5">
        <v>43568</v>
      </c>
      <c r="E491" s="1">
        <f t="shared" si="36"/>
        <v>2019</v>
      </c>
      <c r="F491" s="1">
        <f t="shared" si="37"/>
        <v>4</v>
      </c>
      <c r="G491" s="4">
        <f t="shared" si="38"/>
        <v>13</v>
      </c>
      <c r="H491" s="8">
        <v>0.28402777777777777</v>
      </c>
      <c r="I491" s="11">
        <v>129.67500000000001</v>
      </c>
      <c r="J491" s="11">
        <v>31.795666666666602</v>
      </c>
      <c r="K491" s="9">
        <v>5</v>
      </c>
      <c r="L491" s="9">
        <v>5</v>
      </c>
      <c r="M491" s="9">
        <v>0</v>
      </c>
      <c r="N491" s="12">
        <v>18.241</v>
      </c>
      <c r="O491" s="11">
        <v>34.654999999999994</v>
      </c>
      <c r="P491" s="33">
        <v>0.20515329999999965</v>
      </c>
      <c r="Q491" s="33">
        <v>1.5328711999999989</v>
      </c>
      <c r="R491" s="1" t="s">
        <v>280</v>
      </c>
      <c r="T491" s="71" t="s">
        <v>626</v>
      </c>
    </row>
    <row r="492" spans="1:20">
      <c r="A492" s="1" t="s">
        <v>474</v>
      </c>
      <c r="B492" s="1">
        <v>12</v>
      </c>
      <c r="C492" s="1" t="s">
        <v>513</v>
      </c>
      <c r="D492" s="5">
        <v>43568</v>
      </c>
      <c r="E492" s="1">
        <f t="shared" si="36"/>
        <v>2019</v>
      </c>
      <c r="F492" s="1">
        <f t="shared" si="37"/>
        <v>4</v>
      </c>
      <c r="G492" s="4">
        <f t="shared" si="38"/>
        <v>13</v>
      </c>
      <c r="H492" s="8">
        <v>0.41319444444444442</v>
      </c>
      <c r="I492" s="11">
        <v>129.301285714285</v>
      </c>
      <c r="J492" s="11">
        <v>31.748999999999999</v>
      </c>
      <c r="K492" s="9">
        <v>5</v>
      </c>
      <c r="L492" s="9">
        <v>5</v>
      </c>
      <c r="M492" s="9">
        <v>0</v>
      </c>
      <c r="N492" s="12">
        <v>18.669571428571398</v>
      </c>
      <c r="O492" s="11">
        <v>34.641571428571396</v>
      </c>
      <c r="P492" s="33">
        <v>0.2347014999999999</v>
      </c>
      <c r="Q492" s="33">
        <v>1.5706930000000003</v>
      </c>
      <c r="R492" s="1" t="s">
        <v>280</v>
      </c>
      <c r="T492" s="71" t="s">
        <v>626</v>
      </c>
    </row>
    <row r="493" spans="1:20">
      <c r="A493" s="1" t="s">
        <v>474</v>
      </c>
      <c r="B493" s="1">
        <v>13</v>
      </c>
      <c r="C493" s="1" t="s">
        <v>513</v>
      </c>
      <c r="D493" s="5">
        <v>43568</v>
      </c>
      <c r="E493" s="1">
        <f t="shared" si="36"/>
        <v>2019</v>
      </c>
      <c r="F493" s="1">
        <f t="shared" si="37"/>
        <v>4</v>
      </c>
      <c r="G493" s="4">
        <f t="shared" si="38"/>
        <v>13</v>
      </c>
      <c r="H493" s="8">
        <v>0.5541666666666667</v>
      </c>
      <c r="I493" s="11">
        <v>128.81</v>
      </c>
      <c r="J493" s="11">
        <v>31.753</v>
      </c>
      <c r="K493" s="9">
        <v>5</v>
      </c>
      <c r="L493" s="9">
        <v>5</v>
      </c>
      <c r="M493" s="9">
        <v>0</v>
      </c>
      <c r="N493" s="12">
        <v>18.153857142857099</v>
      </c>
      <c r="O493" s="11">
        <v>34.662285714285694</v>
      </c>
      <c r="P493" s="33">
        <v>0.21097339999999942</v>
      </c>
      <c r="Q493" s="33">
        <v>1.4450359999999982</v>
      </c>
      <c r="R493" s="1" t="s">
        <v>280</v>
      </c>
      <c r="T493" s="71" t="s">
        <v>626</v>
      </c>
    </row>
    <row r="494" spans="1:20">
      <c r="A494" s="1" t="s">
        <v>474</v>
      </c>
      <c r="B494" s="1">
        <v>14</v>
      </c>
      <c r="C494" s="1" t="s">
        <v>513</v>
      </c>
      <c r="D494" s="5">
        <v>43568</v>
      </c>
      <c r="E494" s="1">
        <f t="shared" si="36"/>
        <v>2019</v>
      </c>
      <c r="F494" s="1">
        <f t="shared" si="37"/>
        <v>4</v>
      </c>
      <c r="G494" s="4">
        <f t="shared" si="38"/>
        <v>13</v>
      </c>
      <c r="H494" s="8">
        <v>0.69652777777777775</v>
      </c>
      <c r="I494" s="11">
        <v>128.302333333333</v>
      </c>
      <c r="J494" s="11">
        <v>31.751000000000001</v>
      </c>
      <c r="K494" s="9">
        <v>5</v>
      </c>
      <c r="L494" s="9">
        <v>5</v>
      </c>
      <c r="M494" s="9">
        <v>0</v>
      </c>
      <c r="N494" s="12">
        <v>18.855999999999998</v>
      </c>
      <c r="O494" s="11">
        <v>34.652666666666597</v>
      </c>
      <c r="P494" s="33">
        <v>0.22653399999999957</v>
      </c>
      <c r="Q494" s="33">
        <v>1.6073895999999994</v>
      </c>
      <c r="R494" s="1" t="s">
        <v>280</v>
      </c>
      <c r="T494" s="71" t="s">
        <v>626</v>
      </c>
    </row>
    <row r="495" spans="1:20">
      <c r="A495" s="1" t="s">
        <v>474</v>
      </c>
      <c r="B495" s="1">
        <v>15</v>
      </c>
      <c r="C495" s="1" t="s">
        <v>513</v>
      </c>
      <c r="D495" s="5">
        <v>43568</v>
      </c>
      <c r="E495" s="1">
        <f t="shared" si="36"/>
        <v>2019</v>
      </c>
      <c r="F495" s="1">
        <f t="shared" si="37"/>
        <v>4</v>
      </c>
      <c r="G495" s="4">
        <f t="shared" si="38"/>
        <v>13</v>
      </c>
      <c r="H495" s="8">
        <v>0.84930555555555554</v>
      </c>
      <c r="I495" s="11">
        <v>127.774</v>
      </c>
      <c r="J495" s="11">
        <v>31.751000000000001</v>
      </c>
      <c r="K495" s="9">
        <v>5</v>
      </c>
      <c r="L495" s="9">
        <v>5</v>
      </c>
      <c r="M495" s="9">
        <v>0</v>
      </c>
      <c r="N495" s="12">
        <v>18.910999999999998</v>
      </c>
      <c r="O495" s="11">
        <v>34.616666666666596</v>
      </c>
      <c r="P495" s="33">
        <v>0.25916770000000033</v>
      </c>
      <c r="Q495" s="33">
        <v>1.5200879999999994</v>
      </c>
      <c r="R495" s="1" t="s">
        <v>280</v>
      </c>
      <c r="T495" s="71" t="s">
        <v>626</v>
      </c>
    </row>
    <row r="496" spans="1:20">
      <c r="A496" s="1" t="s">
        <v>474</v>
      </c>
      <c r="B496" s="1">
        <v>16</v>
      </c>
      <c r="C496" s="1" t="s">
        <v>513</v>
      </c>
      <c r="D496" s="5">
        <v>43568</v>
      </c>
      <c r="E496" s="1">
        <f t="shared" si="36"/>
        <v>2019</v>
      </c>
      <c r="F496" s="1">
        <f t="shared" si="37"/>
        <v>4</v>
      </c>
      <c r="G496" s="4">
        <f t="shared" si="38"/>
        <v>13</v>
      </c>
      <c r="H496" s="8">
        <v>0.98819444444444438</v>
      </c>
      <c r="I496" s="11">
        <v>127.302666666666</v>
      </c>
      <c r="J496" s="11">
        <v>31.75</v>
      </c>
      <c r="K496" s="9">
        <v>5</v>
      </c>
      <c r="L496" s="9">
        <v>5</v>
      </c>
      <c r="M496" s="9">
        <v>0</v>
      </c>
      <c r="N496" s="12">
        <v>17.457666666666601</v>
      </c>
      <c r="O496" s="11">
        <v>34.531333333333301</v>
      </c>
      <c r="P496" s="33">
        <v>0.29322919999999986</v>
      </c>
      <c r="Q496" s="33">
        <v>1.5157843999999976</v>
      </c>
      <c r="R496" s="1" t="s">
        <v>280</v>
      </c>
      <c r="T496" s="71" t="s">
        <v>626</v>
      </c>
    </row>
    <row r="497" spans="1:20">
      <c r="A497" s="1" t="s">
        <v>474</v>
      </c>
      <c r="B497" s="1">
        <v>17</v>
      </c>
      <c r="C497" s="1" t="s">
        <v>513</v>
      </c>
      <c r="D497" s="5">
        <v>43569</v>
      </c>
      <c r="E497" s="1">
        <f t="shared" si="36"/>
        <v>2019</v>
      </c>
      <c r="F497" s="1">
        <f t="shared" si="37"/>
        <v>4</v>
      </c>
      <c r="G497" s="4">
        <f t="shared" si="38"/>
        <v>14</v>
      </c>
      <c r="H497" s="8">
        <v>0.12083333333333333</v>
      </c>
      <c r="I497" s="11">
        <v>126.850333333333</v>
      </c>
      <c r="J497" s="11">
        <v>31.765000000000001</v>
      </c>
      <c r="K497" s="9">
        <v>5</v>
      </c>
      <c r="L497" s="9">
        <v>5</v>
      </c>
      <c r="M497" s="9">
        <v>0</v>
      </c>
      <c r="N497" s="12">
        <v>17.1793333333333</v>
      </c>
      <c r="O497" s="11">
        <v>34.5311666666666</v>
      </c>
      <c r="P497" s="33">
        <v>0.19030659999999955</v>
      </c>
      <c r="Q497" s="33">
        <v>1.3046411999999989</v>
      </c>
      <c r="R497" s="1" t="s">
        <v>280</v>
      </c>
      <c r="T497" s="71" t="s">
        <v>626</v>
      </c>
    </row>
    <row r="498" spans="1:20">
      <c r="A498" s="1" t="s">
        <v>474</v>
      </c>
      <c r="B498" s="1">
        <v>18</v>
      </c>
      <c r="C498" s="1" t="s">
        <v>513</v>
      </c>
      <c r="D498" s="5">
        <v>43569</v>
      </c>
      <c r="E498" s="1">
        <f t="shared" si="36"/>
        <v>2019</v>
      </c>
      <c r="F498" s="1">
        <f t="shared" si="37"/>
        <v>4</v>
      </c>
      <c r="G498" s="4">
        <f t="shared" si="38"/>
        <v>14</v>
      </c>
      <c r="H498" s="8">
        <v>0.29583333333333334</v>
      </c>
      <c r="I498" s="11">
        <v>126.739</v>
      </c>
      <c r="J498" s="11">
        <v>31.290333333333301</v>
      </c>
      <c r="K498" s="9">
        <v>5</v>
      </c>
      <c r="L498" s="9">
        <v>5</v>
      </c>
      <c r="M498" s="9">
        <v>0</v>
      </c>
      <c r="N498" s="12">
        <v>15.569333333333299</v>
      </c>
      <c r="O498" s="11">
        <v>34.1428333333333</v>
      </c>
      <c r="P498" s="33">
        <v>0.13675199999999954</v>
      </c>
      <c r="Q498" s="33">
        <v>0.85212519999999792</v>
      </c>
      <c r="R498" s="1" t="s">
        <v>280</v>
      </c>
      <c r="T498" s="71" t="s">
        <v>626</v>
      </c>
    </row>
    <row r="499" spans="1:20">
      <c r="A499" s="1" t="s">
        <v>474</v>
      </c>
      <c r="B499" s="1">
        <v>19</v>
      </c>
      <c r="C499" s="1" t="s">
        <v>513</v>
      </c>
      <c r="D499" s="5">
        <v>43569</v>
      </c>
      <c r="E499" s="1">
        <f t="shared" si="36"/>
        <v>2019</v>
      </c>
      <c r="F499" s="1">
        <f t="shared" si="37"/>
        <v>4</v>
      </c>
      <c r="G499" s="4">
        <f t="shared" si="38"/>
        <v>14</v>
      </c>
      <c r="H499" s="8">
        <v>0.4375</v>
      </c>
      <c r="I499" s="11">
        <v>127.197666666666</v>
      </c>
      <c r="J499" s="11">
        <v>31.2395</v>
      </c>
      <c r="K499" s="9">
        <v>5</v>
      </c>
      <c r="L499" s="9">
        <v>5</v>
      </c>
      <c r="M499" s="9">
        <v>0</v>
      </c>
      <c r="N499" s="12">
        <v>16.765999999999998</v>
      </c>
      <c r="O499" s="11">
        <v>34.433</v>
      </c>
      <c r="P499" s="33">
        <v>0.16136339999999949</v>
      </c>
      <c r="Q499" s="33">
        <v>1.0543131999999993</v>
      </c>
      <c r="R499" s="1" t="s">
        <v>280</v>
      </c>
      <c r="T499" s="71" t="s">
        <v>626</v>
      </c>
    </row>
    <row r="500" spans="1:20">
      <c r="A500" s="1" t="s">
        <v>474</v>
      </c>
      <c r="B500" s="1">
        <v>20</v>
      </c>
      <c r="C500" s="1" t="s">
        <v>513</v>
      </c>
      <c r="D500" s="5">
        <v>43569</v>
      </c>
      <c r="E500" s="1">
        <f t="shared" si="36"/>
        <v>2019</v>
      </c>
      <c r="F500" s="1">
        <f t="shared" si="37"/>
        <v>4</v>
      </c>
      <c r="G500" s="4">
        <f t="shared" si="38"/>
        <v>14</v>
      </c>
      <c r="H500" s="8">
        <v>0.5625</v>
      </c>
      <c r="I500" s="11">
        <v>127.690333333333</v>
      </c>
      <c r="J500" s="11">
        <v>31.251000000000001</v>
      </c>
      <c r="K500" s="9">
        <v>5</v>
      </c>
      <c r="L500" s="9">
        <v>5</v>
      </c>
      <c r="M500" s="9">
        <v>0</v>
      </c>
      <c r="N500" s="12">
        <v>19.260999999999999</v>
      </c>
      <c r="O500" s="11">
        <v>34.503833333333297</v>
      </c>
      <c r="P500" s="33">
        <v>0.17651259999999969</v>
      </c>
      <c r="Q500" s="33">
        <v>1.3022515999999982</v>
      </c>
      <c r="R500" s="1" t="s">
        <v>280</v>
      </c>
      <c r="T500" s="71" t="s">
        <v>626</v>
      </c>
    </row>
    <row r="501" spans="1:20">
      <c r="A501" s="1" t="s">
        <v>474</v>
      </c>
      <c r="B501" s="1">
        <v>21</v>
      </c>
      <c r="C501" s="1" t="s">
        <v>513</v>
      </c>
      <c r="D501" s="5">
        <v>43569</v>
      </c>
      <c r="E501" s="1">
        <f t="shared" si="36"/>
        <v>2019</v>
      </c>
      <c r="F501" s="1">
        <f t="shared" si="37"/>
        <v>4</v>
      </c>
      <c r="G501" s="4">
        <f t="shared" si="38"/>
        <v>14</v>
      </c>
      <c r="H501" s="8">
        <v>0.70000000000000007</v>
      </c>
      <c r="I501" s="11">
        <v>128.185</v>
      </c>
      <c r="J501" s="11">
        <v>31.248999999999999</v>
      </c>
      <c r="K501" s="9">
        <v>5</v>
      </c>
      <c r="L501" s="9">
        <v>5</v>
      </c>
      <c r="M501" s="9">
        <v>0</v>
      </c>
      <c r="N501" s="12">
        <v>18.686</v>
      </c>
      <c r="O501" s="11">
        <v>34.603333333333296</v>
      </c>
      <c r="P501" s="33">
        <v>0.24000129999999942</v>
      </c>
      <c r="Q501" s="33">
        <v>1.6681156000000001</v>
      </c>
      <c r="R501" s="1" t="s">
        <v>280</v>
      </c>
      <c r="T501" s="71" t="s">
        <v>626</v>
      </c>
    </row>
    <row r="502" spans="1:20">
      <c r="A502" s="1" t="s">
        <v>474</v>
      </c>
      <c r="B502" s="1">
        <v>22</v>
      </c>
      <c r="C502" s="1" t="s">
        <v>513</v>
      </c>
      <c r="D502" s="5">
        <v>43569</v>
      </c>
      <c r="E502" s="1">
        <f t="shared" si="36"/>
        <v>2019</v>
      </c>
      <c r="F502" s="1">
        <f t="shared" si="37"/>
        <v>4</v>
      </c>
      <c r="G502" s="4">
        <f t="shared" si="38"/>
        <v>14</v>
      </c>
      <c r="H502" s="8">
        <v>0.84375</v>
      </c>
      <c r="I502" s="11">
        <v>128.68766666666599</v>
      </c>
      <c r="J502" s="11">
        <v>31.248999999999999</v>
      </c>
      <c r="K502" s="9">
        <v>5</v>
      </c>
      <c r="L502" s="9">
        <v>5</v>
      </c>
      <c r="M502" s="9">
        <v>0</v>
      </c>
      <c r="N502" s="12">
        <v>19.284333333333301</v>
      </c>
      <c r="O502" s="11">
        <v>34.6026666666666</v>
      </c>
      <c r="P502" s="33">
        <v>0.28559410000000041</v>
      </c>
      <c r="Q502" s="33">
        <v>1.5904767999999994</v>
      </c>
      <c r="R502" s="1" t="s">
        <v>280</v>
      </c>
      <c r="T502" s="71" t="s">
        <v>626</v>
      </c>
    </row>
    <row r="503" spans="1:20">
      <c r="A503" s="1" t="s">
        <v>474</v>
      </c>
      <c r="B503" s="1">
        <v>23</v>
      </c>
      <c r="C503" s="1" t="s">
        <v>513</v>
      </c>
      <c r="D503" s="5">
        <v>43569</v>
      </c>
      <c r="E503" s="1">
        <f t="shared" si="36"/>
        <v>2019</v>
      </c>
      <c r="F503" s="1">
        <f t="shared" si="37"/>
        <v>4</v>
      </c>
      <c r="G503" s="4">
        <f t="shared" si="38"/>
        <v>14</v>
      </c>
      <c r="H503" s="8">
        <v>0.99652777777777779</v>
      </c>
      <c r="I503" s="11">
        <v>129.202666666666</v>
      </c>
      <c r="J503" s="11">
        <v>31.25</v>
      </c>
      <c r="K503" s="9">
        <v>5</v>
      </c>
      <c r="L503" s="9">
        <v>5</v>
      </c>
      <c r="M503" s="9">
        <v>0</v>
      </c>
      <c r="N503" s="12">
        <v>19.000999999999998</v>
      </c>
      <c r="O503" s="11">
        <v>34.631999999999998</v>
      </c>
      <c r="P503" s="33">
        <v>0.20447570000000015</v>
      </c>
      <c r="Q503" s="33">
        <v>1.411674399999999</v>
      </c>
      <c r="R503" s="1" t="s">
        <v>280</v>
      </c>
      <c r="T503" s="71" t="s">
        <v>626</v>
      </c>
    </row>
    <row r="504" spans="1:20">
      <c r="A504" s="1" t="s">
        <v>474</v>
      </c>
      <c r="B504" s="1">
        <v>24</v>
      </c>
      <c r="C504" s="1" t="s">
        <v>513</v>
      </c>
      <c r="D504" s="5">
        <v>43570</v>
      </c>
      <c r="E504" s="1">
        <f t="shared" si="36"/>
        <v>2019</v>
      </c>
      <c r="F504" s="1">
        <f t="shared" si="37"/>
        <v>4</v>
      </c>
      <c r="G504" s="4">
        <f t="shared" si="38"/>
        <v>15</v>
      </c>
      <c r="H504" s="8">
        <v>0.15069444444444444</v>
      </c>
      <c r="I504" s="11">
        <v>129.69616666666599</v>
      </c>
      <c r="J504" s="11">
        <v>31.248000000000001</v>
      </c>
      <c r="K504" s="9">
        <v>5</v>
      </c>
      <c r="L504" s="9">
        <v>5</v>
      </c>
      <c r="M504" s="9">
        <v>0</v>
      </c>
      <c r="N504" s="12">
        <v>18.9976666666666</v>
      </c>
      <c r="O504" s="11">
        <v>34.641999999999996</v>
      </c>
      <c r="P504" s="33">
        <v>0.32535665058823504</v>
      </c>
      <c r="Q504" s="33">
        <v>1.6657740705882329</v>
      </c>
      <c r="R504" s="1" t="s">
        <v>280</v>
      </c>
      <c r="T504" s="71" t="s">
        <v>626</v>
      </c>
    </row>
    <row r="505" spans="1:20">
      <c r="A505" s="1" t="s">
        <v>474</v>
      </c>
      <c r="B505" s="1">
        <v>25</v>
      </c>
      <c r="C505" s="1" t="s">
        <v>513</v>
      </c>
      <c r="D505" s="5">
        <v>43570</v>
      </c>
      <c r="E505" s="1">
        <f t="shared" si="36"/>
        <v>2019</v>
      </c>
      <c r="F505" s="1">
        <f t="shared" si="37"/>
        <v>4</v>
      </c>
      <c r="G505" s="4">
        <f t="shared" si="38"/>
        <v>15</v>
      </c>
      <c r="H505" s="8">
        <v>0.31666666666666665</v>
      </c>
      <c r="I505" s="11">
        <v>129.749</v>
      </c>
      <c r="J505" s="11">
        <v>30.7983333333333</v>
      </c>
      <c r="K505" s="9">
        <v>5</v>
      </c>
      <c r="L505" s="9">
        <v>5</v>
      </c>
      <c r="M505" s="9">
        <v>0</v>
      </c>
      <c r="N505" s="12">
        <v>20.420999999999999</v>
      </c>
      <c r="O505" s="11">
        <v>34.585833333333298</v>
      </c>
      <c r="P505" s="33">
        <v>0.23020728470588248</v>
      </c>
      <c r="Q505" s="33">
        <v>1.525129364705883</v>
      </c>
      <c r="R505" s="1" t="s">
        <v>280</v>
      </c>
      <c r="T505" s="71" t="s">
        <v>626</v>
      </c>
    </row>
    <row r="506" spans="1:20">
      <c r="A506" s="1" t="s">
        <v>474</v>
      </c>
      <c r="B506" s="1">
        <v>26</v>
      </c>
      <c r="C506" s="1" t="s">
        <v>513</v>
      </c>
      <c r="D506" s="5">
        <v>43570</v>
      </c>
      <c r="E506" s="1">
        <f t="shared" si="36"/>
        <v>2019</v>
      </c>
      <c r="F506" s="1">
        <f t="shared" si="37"/>
        <v>4</v>
      </c>
      <c r="G506" s="4">
        <f t="shared" si="38"/>
        <v>15</v>
      </c>
      <c r="H506" s="8">
        <v>0.46666666666666662</v>
      </c>
      <c r="I506" s="11">
        <v>129.29949999999999</v>
      </c>
      <c r="J506" s="11">
        <v>30.75</v>
      </c>
      <c r="K506" s="9">
        <v>5</v>
      </c>
      <c r="L506" s="9">
        <v>5</v>
      </c>
      <c r="M506" s="9">
        <v>0</v>
      </c>
      <c r="N506" s="12">
        <v>19.954333333333299</v>
      </c>
      <c r="O506" s="11">
        <v>34.598999999999997</v>
      </c>
      <c r="P506" s="33">
        <v>0.26411359882352947</v>
      </c>
      <c r="Q506" s="33">
        <v>1.5366366588235305</v>
      </c>
      <c r="R506" s="1" t="s">
        <v>280</v>
      </c>
      <c r="T506" s="71" t="s">
        <v>626</v>
      </c>
    </row>
    <row r="507" spans="1:20">
      <c r="A507" s="1" t="s">
        <v>474</v>
      </c>
      <c r="B507" s="1">
        <v>27</v>
      </c>
      <c r="C507" s="1" t="s">
        <v>513</v>
      </c>
      <c r="D507" s="5">
        <v>43570</v>
      </c>
      <c r="E507" s="1">
        <f t="shared" si="36"/>
        <v>2019</v>
      </c>
      <c r="F507" s="1">
        <f t="shared" si="37"/>
        <v>4</v>
      </c>
      <c r="G507" s="4">
        <f t="shared" si="38"/>
        <v>15</v>
      </c>
      <c r="H507" s="8">
        <v>0.61458333333333337</v>
      </c>
      <c r="I507" s="11">
        <v>128.80216666666601</v>
      </c>
      <c r="J507" s="11">
        <v>30.751000000000001</v>
      </c>
      <c r="K507" s="9">
        <v>5</v>
      </c>
      <c r="L507" s="9">
        <v>5</v>
      </c>
      <c r="M507" s="9">
        <v>0</v>
      </c>
      <c r="N507" s="12">
        <v>19.111000000000001</v>
      </c>
      <c r="O507" s="11">
        <v>34.643000000000001</v>
      </c>
      <c r="P507" s="33">
        <v>0.26410143294117638</v>
      </c>
      <c r="Q507" s="33">
        <v>1.6684823529411759</v>
      </c>
      <c r="R507" s="1" t="s">
        <v>280</v>
      </c>
      <c r="T507" s="71" t="s">
        <v>626</v>
      </c>
    </row>
    <row r="508" spans="1:20">
      <c r="A508" s="1" t="s">
        <v>474</v>
      </c>
      <c r="B508" s="1">
        <v>28</v>
      </c>
      <c r="C508" s="1" t="s">
        <v>513</v>
      </c>
      <c r="D508" s="5">
        <v>43570</v>
      </c>
      <c r="E508" s="1">
        <f t="shared" si="36"/>
        <v>2019</v>
      </c>
      <c r="F508" s="1">
        <f t="shared" si="37"/>
        <v>4</v>
      </c>
      <c r="G508" s="4">
        <f t="shared" si="38"/>
        <v>15</v>
      </c>
      <c r="H508" s="8">
        <v>0.72569444444444453</v>
      </c>
      <c r="I508" s="11">
        <v>128.503166666666</v>
      </c>
      <c r="J508" s="11">
        <v>30.745000000000001</v>
      </c>
      <c r="K508" s="9">
        <v>5</v>
      </c>
      <c r="L508" s="9">
        <v>5</v>
      </c>
      <c r="M508" s="9">
        <v>0</v>
      </c>
      <c r="N508" s="12">
        <v>19.049333333333298</v>
      </c>
      <c r="O508" s="11">
        <v>34.646499999999996</v>
      </c>
      <c r="P508" s="33">
        <v>0.31682836705882345</v>
      </c>
      <c r="Q508" s="33">
        <v>1.7455928470588216</v>
      </c>
      <c r="R508" s="1" t="s">
        <v>280</v>
      </c>
      <c r="T508" s="71" t="s">
        <v>626</v>
      </c>
    </row>
    <row r="509" spans="1:20">
      <c r="A509" s="1" t="s">
        <v>474</v>
      </c>
      <c r="B509" s="1">
        <v>29</v>
      </c>
      <c r="C509" s="1" t="s">
        <v>513</v>
      </c>
      <c r="D509" s="5">
        <v>43570</v>
      </c>
      <c r="E509" s="1">
        <f t="shared" si="36"/>
        <v>2019</v>
      </c>
      <c r="F509" s="1">
        <f t="shared" si="37"/>
        <v>4</v>
      </c>
      <c r="G509" s="4">
        <f t="shared" si="38"/>
        <v>15</v>
      </c>
      <c r="H509" s="8">
        <v>0.91805555555555562</v>
      </c>
      <c r="I509" s="11">
        <v>127.78066666666599</v>
      </c>
      <c r="J509" s="11">
        <v>30.75</v>
      </c>
      <c r="K509" s="9">
        <v>5</v>
      </c>
      <c r="L509" s="9">
        <v>5</v>
      </c>
      <c r="M509" s="9">
        <v>0</v>
      </c>
      <c r="N509" s="12">
        <v>18.611000000000001</v>
      </c>
      <c r="O509" s="11">
        <v>34.661166666666595</v>
      </c>
      <c r="P509" s="33">
        <v>0.28600002117647039</v>
      </c>
      <c r="Q509" s="33">
        <v>1.7013769411764699</v>
      </c>
      <c r="R509" s="1" t="s">
        <v>280</v>
      </c>
      <c r="T509" s="71" t="s">
        <v>626</v>
      </c>
    </row>
    <row r="510" spans="1:20">
      <c r="A510" s="1" t="s">
        <v>474</v>
      </c>
      <c r="B510" s="1">
        <v>30</v>
      </c>
      <c r="C510" s="1" t="s">
        <v>513</v>
      </c>
      <c r="D510" s="5">
        <v>43571</v>
      </c>
      <c r="E510" s="1">
        <f t="shared" si="36"/>
        <v>2019</v>
      </c>
      <c r="F510" s="1">
        <f t="shared" si="37"/>
        <v>4</v>
      </c>
      <c r="G510" s="4">
        <f t="shared" si="38"/>
        <v>16</v>
      </c>
      <c r="H510" s="8">
        <v>5.9722222222222225E-2</v>
      </c>
      <c r="I510" s="11">
        <v>127.28366666666599</v>
      </c>
      <c r="J510" s="11">
        <v>30.742999999999999</v>
      </c>
      <c r="K510" s="9">
        <v>5</v>
      </c>
      <c r="L510" s="9">
        <v>5</v>
      </c>
      <c r="M510" s="9">
        <v>0</v>
      </c>
      <c r="N510" s="12">
        <v>17.467666666666599</v>
      </c>
      <c r="O510" s="11">
        <v>34.281833333333296</v>
      </c>
      <c r="P510" s="33">
        <v>0.16665271529411774</v>
      </c>
      <c r="Q510" s="33">
        <v>0.90588583529411615</v>
      </c>
      <c r="R510" s="1" t="s">
        <v>280</v>
      </c>
      <c r="T510" s="71" t="s">
        <v>626</v>
      </c>
    </row>
    <row r="511" spans="1:20">
      <c r="A511" s="1" t="s">
        <v>474</v>
      </c>
      <c r="B511" s="1">
        <v>31</v>
      </c>
      <c r="C511" s="1" t="s">
        <v>513</v>
      </c>
      <c r="D511" s="5">
        <v>43571</v>
      </c>
      <c r="E511" s="1">
        <f t="shared" si="36"/>
        <v>2019</v>
      </c>
      <c r="F511" s="1">
        <f t="shared" si="37"/>
        <v>4</v>
      </c>
      <c r="G511" s="4">
        <f t="shared" si="38"/>
        <v>16</v>
      </c>
      <c r="H511" s="8">
        <v>0.1875</v>
      </c>
      <c r="I511" s="11">
        <v>126.823333333333</v>
      </c>
      <c r="J511" s="11">
        <v>30.748000000000001</v>
      </c>
      <c r="K511" s="9">
        <v>5</v>
      </c>
      <c r="L511" s="9">
        <v>5</v>
      </c>
      <c r="M511" s="9">
        <v>0</v>
      </c>
      <c r="N511" s="12">
        <v>15.260999999999999</v>
      </c>
      <c r="O511" s="11">
        <v>34.2796666666666</v>
      </c>
      <c r="P511" s="33">
        <v>0.13289239176470558</v>
      </c>
      <c r="Q511" s="33">
        <v>0.9483582117647078</v>
      </c>
      <c r="R511" s="1" t="s">
        <v>280</v>
      </c>
      <c r="T511" s="71" t="s">
        <v>626</v>
      </c>
    </row>
    <row r="512" spans="1:20">
      <c r="A512" s="1" t="s">
        <v>474</v>
      </c>
      <c r="B512" s="1">
        <v>72</v>
      </c>
      <c r="C512" s="1" t="s">
        <v>513</v>
      </c>
      <c r="D512" s="5">
        <v>43582</v>
      </c>
      <c r="E512" s="1">
        <f t="shared" si="36"/>
        <v>2019</v>
      </c>
      <c r="F512" s="1">
        <f t="shared" si="37"/>
        <v>4</v>
      </c>
      <c r="G512" s="4">
        <f t="shared" si="38"/>
        <v>27</v>
      </c>
      <c r="H512" s="8">
        <v>0.30277777777777776</v>
      </c>
      <c r="I512" s="11">
        <v>126.251</v>
      </c>
      <c r="J512" s="11">
        <v>30.7165</v>
      </c>
      <c r="K512" s="9">
        <v>5</v>
      </c>
      <c r="L512" s="9">
        <v>5</v>
      </c>
      <c r="M512" s="9">
        <v>0</v>
      </c>
      <c r="N512" s="12">
        <v>15.524333333333299</v>
      </c>
      <c r="O512" s="11">
        <v>33.831166666666597</v>
      </c>
      <c r="P512" s="33">
        <v>-2.1999999999999999E-2</v>
      </c>
      <c r="Q512" s="33">
        <v>9.1999999999999998E-2</v>
      </c>
      <c r="R512" s="1" t="s">
        <v>280</v>
      </c>
      <c r="T512" s="71" t="s">
        <v>626</v>
      </c>
    </row>
    <row r="513" spans="1:20" ht="14" customHeight="1">
      <c r="A513" s="26" t="s">
        <v>570</v>
      </c>
      <c r="B513" s="26">
        <v>1</v>
      </c>
      <c r="C513" s="26" t="s">
        <v>571</v>
      </c>
      <c r="D513" s="25">
        <v>42517</v>
      </c>
      <c r="E513" s="19">
        <v>2016</v>
      </c>
      <c r="F513" s="19">
        <v>5</v>
      </c>
      <c r="G513" s="30">
        <v>27</v>
      </c>
      <c r="H513" s="29" t="s">
        <v>501</v>
      </c>
      <c r="I513" s="22">
        <v>137.99299999999999</v>
      </c>
      <c r="J513" s="22">
        <v>37.168999999999997</v>
      </c>
      <c r="K513" s="27">
        <v>0</v>
      </c>
      <c r="L513" s="27">
        <v>0</v>
      </c>
      <c r="M513" s="27" t="s">
        <v>501</v>
      </c>
      <c r="N513" s="21">
        <v>18.399999999999999</v>
      </c>
      <c r="O513" s="24">
        <v>32.2532</v>
      </c>
      <c r="P513" s="20">
        <v>-0.41</v>
      </c>
      <c r="Q513" s="20">
        <v>-3.07</v>
      </c>
      <c r="R513" s="26" t="s">
        <v>572</v>
      </c>
      <c r="S513" s="26"/>
      <c r="T513" s="71" t="s">
        <v>626</v>
      </c>
    </row>
    <row r="514" spans="1:20" ht="14" customHeight="1">
      <c r="A514" s="26" t="s">
        <v>570</v>
      </c>
      <c r="B514" s="26">
        <v>3</v>
      </c>
      <c r="C514" s="26" t="s">
        <v>571</v>
      </c>
      <c r="D514" s="25">
        <v>42517</v>
      </c>
      <c r="E514" s="19">
        <v>2016</v>
      </c>
      <c r="F514" s="19">
        <v>5</v>
      </c>
      <c r="G514" s="30">
        <v>27</v>
      </c>
      <c r="H514" s="29" t="s">
        <v>501</v>
      </c>
      <c r="I514" s="22">
        <v>137.661</v>
      </c>
      <c r="J514" s="22">
        <v>37.005000000000003</v>
      </c>
      <c r="K514" s="27">
        <v>0</v>
      </c>
      <c r="L514" s="27">
        <v>0</v>
      </c>
      <c r="M514" s="27" t="s">
        <v>501</v>
      </c>
      <c r="N514" s="21">
        <v>17.7</v>
      </c>
      <c r="O514" s="24">
        <v>33.167099999999998</v>
      </c>
      <c r="P514" s="20">
        <v>-0.22</v>
      </c>
      <c r="Q514" s="20">
        <v>-1.55</v>
      </c>
      <c r="R514" s="26" t="s">
        <v>572</v>
      </c>
      <c r="S514" s="26"/>
      <c r="T514" s="71" t="s">
        <v>626</v>
      </c>
    </row>
    <row r="515" spans="1:20" ht="14" customHeight="1">
      <c r="A515" s="26" t="s">
        <v>570</v>
      </c>
      <c r="B515" s="26">
        <v>4</v>
      </c>
      <c r="C515" s="26" t="s">
        <v>571</v>
      </c>
      <c r="D515" s="25">
        <v>42517</v>
      </c>
      <c r="E515" s="19">
        <v>2016</v>
      </c>
      <c r="F515" s="19">
        <v>5</v>
      </c>
      <c r="G515" s="30">
        <v>27</v>
      </c>
      <c r="H515" s="29" t="s">
        <v>501</v>
      </c>
      <c r="I515" s="22">
        <v>137.33099999999999</v>
      </c>
      <c r="J515" s="22">
        <v>36.837000000000003</v>
      </c>
      <c r="K515" s="27">
        <v>0</v>
      </c>
      <c r="L515" s="27">
        <v>0</v>
      </c>
      <c r="M515" s="27" t="s">
        <v>501</v>
      </c>
      <c r="N515" s="21">
        <v>21</v>
      </c>
      <c r="O515" s="24">
        <v>33.237699999999997</v>
      </c>
      <c r="P515" s="20">
        <v>-0.16</v>
      </c>
      <c r="Q515" s="20">
        <v>-1.34</v>
      </c>
      <c r="R515" s="26" t="s">
        <v>572</v>
      </c>
      <c r="S515" s="26"/>
      <c r="T515" s="71" t="s">
        <v>626</v>
      </c>
    </row>
    <row r="516" spans="1:20" ht="14" customHeight="1">
      <c r="A516" s="26" t="s">
        <v>570</v>
      </c>
      <c r="B516" s="26">
        <v>5</v>
      </c>
      <c r="C516" s="26" t="s">
        <v>571</v>
      </c>
      <c r="D516" s="25">
        <v>42517</v>
      </c>
      <c r="E516" s="19">
        <v>2016</v>
      </c>
      <c r="F516" s="19">
        <v>5</v>
      </c>
      <c r="G516" s="30">
        <v>27</v>
      </c>
      <c r="H516" s="29" t="s">
        <v>501</v>
      </c>
      <c r="I516" s="22">
        <v>137.083</v>
      </c>
      <c r="J516" s="22">
        <v>36.841000000000001</v>
      </c>
      <c r="K516" s="27">
        <v>0</v>
      </c>
      <c r="L516" s="27">
        <v>0</v>
      </c>
      <c r="M516" s="27" t="s">
        <v>501</v>
      </c>
      <c r="N516" s="21">
        <v>20.2</v>
      </c>
      <c r="O516" s="24">
        <v>33.690800000000003</v>
      </c>
      <c r="P516" s="20">
        <v>-0.08</v>
      </c>
      <c r="Q516" s="20">
        <v>-0.56000000000000005</v>
      </c>
      <c r="R516" s="26" t="s">
        <v>572</v>
      </c>
      <c r="S516" s="26"/>
      <c r="T516" s="71" t="s">
        <v>626</v>
      </c>
    </row>
    <row r="517" spans="1:20" ht="14" customHeight="1">
      <c r="A517" s="26" t="s">
        <v>570</v>
      </c>
      <c r="B517" s="26">
        <v>6</v>
      </c>
      <c r="C517" s="26" t="s">
        <v>571</v>
      </c>
      <c r="D517" s="25">
        <v>42517</v>
      </c>
      <c r="E517" s="19">
        <v>2016</v>
      </c>
      <c r="F517" s="19">
        <v>5</v>
      </c>
      <c r="G517" s="30">
        <v>27</v>
      </c>
      <c r="H517" s="29" t="s">
        <v>501</v>
      </c>
      <c r="I517" s="22">
        <v>137.09399999999999</v>
      </c>
      <c r="J517" s="22">
        <v>37.012</v>
      </c>
      <c r="K517" s="27">
        <v>0</v>
      </c>
      <c r="L517" s="27">
        <v>0</v>
      </c>
      <c r="M517" s="27" t="s">
        <v>501</v>
      </c>
      <c r="N517" s="21">
        <v>19.899999999999999</v>
      </c>
      <c r="O517" s="24">
        <v>33.7834</v>
      </c>
      <c r="P517" s="20">
        <v>0.02</v>
      </c>
      <c r="Q517" s="20">
        <v>7.0000000000000007E-2</v>
      </c>
      <c r="R517" s="26" t="s">
        <v>572</v>
      </c>
      <c r="S517" s="26"/>
      <c r="T517" s="71" t="s">
        <v>626</v>
      </c>
    </row>
    <row r="518" spans="1:20" ht="14" customHeight="1">
      <c r="A518" s="26" t="s">
        <v>570</v>
      </c>
      <c r="B518" s="26">
        <v>7</v>
      </c>
      <c r="C518" s="26" t="s">
        <v>571</v>
      </c>
      <c r="D518" s="25">
        <v>42518</v>
      </c>
      <c r="E518" s="19">
        <v>2016</v>
      </c>
      <c r="F518" s="19">
        <v>5</v>
      </c>
      <c r="G518" s="30">
        <v>28</v>
      </c>
      <c r="H518" s="29" t="s">
        <v>501</v>
      </c>
      <c r="I518" s="22">
        <v>137.09899999999999</v>
      </c>
      <c r="J518" s="22">
        <v>37.170999999999999</v>
      </c>
      <c r="K518" s="27">
        <v>0</v>
      </c>
      <c r="L518" s="27">
        <v>0</v>
      </c>
      <c r="M518" s="27" t="s">
        <v>501</v>
      </c>
      <c r="N518" s="21">
        <v>19.2</v>
      </c>
      <c r="O518" s="24">
        <v>34.0944</v>
      </c>
      <c r="P518" s="20">
        <v>0.14000000000000001</v>
      </c>
      <c r="Q518" s="20">
        <v>0.71</v>
      </c>
      <c r="R518" s="26" t="s">
        <v>572</v>
      </c>
      <c r="S518" s="26"/>
      <c r="T518" s="71" t="s">
        <v>626</v>
      </c>
    </row>
    <row r="519" spans="1:20" ht="14" customHeight="1">
      <c r="A519" s="26" t="s">
        <v>570</v>
      </c>
      <c r="B519" s="26">
        <v>9</v>
      </c>
      <c r="C519" s="26" t="s">
        <v>571</v>
      </c>
      <c r="D519" s="25">
        <v>42518</v>
      </c>
      <c r="E519" s="19">
        <v>2016</v>
      </c>
      <c r="F519" s="19">
        <v>5</v>
      </c>
      <c r="G519" s="30">
        <v>28</v>
      </c>
      <c r="H519" s="29" t="s">
        <v>501</v>
      </c>
      <c r="I519" s="22">
        <v>137.33099999999999</v>
      </c>
      <c r="J519" s="22">
        <v>37.335000000000001</v>
      </c>
      <c r="K519" s="27">
        <v>0</v>
      </c>
      <c r="L519" s="27">
        <v>0</v>
      </c>
      <c r="M519" s="27" t="s">
        <v>501</v>
      </c>
      <c r="N519" s="21">
        <v>18.399999999999999</v>
      </c>
      <c r="O519" s="24">
        <v>34.320900000000002</v>
      </c>
      <c r="P519" s="20">
        <v>0.21</v>
      </c>
      <c r="Q519" s="20">
        <v>0.82</v>
      </c>
      <c r="R519" s="26" t="s">
        <v>572</v>
      </c>
      <c r="S519" s="26"/>
      <c r="T519" s="71" t="s">
        <v>626</v>
      </c>
    </row>
    <row r="520" spans="1:20" ht="14" customHeight="1">
      <c r="A520" s="26" t="s">
        <v>570</v>
      </c>
      <c r="B520" s="26">
        <v>10</v>
      </c>
      <c r="C520" s="26" t="s">
        <v>571</v>
      </c>
      <c r="D520" s="25">
        <v>42518</v>
      </c>
      <c r="E520" s="19">
        <v>2016</v>
      </c>
      <c r="F520" s="19">
        <v>5</v>
      </c>
      <c r="G520" s="30">
        <v>28</v>
      </c>
      <c r="H520" s="29" t="s">
        <v>501</v>
      </c>
      <c r="I520" s="22">
        <v>137.33000000000001</v>
      </c>
      <c r="J520" s="22">
        <v>37.585999999999999</v>
      </c>
      <c r="K520" s="27">
        <v>0</v>
      </c>
      <c r="L520" s="27">
        <v>0</v>
      </c>
      <c r="M520" s="27" t="s">
        <v>501</v>
      </c>
      <c r="N520" s="21">
        <v>20.7</v>
      </c>
      <c r="O520" s="24">
        <v>34.213700000000003</v>
      </c>
      <c r="P520" s="20">
        <v>0.2</v>
      </c>
      <c r="Q520" s="20">
        <v>1.04</v>
      </c>
      <c r="R520" s="26" t="s">
        <v>572</v>
      </c>
      <c r="S520" s="26"/>
      <c r="T520" s="71" t="s">
        <v>626</v>
      </c>
    </row>
    <row r="521" spans="1:20" ht="14" customHeight="1">
      <c r="A521" s="26" t="s">
        <v>570</v>
      </c>
      <c r="B521" s="26">
        <v>11</v>
      </c>
      <c r="C521" s="26" t="s">
        <v>571</v>
      </c>
      <c r="D521" s="25">
        <v>42519</v>
      </c>
      <c r="E521" s="19">
        <v>2016</v>
      </c>
      <c r="F521" s="19">
        <v>5</v>
      </c>
      <c r="G521" s="30">
        <v>29</v>
      </c>
      <c r="H521" s="29" t="s">
        <v>501</v>
      </c>
      <c r="I521" s="22">
        <v>136.98500000000001</v>
      </c>
      <c r="J521" s="22">
        <v>37.503999999999998</v>
      </c>
      <c r="K521" s="27">
        <v>0</v>
      </c>
      <c r="L521" s="27">
        <v>0</v>
      </c>
      <c r="M521" s="27" t="s">
        <v>501</v>
      </c>
      <c r="N521" s="21">
        <v>20.2</v>
      </c>
      <c r="O521" s="24">
        <v>34.1175</v>
      </c>
      <c r="P521" s="20">
        <v>0.1</v>
      </c>
      <c r="Q521" s="20">
        <v>0.7</v>
      </c>
      <c r="R521" s="26" t="s">
        <v>572</v>
      </c>
      <c r="S521" s="26"/>
      <c r="T521" s="71" t="s">
        <v>626</v>
      </c>
    </row>
    <row r="522" spans="1:20" ht="14" customHeight="1">
      <c r="A522" s="26" t="s">
        <v>570</v>
      </c>
      <c r="B522" s="26">
        <v>15</v>
      </c>
      <c r="C522" s="26" t="s">
        <v>571</v>
      </c>
      <c r="D522" s="25">
        <v>42519</v>
      </c>
      <c r="E522" s="19">
        <v>2016</v>
      </c>
      <c r="F522" s="19">
        <v>5</v>
      </c>
      <c r="G522" s="30">
        <v>29</v>
      </c>
      <c r="H522" s="29" t="s">
        <v>501</v>
      </c>
      <c r="I522" s="22">
        <v>136.66200000000001</v>
      </c>
      <c r="J522" s="22">
        <v>37.335999999999999</v>
      </c>
      <c r="K522" s="27">
        <v>0</v>
      </c>
      <c r="L522" s="27">
        <v>0</v>
      </c>
      <c r="M522" s="27" t="s">
        <v>501</v>
      </c>
      <c r="N522" s="21">
        <v>20.100000000000001</v>
      </c>
      <c r="O522" s="24">
        <v>33.766100000000002</v>
      </c>
      <c r="P522" s="20">
        <v>7.0000000000000007E-2</v>
      </c>
      <c r="Q522" s="20">
        <v>0.34</v>
      </c>
      <c r="R522" s="26" t="s">
        <v>572</v>
      </c>
      <c r="S522" s="26"/>
      <c r="T522" s="71" t="s">
        <v>626</v>
      </c>
    </row>
    <row r="523" spans="1:20" ht="14" customHeight="1">
      <c r="A523" s="26" t="s">
        <v>570</v>
      </c>
      <c r="B523" s="26">
        <v>16</v>
      </c>
      <c r="C523" s="26" t="s">
        <v>571</v>
      </c>
      <c r="D523" s="25">
        <v>42520</v>
      </c>
      <c r="E523" s="19">
        <v>2016</v>
      </c>
      <c r="F523" s="19">
        <v>5</v>
      </c>
      <c r="G523" s="30">
        <v>30</v>
      </c>
      <c r="H523" s="29" t="s">
        <v>501</v>
      </c>
      <c r="I523" s="22">
        <v>136.66399999999999</v>
      </c>
      <c r="J523" s="22">
        <v>37.003999999999998</v>
      </c>
      <c r="K523" s="27">
        <v>0</v>
      </c>
      <c r="L523" s="27">
        <v>0</v>
      </c>
      <c r="M523" s="27" t="s">
        <v>501</v>
      </c>
      <c r="N523" s="21">
        <v>19.2</v>
      </c>
      <c r="O523" s="24">
        <v>34.214599999999997</v>
      </c>
      <c r="P523" s="20">
        <v>0.15</v>
      </c>
      <c r="Q523" s="20">
        <v>0.87</v>
      </c>
      <c r="R523" s="26" t="s">
        <v>572</v>
      </c>
      <c r="S523" s="26"/>
      <c r="T523" s="71" t="s">
        <v>626</v>
      </c>
    </row>
    <row r="524" spans="1:20" ht="14" customHeight="1">
      <c r="A524" s="26" t="s">
        <v>570</v>
      </c>
      <c r="B524" s="26">
        <v>17</v>
      </c>
      <c r="C524" s="26" t="s">
        <v>571</v>
      </c>
      <c r="D524" s="25">
        <v>42520</v>
      </c>
      <c r="E524" s="19">
        <v>2016</v>
      </c>
      <c r="F524" s="19">
        <v>5</v>
      </c>
      <c r="G524" s="30">
        <v>30</v>
      </c>
      <c r="H524" s="29" t="s">
        <v>501</v>
      </c>
      <c r="I524" s="22">
        <v>136.66300000000001</v>
      </c>
      <c r="J524" s="22">
        <v>36.835999999999999</v>
      </c>
      <c r="K524" s="27">
        <v>0</v>
      </c>
      <c r="L524" s="27">
        <v>0</v>
      </c>
      <c r="M524" s="27" t="s">
        <v>501</v>
      </c>
      <c r="N524" s="21">
        <v>19.5</v>
      </c>
      <c r="O524" s="24">
        <v>34.125599999999999</v>
      </c>
      <c r="P524" s="20">
        <v>0.1</v>
      </c>
      <c r="Q524" s="20">
        <v>0.75</v>
      </c>
      <c r="R524" s="26" t="s">
        <v>572</v>
      </c>
      <c r="S524" s="26"/>
      <c r="T524" s="71" t="s">
        <v>626</v>
      </c>
    </row>
    <row r="525" spans="1:20" ht="14" customHeight="1">
      <c r="A525" s="26" t="s">
        <v>570</v>
      </c>
      <c r="B525" s="26">
        <v>18</v>
      </c>
      <c r="C525" s="26" t="s">
        <v>571</v>
      </c>
      <c r="D525" s="25">
        <v>42520</v>
      </c>
      <c r="E525" s="19">
        <v>2016</v>
      </c>
      <c r="F525" s="19">
        <v>5</v>
      </c>
      <c r="G525" s="30">
        <v>30</v>
      </c>
      <c r="H525" s="29" t="s">
        <v>501</v>
      </c>
      <c r="I525" s="22">
        <v>136.33099999999999</v>
      </c>
      <c r="J525" s="22">
        <v>36.503</v>
      </c>
      <c r="K525" s="27">
        <v>0</v>
      </c>
      <c r="L525" s="27">
        <v>0</v>
      </c>
      <c r="M525" s="27" t="s">
        <v>501</v>
      </c>
      <c r="N525" s="21">
        <v>19.8</v>
      </c>
      <c r="O525" s="24">
        <v>34.142099999999999</v>
      </c>
      <c r="P525" s="20">
        <v>0.08</v>
      </c>
      <c r="Q525" s="20">
        <v>0.74</v>
      </c>
      <c r="R525" s="26" t="s">
        <v>572</v>
      </c>
      <c r="S525" s="26"/>
      <c r="T525" s="71" t="s">
        <v>626</v>
      </c>
    </row>
    <row r="526" spans="1:20" ht="14" customHeight="1">
      <c r="A526" s="26" t="s">
        <v>570</v>
      </c>
      <c r="B526" s="26">
        <v>19</v>
      </c>
      <c r="C526" s="26" t="s">
        <v>571</v>
      </c>
      <c r="D526" s="25">
        <v>42521</v>
      </c>
      <c r="E526" s="19">
        <v>2016</v>
      </c>
      <c r="F526" s="19">
        <v>5</v>
      </c>
      <c r="G526" s="30">
        <v>31</v>
      </c>
      <c r="H526" s="29" t="s">
        <v>501</v>
      </c>
      <c r="I526" s="22">
        <v>135.99700000000001</v>
      </c>
      <c r="J526" s="22">
        <v>36.17</v>
      </c>
      <c r="K526" s="27">
        <v>0</v>
      </c>
      <c r="L526" s="27">
        <v>0</v>
      </c>
      <c r="M526" s="27" t="s">
        <v>501</v>
      </c>
      <c r="N526" s="21">
        <v>20</v>
      </c>
      <c r="O526" s="24">
        <v>34.391300000000001</v>
      </c>
      <c r="P526" s="20">
        <v>0.21</v>
      </c>
      <c r="Q526" s="20">
        <v>1.31</v>
      </c>
      <c r="R526" s="26" t="s">
        <v>572</v>
      </c>
      <c r="S526" s="26"/>
      <c r="T526" s="71" t="s">
        <v>626</v>
      </c>
    </row>
    <row r="527" spans="1:20" ht="14" customHeight="1">
      <c r="A527" s="26" t="s">
        <v>570</v>
      </c>
      <c r="B527" s="26">
        <v>20</v>
      </c>
      <c r="C527" s="26" t="s">
        <v>571</v>
      </c>
      <c r="D527" s="25">
        <v>42521</v>
      </c>
      <c r="E527" s="19">
        <v>2016</v>
      </c>
      <c r="F527" s="19">
        <v>5</v>
      </c>
      <c r="G527" s="30">
        <v>31</v>
      </c>
      <c r="H527" s="29" t="s">
        <v>501</v>
      </c>
      <c r="I527" s="22">
        <v>135.83099999999999</v>
      </c>
      <c r="J527" s="22">
        <v>36.005000000000003</v>
      </c>
      <c r="K527" s="27">
        <v>0</v>
      </c>
      <c r="L527" s="27">
        <v>0</v>
      </c>
      <c r="M527" s="27" t="s">
        <v>501</v>
      </c>
      <c r="N527" s="21">
        <v>20.7</v>
      </c>
      <c r="O527" s="24">
        <v>34.386299999999999</v>
      </c>
      <c r="P527" s="20">
        <v>0.19</v>
      </c>
      <c r="Q527" s="20">
        <v>1.19</v>
      </c>
      <c r="R527" s="26" t="s">
        <v>572</v>
      </c>
      <c r="S527" s="26"/>
      <c r="T527" s="71" t="s">
        <v>626</v>
      </c>
    </row>
    <row r="528" spans="1:20" ht="14" customHeight="1">
      <c r="A528" s="26" t="s">
        <v>570</v>
      </c>
      <c r="B528" s="26">
        <v>21</v>
      </c>
      <c r="C528" s="26" t="s">
        <v>571</v>
      </c>
      <c r="D528" s="25">
        <v>42521</v>
      </c>
      <c r="E528" s="19">
        <v>2016</v>
      </c>
      <c r="F528" s="19">
        <v>5</v>
      </c>
      <c r="G528" s="30">
        <v>31</v>
      </c>
      <c r="H528" s="29" t="s">
        <v>501</v>
      </c>
      <c r="I528" s="22">
        <v>135.82900000000001</v>
      </c>
      <c r="J528" s="22">
        <v>35.835999999999999</v>
      </c>
      <c r="K528" s="27">
        <v>0</v>
      </c>
      <c r="L528" s="27">
        <v>0</v>
      </c>
      <c r="M528" s="27" t="s">
        <v>501</v>
      </c>
      <c r="N528" s="21">
        <v>21.4</v>
      </c>
      <c r="O528" s="24">
        <v>34.282699999999998</v>
      </c>
      <c r="P528" s="20">
        <v>0.2</v>
      </c>
      <c r="Q528" s="20">
        <v>1.23</v>
      </c>
      <c r="R528" s="26" t="s">
        <v>572</v>
      </c>
      <c r="S528" s="26"/>
      <c r="T528" s="71" t="s">
        <v>626</v>
      </c>
    </row>
    <row r="529" spans="1:20" ht="14" customHeight="1">
      <c r="A529" s="26" t="s">
        <v>570</v>
      </c>
      <c r="B529" s="26">
        <v>22</v>
      </c>
      <c r="C529" s="26" t="s">
        <v>571</v>
      </c>
      <c r="D529" s="25">
        <v>42521</v>
      </c>
      <c r="E529" s="19">
        <v>2016</v>
      </c>
      <c r="F529" s="19">
        <v>5</v>
      </c>
      <c r="G529" s="30">
        <v>31</v>
      </c>
      <c r="H529" s="29" t="s">
        <v>501</v>
      </c>
      <c r="I529" s="22">
        <v>135.833</v>
      </c>
      <c r="J529" s="22">
        <v>35.671999999999997</v>
      </c>
      <c r="K529" s="27">
        <v>0</v>
      </c>
      <c r="L529" s="27">
        <v>0</v>
      </c>
      <c r="M529" s="27" t="s">
        <v>501</v>
      </c>
      <c r="N529" s="21">
        <v>21.3</v>
      </c>
      <c r="O529" s="24">
        <v>33.945</v>
      </c>
      <c r="P529" s="20">
        <v>0.18</v>
      </c>
      <c r="Q529" s="20">
        <v>0.77</v>
      </c>
      <c r="R529" s="26" t="s">
        <v>572</v>
      </c>
      <c r="S529" s="26"/>
      <c r="T529" s="71" t="s">
        <v>626</v>
      </c>
    </row>
    <row r="530" spans="1:20" ht="14" customHeight="1">
      <c r="A530" s="26" t="s">
        <v>570</v>
      </c>
      <c r="B530" s="26">
        <v>23</v>
      </c>
      <c r="C530" s="26" t="s">
        <v>571</v>
      </c>
      <c r="D530" s="25">
        <v>42521</v>
      </c>
      <c r="E530" s="19">
        <v>2016</v>
      </c>
      <c r="F530" s="19">
        <v>5</v>
      </c>
      <c r="G530" s="30">
        <v>31</v>
      </c>
      <c r="H530" s="29" t="s">
        <v>501</v>
      </c>
      <c r="I530" s="22">
        <v>135.57900000000001</v>
      </c>
      <c r="J530" s="22">
        <v>35.668999999999997</v>
      </c>
      <c r="K530" s="27">
        <v>0</v>
      </c>
      <c r="L530" s="27">
        <v>0</v>
      </c>
      <c r="M530" s="27" t="s">
        <v>501</v>
      </c>
      <c r="N530" s="21">
        <v>19.7</v>
      </c>
      <c r="O530" s="24">
        <v>34.3065</v>
      </c>
      <c r="P530" s="20">
        <v>0.18</v>
      </c>
      <c r="Q530" s="20">
        <v>0.98</v>
      </c>
      <c r="R530" s="26" t="s">
        <v>572</v>
      </c>
      <c r="S530" s="26"/>
      <c r="T530" s="71" t="s">
        <v>626</v>
      </c>
    </row>
    <row r="531" spans="1:20" ht="14" customHeight="1">
      <c r="A531" s="26" t="s">
        <v>570</v>
      </c>
      <c r="B531" s="26">
        <v>25</v>
      </c>
      <c r="C531" s="26" t="s">
        <v>571</v>
      </c>
      <c r="D531" s="25">
        <v>42522</v>
      </c>
      <c r="E531" s="19">
        <v>2016</v>
      </c>
      <c r="F531" s="19">
        <v>6</v>
      </c>
      <c r="G531" s="30">
        <v>1</v>
      </c>
      <c r="H531" s="29" t="s">
        <v>501</v>
      </c>
      <c r="I531" s="22">
        <v>135.33000000000001</v>
      </c>
      <c r="J531" s="22">
        <v>35.835999999999999</v>
      </c>
      <c r="K531" s="27">
        <v>0</v>
      </c>
      <c r="L531" s="27">
        <v>0</v>
      </c>
      <c r="M531" s="27" t="s">
        <v>501</v>
      </c>
      <c r="N531" s="21">
        <v>19.7</v>
      </c>
      <c r="O531" s="24">
        <v>34.3416</v>
      </c>
      <c r="P531" s="20">
        <v>0.25</v>
      </c>
      <c r="Q531" s="20">
        <v>1.21</v>
      </c>
      <c r="R531" s="26" t="s">
        <v>572</v>
      </c>
      <c r="S531" s="26"/>
      <c r="T531" s="71" t="s">
        <v>626</v>
      </c>
    </row>
    <row r="532" spans="1:20" ht="14" customHeight="1">
      <c r="A532" s="26" t="s">
        <v>570</v>
      </c>
      <c r="B532" s="26">
        <v>26</v>
      </c>
      <c r="C532" s="26" t="s">
        <v>571</v>
      </c>
      <c r="D532" s="25">
        <v>42522</v>
      </c>
      <c r="E532" s="19">
        <v>2016</v>
      </c>
      <c r="F532" s="19">
        <v>6</v>
      </c>
      <c r="G532" s="30">
        <v>1</v>
      </c>
      <c r="H532" s="29" t="s">
        <v>501</v>
      </c>
      <c r="I532" s="22">
        <v>135.32900000000001</v>
      </c>
      <c r="J532" s="22">
        <v>35.668999999999997</v>
      </c>
      <c r="K532" s="27">
        <v>0</v>
      </c>
      <c r="L532" s="27">
        <v>0</v>
      </c>
      <c r="M532" s="27" t="s">
        <v>501</v>
      </c>
      <c r="N532" s="21">
        <v>20.8</v>
      </c>
      <c r="O532" s="24">
        <v>33.767299999999999</v>
      </c>
      <c r="P532" s="20">
        <v>0.12</v>
      </c>
      <c r="Q532" s="20">
        <v>0.47</v>
      </c>
      <c r="R532" s="26" t="s">
        <v>572</v>
      </c>
      <c r="S532" s="26"/>
      <c r="T532" s="71" t="s">
        <v>626</v>
      </c>
    </row>
    <row r="533" spans="1:20" ht="14" customHeight="1">
      <c r="A533" s="26" t="s">
        <v>573</v>
      </c>
      <c r="B533" s="26">
        <v>1</v>
      </c>
      <c r="C533" s="26" t="s">
        <v>571</v>
      </c>
      <c r="D533" s="25">
        <v>42880</v>
      </c>
      <c r="E533" s="19">
        <v>2017</v>
      </c>
      <c r="F533" s="19">
        <v>5</v>
      </c>
      <c r="G533" s="30">
        <v>25</v>
      </c>
      <c r="H533" s="29" t="s">
        <v>501</v>
      </c>
      <c r="I533" s="22">
        <v>137.99700000000001</v>
      </c>
      <c r="J533" s="22">
        <v>37.168999999999997</v>
      </c>
      <c r="K533" s="27">
        <v>0</v>
      </c>
      <c r="L533" s="27">
        <v>0</v>
      </c>
      <c r="M533" s="27" t="s">
        <v>501</v>
      </c>
      <c r="N533" s="21">
        <v>19.2</v>
      </c>
      <c r="O533" s="24">
        <v>33.280900000000003</v>
      </c>
      <c r="P533" s="20">
        <v>-0.34</v>
      </c>
      <c r="Q533" s="20">
        <v>-2.44</v>
      </c>
      <c r="R533" s="26" t="s">
        <v>572</v>
      </c>
      <c r="S533" s="26"/>
      <c r="T533" s="71" t="s">
        <v>626</v>
      </c>
    </row>
    <row r="534" spans="1:20" ht="14" customHeight="1">
      <c r="A534" s="26" t="s">
        <v>573</v>
      </c>
      <c r="B534" s="26">
        <v>3</v>
      </c>
      <c r="C534" s="26" t="s">
        <v>571</v>
      </c>
      <c r="D534" s="25">
        <v>42880</v>
      </c>
      <c r="E534" s="19">
        <v>2017</v>
      </c>
      <c r="F534" s="19">
        <v>5</v>
      </c>
      <c r="G534" s="30">
        <v>25</v>
      </c>
      <c r="H534" s="29" t="s">
        <v>501</v>
      </c>
      <c r="I534" s="22">
        <v>137.661</v>
      </c>
      <c r="J534" s="22">
        <v>37.000999999999998</v>
      </c>
      <c r="K534" s="27">
        <v>0</v>
      </c>
      <c r="L534" s="27">
        <v>0</v>
      </c>
      <c r="M534" s="27" t="s">
        <v>501</v>
      </c>
      <c r="N534" s="21">
        <v>16.5</v>
      </c>
      <c r="O534" s="24">
        <v>34.0501</v>
      </c>
      <c r="P534" s="20">
        <v>-0.03</v>
      </c>
      <c r="Q534" s="20">
        <v>0.13</v>
      </c>
      <c r="R534" s="26" t="s">
        <v>572</v>
      </c>
      <c r="S534" s="26"/>
      <c r="T534" s="71" t="s">
        <v>626</v>
      </c>
    </row>
    <row r="535" spans="1:20" ht="14" customHeight="1">
      <c r="A535" s="26" t="s">
        <v>573</v>
      </c>
      <c r="B535" s="26">
        <v>4</v>
      </c>
      <c r="C535" s="26" t="s">
        <v>571</v>
      </c>
      <c r="D535" s="25">
        <v>42880</v>
      </c>
      <c r="E535" s="19">
        <v>2017</v>
      </c>
      <c r="F535" s="19">
        <v>5</v>
      </c>
      <c r="G535" s="30">
        <v>25</v>
      </c>
      <c r="H535" s="29" t="s">
        <v>501</v>
      </c>
      <c r="I535" s="22">
        <v>137.33099999999999</v>
      </c>
      <c r="J535" s="22">
        <v>36.837000000000003</v>
      </c>
      <c r="K535" s="27">
        <v>0</v>
      </c>
      <c r="L535" s="27">
        <v>0</v>
      </c>
      <c r="M535" s="27" t="s">
        <v>501</v>
      </c>
      <c r="N535" s="21">
        <v>18.8</v>
      </c>
      <c r="O535" s="24">
        <v>34.0565</v>
      </c>
      <c r="P535" s="20">
        <v>7.0000000000000007E-2</v>
      </c>
      <c r="Q535" s="20">
        <v>0.49</v>
      </c>
      <c r="R535" s="26" t="s">
        <v>572</v>
      </c>
      <c r="S535" s="26"/>
      <c r="T535" s="71" t="s">
        <v>626</v>
      </c>
    </row>
    <row r="536" spans="1:20" ht="14" customHeight="1">
      <c r="A536" s="26" t="s">
        <v>573</v>
      </c>
      <c r="B536" s="26">
        <v>5</v>
      </c>
      <c r="C536" s="26" t="s">
        <v>571</v>
      </c>
      <c r="D536" s="25">
        <v>42880</v>
      </c>
      <c r="E536" s="19">
        <v>2017</v>
      </c>
      <c r="F536" s="19">
        <v>5</v>
      </c>
      <c r="G536" s="30">
        <v>25</v>
      </c>
      <c r="H536" s="29" t="s">
        <v>501</v>
      </c>
      <c r="I536" s="22">
        <v>137.083</v>
      </c>
      <c r="J536" s="22">
        <v>36.840000000000003</v>
      </c>
      <c r="K536" s="27">
        <v>0</v>
      </c>
      <c r="L536" s="27">
        <v>0</v>
      </c>
      <c r="M536" s="27" t="s">
        <v>501</v>
      </c>
      <c r="N536" s="21">
        <v>19.399999999999999</v>
      </c>
      <c r="O536" s="24">
        <v>34.111899999999999</v>
      </c>
      <c r="P536" s="20">
        <v>0.04</v>
      </c>
      <c r="Q536" s="20">
        <v>0.36</v>
      </c>
      <c r="R536" s="26" t="s">
        <v>572</v>
      </c>
      <c r="S536" s="26"/>
      <c r="T536" s="71" t="s">
        <v>626</v>
      </c>
    </row>
    <row r="537" spans="1:20" ht="14" customHeight="1">
      <c r="A537" s="26" t="s">
        <v>573</v>
      </c>
      <c r="B537" s="26">
        <v>6</v>
      </c>
      <c r="C537" s="26" t="s">
        <v>571</v>
      </c>
      <c r="D537" s="25">
        <v>42880</v>
      </c>
      <c r="E537" s="19">
        <v>2017</v>
      </c>
      <c r="F537" s="19">
        <v>5</v>
      </c>
      <c r="G537" s="30">
        <v>25</v>
      </c>
      <c r="H537" s="29" t="s">
        <v>501</v>
      </c>
      <c r="I537" s="22">
        <v>137.09299999999999</v>
      </c>
      <c r="J537" s="22">
        <v>37.011000000000003</v>
      </c>
      <c r="K537" s="27">
        <v>0</v>
      </c>
      <c r="L537" s="27">
        <v>0</v>
      </c>
      <c r="M537" s="27" t="s">
        <v>501</v>
      </c>
      <c r="N537" s="21">
        <v>19.5</v>
      </c>
      <c r="O537" s="24">
        <v>34.302199999999999</v>
      </c>
      <c r="P537" s="20">
        <v>0.14000000000000001</v>
      </c>
      <c r="Q537" s="20">
        <v>0.89</v>
      </c>
      <c r="R537" s="26" t="s">
        <v>572</v>
      </c>
      <c r="S537" s="26"/>
      <c r="T537" s="71" t="s">
        <v>626</v>
      </c>
    </row>
    <row r="538" spans="1:20" ht="14" customHeight="1">
      <c r="A538" s="26" t="s">
        <v>573</v>
      </c>
      <c r="B538" s="26">
        <v>7</v>
      </c>
      <c r="C538" s="26" t="s">
        <v>571</v>
      </c>
      <c r="D538" s="25">
        <v>42880</v>
      </c>
      <c r="E538" s="19">
        <v>2017</v>
      </c>
      <c r="F538" s="19">
        <v>5</v>
      </c>
      <c r="G538" s="30">
        <v>25</v>
      </c>
      <c r="H538" s="29" t="s">
        <v>501</v>
      </c>
      <c r="I538" s="22">
        <v>137.09800000000001</v>
      </c>
      <c r="J538" s="22">
        <v>37.170999999999999</v>
      </c>
      <c r="K538" s="27">
        <v>0</v>
      </c>
      <c r="L538" s="27">
        <v>0</v>
      </c>
      <c r="M538" s="27" t="s">
        <v>501</v>
      </c>
      <c r="N538" s="21">
        <v>19.399999999999999</v>
      </c>
      <c r="O538" s="24">
        <v>34.258600000000001</v>
      </c>
      <c r="P538" s="20">
        <v>0.15</v>
      </c>
      <c r="Q538" s="20">
        <v>0.82</v>
      </c>
      <c r="R538" s="26" t="s">
        <v>572</v>
      </c>
      <c r="S538" s="26"/>
      <c r="T538" s="71" t="s">
        <v>626</v>
      </c>
    </row>
    <row r="539" spans="1:20" ht="14" customHeight="1">
      <c r="A539" s="26" t="s">
        <v>573</v>
      </c>
      <c r="B539" s="26">
        <v>10</v>
      </c>
      <c r="C539" s="26" t="s">
        <v>571</v>
      </c>
      <c r="D539" s="25">
        <v>42881</v>
      </c>
      <c r="E539" s="19">
        <v>2017</v>
      </c>
      <c r="F539" s="19">
        <v>5</v>
      </c>
      <c r="G539" s="30">
        <v>26</v>
      </c>
      <c r="H539" s="29" t="s">
        <v>501</v>
      </c>
      <c r="I539" s="22">
        <v>137.33000000000001</v>
      </c>
      <c r="J539" s="22">
        <v>37.585999999999999</v>
      </c>
      <c r="K539" s="27">
        <v>0</v>
      </c>
      <c r="L539" s="27">
        <v>0</v>
      </c>
      <c r="M539" s="27" t="s">
        <v>501</v>
      </c>
      <c r="N539" s="21">
        <v>18.899999999999999</v>
      </c>
      <c r="O539" s="24">
        <v>34.271700000000003</v>
      </c>
      <c r="P539" s="20">
        <v>0.14000000000000001</v>
      </c>
      <c r="Q539" s="20">
        <v>0.94</v>
      </c>
      <c r="R539" s="26" t="s">
        <v>572</v>
      </c>
      <c r="S539" s="26"/>
      <c r="T539" s="71" t="s">
        <v>626</v>
      </c>
    </row>
    <row r="540" spans="1:20" ht="14" customHeight="1">
      <c r="A540" s="26" t="s">
        <v>573</v>
      </c>
      <c r="B540" s="26">
        <v>9</v>
      </c>
      <c r="C540" s="26" t="s">
        <v>571</v>
      </c>
      <c r="D540" s="25">
        <v>42883</v>
      </c>
      <c r="E540" s="19">
        <v>2017</v>
      </c>
      <c r="F540" s="19">
        <v>5</v>
      </c>
      <c r="G540" s="30">
        <v>28</v>
      </c>
      <c r="H540" s="29" t="s">
        <v>501</v>
      </c>
      <c r="I540" s="22">
        <v>137.33000000000001</v>
      </c>
      <c r="J540" s="22">
        <v>37.337000000000003</v>
      </c>
      <c r="K540" s="27">
        <v>0</v>
      </c>
      <c r="L540" s="27">
        <v>0</v>
      </c>
      <c r="M540" s="27" t="s">
        <v>501</v>
      </c>
      <c r="N540" s="21">
        <v>17.8</v>
      </c>
      <c r="O540" s="24">
        <v>34.317900000000002</v>
      </c>
      <c r="P540" s="20">
        <v>0.16</v>
      </c>
      <c r="Q540" s="20">
        <v>0.85</v>
      </c>
      <c r="R540" s="26" t="s">
        <v>572</v>
      </c>
      <c r="S540" s="26"/>
      <c r="T540" s="71" t="s">
        <v>626</v>
      </c>
    </row>
    <row r="541" spans="1:20" ht="14" customHeight="1">
      <c r="A541" s="26" t="s">
        <v>573</v>
      </c>
      <c r="B541" s="26">
        <v>11</v>
      </c>
      <c r="C541" s="26" t="s">
        <v>571</v>
      </c>
      <c r="D541" s="25">
        <v>42883</v>
      </c>
      <c r="E541" s="19">
        <v>2017</v>
      </c>
      <c r="F541" s="19">
        <v>5</v>
      </c>
      <c r="G541" s="30">
        <v>28</v>
      </c>
      <c r="H541" s="29" t="s">
        <v>501</v>
      </c>
      <c r="I541" s="22">
        <v>136.98500000000001</v>
      </c>
      <c r="J541" s="22">
        <v>37.503</v>
      </c>
      <c r="K541" s="27">
        <v>0</v>
      </c>
      <c r="L541" s="27">
        <v>0</v>
      </c>
      <c r="M541" s="27" t="s">
        <v>501</v>
      </c>
      <c r="N541" s="21">
        <v>17.899999999999999</v>
      </c>
      <c r="O541" s="24">
        <v>34.585000000000001</v>
      </c>
      <c r="P541" s="20">
        <v>0.28999999999999998</v>
      </c>
      <c r="Q541" s="20">
        <v>1.33</v>
      </c>
      <c r="R541" s="26" t="s">
        <v>572</v>
      </c>
      <c r="S541" s="26"/>
      <c r="T541" s="71" t="s">
        <v>626</v>
      </c>
    </row>
    <row r="542" spans="1:20" ht="14" customHeight="1">
      <c r="A542" s="26" t="s">
        <v>573</v>
      </c>
      <c r="B542" s="26">
        <v>15</v>
      </c>
      <c r="C542" s="26" t="s">
        <v>571</v>
      </c>
      <c r="D542" s="25">
        <v>42884</v>
      </c>
      <c r="E542" s="19">
        <v>2017</v>
      </c>
      <c r="F542" s="19">
        <v>5</v>
      </c>
      <c r="G542" s="30">
        <v>29</v>
      </c>
      <c r="H542" s="29" t="s">
        <v>501</v>
      </c>
      <c r="I542" s="22">
        <v>136.66399999999999</v>
      </c>
      <c r="J542" s="22">
        <v>37.337000000000003</v>
      </c>
      <c r="K542" s="27">
        <v>0</v>
      </c>
      <c r="L542" s="27">
        <v>0</v>
      </c>
      <c r="M542" s="27" t="s">
        <v>501</v>
      </c>
      <c r="N542" s="21">
        <v>18.8</v>
      </c>
      <c r="O542" s="24">
        <v>34.299399999999999</v>
      </c>
      <c r="P542" s="20">
        <v>0.2</v>
      </c>
      <c r="Q542" s="20">
        <v>0.87</v>
      </c>
      <c r="R542" s="26" t="s">
        <v>572</v>
      </c>
      <c r="S542" s="26"/>
      <c r="T542" s="71" t="s">
        <v>626</v>
      </c>
    </row>
    <row r="543" spans="1:20" ht="14" customHeight="1">
      <c r="A543" s="26" t="s">
        <v>573</v>
      </c>
      <c r="B543" s="26">
        <v>16</v>
      </c>
      <c r="C543" s="26" t="s">
        <v>571</v>
      </c>
      <c r="D543" s="25">
        <v>42884</v>
      </c>
      <c r="E543" s="19">
        <v>2017</v>
      </c>
      <c r="F543" s="19">
        <v>5</v>
      </c>
      <c r="G543" s="30">
        <v>29</v>
      </c>
      <c r="H543" s="29" t="s">
        <v>501</v>
      </c>
      <c r="I543" s="22">
        <v>136.66499999999999</v>
      </c>
      <c r="J543" s="22">
        <v>37.003</v>
      </c>
      <c r="K543" s="27">
        <v>0</v>
      </c>
      <c r="L543" s="27">
        <v>0</v>
      </c>
      <c r="M543" s="27" t="s">
        <v>501</v>
      </c>
      <c r="N543" s="21">
        <v>19.600000000000001</v>
      </c>
      <c r="O543" s="24">
        <v>34.372199999999999</v>
      </c>
      <c r="P543" s="20">
        <v>0.16</v>
      </c>
      <c r="Q543" s="20">
        <v>0.85</v>
      </c>
      <c r="R543" s="26" t="s">
        <v>572</v>
      </c>
      <c r="S543" s="26"/>
      <c r="T543" s="71" t="s">
        <v>626</v>
      </c>
    </row>
    <row r="544" spans="1:20" ht="14" customHeight="1">
      <c r="A544" s="26" t="s">
        <v>573</v>
      </c>
      <c r="B544" s="26">
        <v>17</v>
      </c>
      <c r="C544" s="26" t="s">
        <v>571</v>
      </c>
      <c r="D544" s="25">
        <v>42884</v>
      </c>
      <c r="E544" s="19">
        <v>2017</v>
      </c>
      <c r="F544" s="19">
        <v>5</v>
      </c>
      <c r="G544" s="30">
        <v>29</v>
      </c>
      <c r="H544" s="29" t="s">
        <v>501</v>
      </c>
      <c r="I544" s="22">
        <v>136.66399999999999</v>
      </c>
      <c r="J544" s="22">
        <v>36.835999999999999</v>
      </c>
      <c r="K544" s="27">
        <v>0</v>
      </c>
      <c r="L544" s="27">
        <v>0</v>
      </c>
      <c r="M544" s="27" t="s">
        <v>501</v>
      </c>
      <c r="N544" s="21">
        <v>19.5</v>
      </c>
      <c r="O544" s="24">
        <v>34.544699999999999</v>
      </c>
      <c r="P544" s="20">
        <v>0.25</v>
      </c>
      <c r="Q544" s="20">
        <v>1.31</v>
      </c>
      <c r="R544" s="26" t="s">
        <v>572</v>
      </c>
      <c r="S544" s="26"/>
      <c r="T544" s="71" t="s">
        <v>626</v>
      </c>
    </row>
    <row r="545" spans="1:20" ht="14" customHeight="1">
      <c r="A545" s="26" t="s">
        <v>573</v>
      </c>
      <c r="B545" s="26">
        <v>18</v>
      </c>
      <c r="C545" s="26" t="s">
        <v>571</v>
      </c>
      <c r="D545" s="25">
        <v>42885</v>
      </c>
      <c r="E545" s="19">
        <v>2017</v>
      </c>
      <c r="F545" s="19">
        <v>5</v>
      </c>
      <c r="G545" s="30">
        <v>30</v>
      </c>
      <c r="H545" s="29" t="s">
        <v>501</v>
      </c>
      <c r="I545" s="22">
        <v>136.33000000000001</v>
      </c>
      <c r="J545" s="22">
        <v>36.503999999999998</v>
      </c>
      <c r="K545" s="27">
        <v>0</v>
      </c>
      <c r="L545" s="27">
        <v>0</v>
      </c>
      <c r="M545" s="27" t="s">
        <v>501</v>
      </c>
      <c r="N545" s="21">
        <v>18.7</v>
      </c>
      <c r="O545" s="24">
        <v>34.543700000000001</v>
      </c>
      <c r="P545" s="20">
        <v>0.23</v>
      </c>
      <c r="Q545" s="20">
        <v>1.33</v>
      </c>
      <c r="R545" s="26" t="s">
        <v>572</v>
      </c>
      <c r="S545" s="26"/>
      <c r="T545" s="71" t="s">
        <v>626</v>
      </c>
    </row>
    <row r="546" spans="1:20" ht="14" customHeight="1">
      <c r="A546" s="26" t="s">
        <v>573</v>
      </c>
      <c r="B546" s="26">
        <v>19</v>
      </c>
      <c r="C546" s="26" t="s">
        <v>571</v>
      </c>
      <c r="D546" s="25">
        <v>42885</v>
      </c>
      <c r="E546" s="19">
        <v>2017</v>
      </c>
      <c r="F546" s="19">
        <v>5</v>
      </c>
      <c r="G546" s="30">
        <v>30</v>
      </c>
      <c r="H546" s="29" t="s">
        <v>501</v>
      </c>
      <c r="I546" s="22">
        <v>135.99700000000001</v>
      </c>
      <c r="J546" s="22">
        <v>36.170999999999999</v>
      </c>
      <c r="K546" s="27">
        <v>0</v>
      </c>
      <c r="L546" s="27">
        <v>0</v>
      </c>
      <c r="M546" s="27" t="s">
        <v>501</v>
      </c>
      <c r="N546" s="21">
        <v>19.5</v>
      </c>
      <c r="O546" s="24">
        <v>34.691699999999997</v>
      </c>
      <c r="P546" s="20">
        <v>0.28999999999999998</v>
      </c>
      <c r="Q546" s="20">
        <v>1.63</v>
      </c>
      <c r="R546" s="26" t="s">
        <v>572</v>
      </c>
      <c r="S546" s="26"/>
      <c r="T546" s="71" t="s">
        <v>626</v>
      </c>
    </row>
    <row r="547" spans="1:20" ht="14" customHeight="1">
      <c r="A547" s="26" t="s">
        <v>573</v>
      </c>
      <c r="B547" s="26">
        <v>20</v>
      </c>
      <c r="C547" s="26" t="s">
        <v>571</v>
      </c>
      <c r="D547" s="25">
        <v>42885</v>
      </c>
      <c r="E547" s="19">
        <v>2017</v>
      </c>
      <c r="F547" s="19">
        <v>5</v>
      </c>
      <c r="G547" s="30">
        <v>30</v>
      </c>
      <c r="H547" s="29" t="s">
        <v>501</v>
      </c>
      <c r="I547" s="22">
        <v>135.82900000000001</v>
      </c>
      <c r="J547" s="22">
        <v>36.003</v>
      </c>
      <c r="K547" s="27">
        <v>0</v>
      </c>
      <c r="L547" s="27">
        <v>0</v>
      </c>
      <c r="M547" s="27" t="s">
        <v>501</v>
      </c>
      <c r="N547" s="21">
        <v>20.100000000000001</v>
      </c>
      <c r="O547" s="24">
        <v>34.681699999999999</v>
      </c>
      <c r="P547" s="20">
        <v>0.3</v>
      </c>
      <c r="Q547" s="20">
        <v>1.7</v>
      </c>
      <c r="R547" s="26" t="s">
        <v>572</v>
      </c>
      <c r="S547" s="26"/>
      <c r="T547" s="71" t="s">
        <v>626</v>
      </c>
    </row>
    <row r="548" spans="1:20" ht="14" customHeight="1">
      <c r="A548" s="26" t="s">
        <v>573</v>
      </c>
      <c r="B548" s="26">
        <v>21</v>
      </c>
      <c r="C548" s="26" t="s">
        <v>571</v>
      </c>
      <c r="D548" s="25">
        <v>42885</v>
      </c>
      <c r="E548" s="19">
        <v>2017</v>
      </c>
      <c r="F548" s="19">
        <v>5</v>
      </c>
      <c r="G548" s="30">
        <v>30</v>
      </c>
      <c r="H548" s="29" t="s">
        <v>501</v>
      </c>
      <c r="I548" s="22">
        <v>135.83000000000001</v>
      </c>
      <c r="J548" s="22">
        <v>35.835999999999999</v>
      </c>
      <c r="K548" s="27">
        <v>0</v>
      </c>
      <c r="L548" s="27">
        <v>0</v>
      </c>
      <c r="M548" s="27" t="s">
        <v>501</v>
      </c>
      <c r="N548" s="21">
        <v>20.6</v>
      </c>
      <c r="O548" s="24">
        <v>34.616399999999999</v>
      </c>
      <c r="P548" s="20">
        <v>0.26</v>
      </c>
      <c r="Q548" s="20">
        <v>1.44</v>
      </c>
      <c r="R548" s="26" t="s">
        <v>572</v>
      </c>
      <c r="S548" s="26"/>
      <c r="T548" s="71" t="s">
        <v>626</v>
      </c>
    </row>
    <row r="549" spans="1:20" ht="14" customHeight="1">
      <c r="A549" s="26" t="s">
        <v>573</v>
      </c>
      <c r="B549" s="26">
        <v>22</v>
      </c>
      <c r="C549" s="26" t="s">
        <v>571</v>
      </c>
      <c r="D549" s="25">
        <v>42885</v>
      </c>
      <c r="E549" s="19">
        <v>2017</v>
      </c>
      <c r="F549" s="19">
        <v>5</v>
      </c>
      <c r="G549" s="30">
        <v>30</v>
      </c>
      <c r="H549" s="29" t="s">
        <v>501</v>
      </c>
      <c r="I549" s="22">
        <v>135.83099999999999</v>
      </c>
      <c r="J549" s="22">
        <v>35.67</v>
      </c>
      <c r="K549" s="27">
        <v>0</v>
      </c>
      <c r="L549" s="27">
        <v>0</v>
      </c>
      <c r="M549" s="27" t="s">
        <v>501</v>
      </c>
      <c r="N549" s="21">
        <v>20.9</v>
      </c>
      <c r="O549" s="24">
        <v>34.398899999999998</v>
      </c>
      <c r="P549" s="20">
        <v>0.19</v>
      </c>
      <c r="Q549" s="20">
        <v>1.01</v>
      </c>
      <c r="R549" s="26" t="s">
        <v>572</v>
      </c>
      <c r="S549" s="26"/>
      <c r="T549" s="71" t="s">
        <v>626</v>
      </c>
    </row>
    <row r="550" spans="1:20" ht="14" customHeight="1">
      <c r="A550" s="26" t="s">
        <v>573</v>
      </c>
      <c r="B550" s="26">
        <v>23</v>
      </c>
      <c r="C550" s="26" t="s">
        <v>571</v>
      </c>
      <c r="D550" s="25">
        <v>42885</v>
      </c>
      <c r="E550" s="19">
        <v>2017</v>
      </c>
      <c r="F550" s="19">
        <v>5</v>
      </c>
      <c r="G550" s="30">
        <v>30</v>
      </c>
      <c r="H550" s="29" t="s">
        <v>501</v>
      </c>
      <c r="I550" s="22">
        <v>135.58000000000001</v>
      </c>
      <c r="J550" s="22">
        <v>35.67</v>
      </c>
      <c r="K550" s="27">
        <v>0</v>
      </c>
      <c r="L550" s="27">
        <v>0</v>
      </c>
      <c r="M550" s="27" t="s">
        <v>501</v>
      </c>
      <c r="N550" s="21">
        <v>20.5</v>
      </c>
      <c r="O550" s="24">
        <v>34.586500000000001</v>
      </c>
      <c r="P550" s="20">
        <v>0.24</v>
      </c>
      <c r="Q550" s="20">
        <v>1.25</v>
      </c>
      <c r="R550" s="26" t="s">
        <v>572</v>
      </c>
      <c r="S550" s="26"/>
      <c r="T550" s="71" t="s">
        <v>626</v>
      </c>
    </row>
    <row r="551" spans="1:20" ht="14" customHeight="1">
      <c r="A551" s="26" t="s">
        <v>573</v>
      </c>
      <c r="B551" s="26">
        <v>25</v>
      </c>
      <c r="C551" s="26" t="s">
        <v>571</v>
      </c>
      <c r="D551" s="25">
        <v>42886</v>
      </c>
      <c r="E551" s="19">
        <v>2017</v>
      </c>
      <c r="F551" s="19">
        <v>5</v>
      </c>
      <c r="G551" s="30">
        <v>31</v>
      </c>
      <c r="H551" s="29" t="s">
        <v>501</v>
      </c>
      <c r="I551" s="22">
        <v>135.33000000000001</v>
      </c>
      <c r="J551" s="22">
        <v>35.837000000000003</v>
      </c>
      <c r="K551" s="27">
        <v>0</v>
      </c>
      <c r="L551" s="27">
        <v>0</v>
      </c>
      <c r="M551" s="27" t="s">
        <v>501</v>
      </c>
      <c r="N551" s="21">
        <v>19.899999999999999</v>
      </c>
      <c r="O551" s="24">
        <v>34.627699999999997</v>
      </c>
      <c r="P551" s="20">
        <v>0.25</v>
      </c>
      <c r="Q551" s="20">
        <v>1.24</v>
      </c>
      <c r="R551" s="26" t="s">
        <v>572</v>
      </c>
      <c r="S551" s="26"/>
      <c r="T551" s="71" t="s">
        <v>626</v>
      </c>
    </row>
    <row r="552" spans="1:20" ht="14" customHeight="1">
      <c r="A552" s="26" t="s">
        <v>573</v>
      </c>
      <c r="B552" s="26">
        <v>26</v>
      </c>
      <c r="C552" s="26" t="s">
        <v>571</v>
      </c>
      <c r="D552" s="25">
        <v>42886</v>
      </c>
      <c r="E552" s="19">
        <v>2017</v>
      </c>
      <c r="F552" s="19">
        <v>5</v>
      </c>
      <c r="G552" s="30">
        <v>31</v>
      </c>
      <c r="H552" s="29" t="s">
        <v>501</v>
      </c>
      <c r="I552" s="22">
        <v>135.33799999999999</v>
      </c>
      <c r="J552" s="22">
        <v>35.67</v>
      </c>
      <c r="K552" s="27">
        <v>0</v>
      </c>
      <c r="L552" s="27">
        <v>0</v>
      </c>
      <c r="M552" s="27" t="s">
        <v>501</v>
      </c>
      <c r="N552" s="21">
        <v>20.5</v>
      </c>
      <c r="O552" s="24">
        <v>34.4026</v>
      </c>
      <c r="P552" s="20">
        <v>0.2</v>
      </c>
      <c r="Q552" s="20">
        <v>1.02</v>
      </c>
      <c r="R552" s="26" t="s">
        <v>572</v>
      </c>
      <c r="S552" s="26"/>
      <c r="T552" s="71" t="s">
        <v>626</v>
      </c>
    </row>
    <row r="553" spans="1:20" ht="14" customHeight="1">
      <c r="A553" s="19" t="s">
        <v>426</v>
      </c>
      <c r="B553" s="19" t="s">
        <v>427</v>
      </c>
      <c r="C553" s="26" t="s">
        <v>571</v>
      </c>
      <c r="D553" s="34">
        <v>43243</v>
      </c>
      <c r="E553" s="19">
        <v>2018</v>
      </c>
      <c r="F553" s="19">
        <v>5</v>
      </c>
      <c r="G553" s="30">
        <v>23</v>
      </c>
      <c r="H553" s="29">
        <v>0</v>
      </c>
      <c r="I553" s="35">
        <v>138.12200000000001</v>
      </c>
      <c r="J553" s="35">
        <v>37.335999999999999</v>
      </c>
      <c r="K553" s="28">
        <v>0</v>
      </c>
      <c r="L553" s="28">
        <v>0</v>
      </c>
      <c r="M553" s="27">
        <v>0</v>
      </c>
      <c r="N553" s="36">
        <v>16.600000000000001</v>
      </c>
      <c r="O553" s="35">
        <v>34.231000000000002</v>
      </c>
      <c r="P553" s="37">
        <v>0.08</v>
      </c>
      <c r="Q553" s="37">
        <v>0.56000000000000005</v>
      </c>
      <c r="R553" s="19" t="s">
        <v>393</v>
      </c>
      <c r="S553" s="19"/>
      <c r="T553" s="71" t="s">
        <v>626</v>
      </c>
    </row>
    <row r="554" spans="1:20" ht="14" customHeight="1">
      <c r="A554" s="19" t="s">
        <v>426</v>
      </c>
      <c r="B554" s="19">
        <v>1</v>
      </c>
      <c r="C554" s="26" t="s">
        <v>571</v>
      </c>
      <c r="D554" s="34">
        <v>43244</v>
      </c>
      <c r="E554" s="19">
        <v>2018</v>
      </c>
      <c r="F554" s="19">
        <v>5</v>
      </c>
      <c r="G554" s="30">
        <v>24</v>
      </c>
      <c r="H554" s="29">
        <v>0</v>
      </c>
      <c r="I554" s="35">
        <v>137.99700000000001</v>
      </c>
      <c r="J554" s="35">
        <v>37.17</v>
      </c>
      <c r="K554" s="28">
        <v>0</v>
      </c>
      <c r="L554" s="28">
        <v>0</v>
      </c>
      <c r="M554" s="27">
        <v>0</v>
      </c>
      <c r="N554" s="36">
        <v>16</v>
      </c>
      <c r="O554" s="35">
        <v>33.709000000000003</v>
      </c>
      <c r="P554" s="37">
        <v>-0.05</v>
      </c>
      <c r="Q554" s="37">
        <v>-0.26</v>
      </c>
      <c r="R554" s="19" t="s">
        <v>393</v>
      </c>
      <c r="S554" s="19"/>
      <c r="T554" s="71" t="s">
        <v>626</v>
      </c>
    </row>
    <row r="555" spans="1:20" ht="14" customHeight="1">
      <c r="A555" s="19" t="s">
        <v>426</v>
      </c>
      <c r="B555" s="19">
        <v>2</v>
      </c>
      <c r="C555" s="26" t="s">
        <v>571</v>
      </c>
      <c r="D555" s="34">
        <v>43244</v>
      </c>
      <c r="E555" s="19">
        <v>2018</v>
      </c>
      <c r="F555" s="19">
        <v>5</v>
      </c>
      <c r="G555" s="30">
        <v>24</v>
      </c>
      <c r="H555" s="29">
        <v>0</v>
      </c>
      <c r="I555" s="35">
        <v>137.66300000000001</v>
      </c>
      <c r="J555" s="35">
        <v>37.17</v>
      </c>
      <c r="K555" s="28">
        <v>0</v>
      </c>
      <c r="L555" s="28">
        <v>0</v>
      </c>
      <c r="M555" s="27">
        <v>0</v>
      </c>
      <c r="N555" s="36">
        <v>16.3</v>
      </c>
      <c r="O555" s="35">
        <v>34.040999999999997</v>
      </c>
      <c r="P555" s="37">
        <v>0.06</v>
      </c>
      <c r="Q555" s="37">
        <v>0.35</v>
      </c>
      <c r="R555" s="19" t="s">
        <v>393</v>
      </c>
      <c r="S555" s="19"/>
      <c r="T555" s="71" t="s">
        <v>626</v>
      </c>
    </row>
    <row r="556" spans="1:20" ht="14" customHeight="1">
      <c r="A556" s="19" t="s">
        <v>426</v>
      </c>
      <c r="B556" s="19">
        <v>3</v>
      </c>
      <c r="C556" s="26" t="s">
        <v>571</v>
      </c>
      <c r="D556" s="34">
        <v>43244</v>
      </c>
      <c r="E556" s="19">
        <v>2018</v>
      </c>
      <c r="F556" s="19">
        <v>5</v>
      </c>
      <c r="G556" s="30">
        <v>24</v>
      </c>
      <c r="H556" s="29">
        <v>0</v>
      </c>
      <c r="I556" s="35">
        <v>137.66300000000001</v>
      </c>
      <c r="J556" s="35">
        <v>37.003</v>
      </c>
      <c r="K556" s="28">
        <v>0</v>
      </c>
      <c r="L556" s="28">
        <v>0</v>
      </c>
      <c r="M556" s="27">
        <v>0</v>
      </c>
      <c r="N556" s="36">
        <v>16.100000000000001</v>
      </c>
      <c r="O556" s="35">
        <v>30.550999999999998</v>
      </c>
      <c r="P556" s="37">
        <v>-1.18</v>
      </c>
      <c r="Q556" s="37">
        <v>-7.18</v>
      </c>
      <c r="R556" s="19" t="s">
        <v>393</v>
      </c>
      <c r="S556" s="19"/>
      <c r="T556" s="71" t="s">
        <v>626</v>
      </c>
    </row>
    <row r="557" spans="1:20" ht="14" customHeight="1">
      <c r="A557" s="19" t="s">
        <v>426</v>
      </c>
      <c r="B557" s="19">
        <v>4</v>
      </c>
      <c r="C557" s="26" t="s">
        <v>571</v>
      </c>
      <c r="D557" s="34">
        <v>43244</v>
      </c>
      <c r="E557" s="19">
        <v>2018</v>
      </c>
      <c r="F557" s="19">
        <v>5</v>
      </c>
      <c r="G557" s="30">
        <v>24</v>
      </c>
      <c r="H557" s="29">
        <v>0</v>
      </c>
      <c r="I557" s="35">
        <v>137.33000000000001</v>
      </c>
      <c r="J557" s="35">
        <v>36.837000000000003</v>
      </c>
      <c r="K557" s="28">
        <v>0</v>
      </c>
      <c r="L557" s="28">
        <v>0</v>
      </c>
      <c r="M557" s="27">
        <v>0</v>
      </c>
      <c r="N557" s="36">
        <v>17.5</v>
      </c>
      <c r="O557" s="35">
        <v>29.515999999999998</v>
      </c>
      <c r="P557" s="37">
        <v>-1.41</v>
      </c>
      <c r="Q557" s="37">
        <v>-8.83</v>
      </c>
      <c r="R557" s="19" t="s">
        <v>393</v>
      </c>
      <c r="S557" s="19"/>
      <c r="T557" s="71" t="s">
        <v>626</v>
      </c>
    </row>
    <row r="558" spans="1:20" ht="14" customHeight="1">
      <c r="A558" s="19" t="s">
        <v>426</v>
      </c>
      <c r="B558" s="19">
        <v>5</v>
      </c>
      <c r="C558" s="26" t="s">
        <v>571</v>
      </c>
      <c r="D558" s="34">
        <v>43244</v>
      </c>
      <c r="E558" s="19">
        <v>2018</v>
      </c>
      <c r="F558" s="19">
        <v>5</v>
      </c>
      <c r="G558" s="30">
        <v>24</v>
      </c>
      <c r="H558" s="29">
        <v>0</v>
      </c>
      <c r="I558" s="35">
        <v>137.083</v>
      </c>
      <c r="J558" s="35">
        <v>36.840000000000003</v>
      </c>
      <c r="K558" s="28">
        <v>0</v>
      </c>
      <c r="L558" s="28">
        <v>0</v>
      </c>
      <c r="M558" s="27">
        <v>0</v>
      </c>
      <c r="N558" s="36">
        <v>17.2</v>
      </c>
      <c r="O558" s="35">
        <v>32.691000000000003</v>
      </c>
      <c r="P558" s="37">
        <v>-0.36</v>
      </c>
      <c r="Q558" s="37">
        <v>-2.25</v>
      </c>
      <c r="R558" s="19" t="s">
        <v>393</v>
      </c>
      <c r="S558" s="19"/>
      <c r="T558" s="71" t="s">
        <v>626</v>
      </c>
    </row>
    <row r="559" spans="1:20" ht="14" customHeight="1">
      <c r="A559" s="19" t="s">
        <v>426</v>
      </c>
      <c r="B559" s="19">
        <v>6</v>
      </c>
      <c r="C559" s="26" t="s">
        <v>571</v>
      </c>
      <c r="D559" s="34">
        <v>43244</v>
      </c>
      <c r="E559" s="19">
        <v>2018</v>
      </c>
      <c r="F559" s="19">
        <v>5</v>
      </c>
      <c r="G559" s="30">
        <v>24</v>
      </c>
      <c r="H559" s="29">
        <v>0</v>
      </c>
      <c r="I559" s="35">
        <v>137.09399999999999</v>
      </c>
      <c r="J559" s="35">
        <v>37.012</v>
      </c>
      <c r="K559" s="28">
        <v>0</v>
      </c>
      <c r="L559" s="28">
        <v>0</v>
      </c>
      <c r="M559" s="27">
        <v>0</v>
      </c>
      <c r="N559" s="36">
        <v>17.8</v>
      </c>
      <c r="O559" s="35">
        <v>33.220999999999997</v>
      </c>
      <c r="P559" s="37">
        <v>-0.16</v>
      </c>
      <c r="Q559" s="37">
        <v>-1.21</v>
      </c>
      <c r="R559" s="19" t="s">
        <v>393</v>
      </c>
      <c r="S559" s="19"/>
      <c r="T559" s="71" t="s">
        <v>626</v>
      </c>
    </row>
    <row r="560" spans="1:20" ht="14" customHeight="1">
      <c r="A560" s="19" t="s">
        <v>426</v>
      </c>
      <c r="B560" s="19">
        <v>7</v>
      </c>
      <c r="C560" s="26" t="s">
        <v>571</v>
      </c>
      <c r="D560" s="34">
        <v>43245</v>
      </c>
      <c r="E560" s="19">
        <v>2018</v>
      </c>
      <c r="F560" s="19">
        <v>5</v>
      </c>
      <c r="G560" s="30">
        <v>25</v>
      </c>
      <c r="H560" s="29">
        <v>0</v>
      </c>
      <c r="I560" s="35">
        <v>137.09399999999999</v>
      </c>
      <c r="J560" s="35">
        <v>37.170999999999999</v>
      </c>
      <c r="K560" s="28">
        <v>0</v>
      </c>
      <c r="L560" s="28">
        <v>0</v>
      </c>
      <c r="M560" s="27">
        <v>0</v>
      </c>
      <c r="N560" s="36">
        <v>16.3</v>
      </c>
      <c r="O560" s="35">
        <v>33.594999999999999</v>
      </c>
      <c r="P560" s="37">
        <v>-0.08</v>
      </c>
      <c r="Q560" s="37">
        <v>-0.63</v>
      </c>
      <c r="R560" s="19" t="s">
        <v>393</v>
      </c>
      <c r="S560" s="19"/>
      <c r="T560" s="71" t="s">
        <v>626</v>
      </c>
    </row>
    <row r="561" spans="1:20" ht="14" customHeight="1">
      <c r="A561" s="19" t="s">
        <v>426</v>
      </c>
      <c r="B561" s="19">
        <v>8</v>
      </c>
      <c r="C561" s="26" t="s">
        <v>571</v>
      </c>
      <c r="D561" s="34">
        <v>43245</v>
      </c>
      <c r="E561" s="19">
        <v>2018</v>
      </c>
      <c r="F561" s="19">
        <v>5</v>
      </c>
      <c r="G561" s="30">
        <v>25</v>
      </c>
      <c r="H561" s="29">
        <v>0</v>
      </c>
      <c r="I561" s="35">
        <v>137.33000000000001</v>
      </c>
      <c r="J561" s="35">
        <v>37.17</v>
      </c>
      <c r="K561" s="28">
        <v>0</v>
      </c>
      <c r="L561" s="28">
        <v>0</v>
      </c>
      <c r="M561" s="27">
        <v>0</v>
      </c>
      <c r="N561" s="36">
        <v>16.399999999999999</v>
      </c>
      <c r="O561" s="35">
        <v>33.703000000000003</v>
      </c>
      <c r="P561" s="37">
        <v>-0.05</v>
      </c>
      <c r="Q561" s="37">
        <v>-0.31</v>
      </c>
      <c r="R561" s="19" t="s">
        <v>393</v>
      </c>
      <c r="S561" s="19"/>
      <c r="T561" s="71" t="s">
        <v>626</v>
      </c>
    </row>
    <row r="562" spans="1:20" ht="14" customHeight="1">
      <c r="A562" s="19" t="s">
        <v>426</v>
      </c>
      <c r="B562" s="19">
        <v>9</v>
      </c>
      <c r="C562" s="26" t="s">
        <v>571</v>
      </c>
      <c r="D562" s="34">
        <v>43245</v>
      </c>
      <c r="E562" s="19">
        <v>2018</v>
      </c>
      <c r="F562" s="19">
        <v>5</v>
      </c>
      <c r="G562" s="30">
        <v>25</v>
      </c>
      <c r="H562" s="29">
        <v>0</v>
      </c>
      <c r="I562" s="35">
        <v>137.33000000000001</v>
      </c>
      <c r="J562" s="35">
        <v>37.337000000000003</v>
      </c>
      <c r="K562" s="28">
        <v>0</v>
      </c>
      <c r="L562" s="28">
        <v>0</v>
      </c>
      <c r="M562" s="27">
        <v>0</v>
      </c>
      <c r="N562" s="36">
        <v>16</v>
      </c>
      <c r="O562" s="35">
        <v>34.274999999999999</v>
      </c>
      <c r="P562" s="38">
        <v>0.12</v>
      </c>
      <c r="Q562" s="38">
        <v>0.75</v>
      </c>
      <c r="R562" s="19" t="s">
        <v>393</v>
      </c>
      <c r="S562" s="19"/>
      <c r="T562" s="71" t="s">
        <v>626</v>
      </c>
    </row>
    <row r="563" spans="1:20" ht="14" customHeight="1">
      <c r="A563" s="19" t="s">
        <v>426</v>
      </c>
      <c r="B563" s="19">
        <v>10</v>
      </c>
      <c r="C563" s="26" t="s">
        <v>571</v>
      </c>
      <c r="D563" s="34">
        <v>43245</v>
      </c>
      <c r="E563" s="19">
        <v>2018</v>
      </c>
      <c r="F563" s="19">
        <v>5</v>
      </c>
      <c r="G563" s="30">
        <v>25</v>
      </c>
      <c r="H563" s="29">
        <v>0</v>
      </c>
      <c r="I563" s="35">
        <v>137.33000000000001</v>
      </c>
      <c r="J563" s="35">
        <v>37.587000000000003</v>
      </c>
      <c r="K563" s="28">
        <v>0</v>
      </c>
      <c r="L563" s="28">
        <v>0</v>
      </c>
      <c r="M563" s="27">
        <v>0</v>
      </c>
      <c r="N563" s="36">
        <v>16.7</v>
      </c>
      <c r="O563" s="35">
        <v>34.252000000000002</v>
      </c>
      <c r="P563" s="38">
        <v>0.15</v>
      </c>
      <c r="Q563" s="38">
        <v>0.82</v>
      </c>
      <c r="R563" s="19" t="s">
        <v>393</v>
      </c>
      <c r="S563" s="19"/>
      <c r="T563" s="71" t="s">
        <v>626</v>
      </c>
    </row>
    <row r="564" spans="1:20" ht="14" customHeight="1">
      <c r="A564" s="19" t="s">
        <v>426</v>
      </c>
      <c r="B564" s="19">
        <v>11</v>
      </c>
      <c r="C564" s="26" t="s">
        <v>571</v>
      </c>
      <c r="D564" s="34">
        <v>43245</v>
      </c>
      <c r="E564" s="19">
        <v>2018</v>
      </c>
      <c r="F564" s="19">
        <v>5</v>
      </c>
      <c r="G564" s="30">
        <v>25</v>
      </c>
      <c r="H564" s="29">
        <v>0</v>
      </c>
      <c r="I564" s="35">
        <v>136.99700000000001</v>
      </c>
      <c r="J564" s="35">
        <v>37.67</v>
      </c>
      <c r="K564" s="28">
        <v>0</v>
      </c>
      <c r="L564" s="28">
        <v>0</v>
      </c>
      <c r="M564" s="27">
        <v>0</v>
      </c>
      <c r="N564" s="36">
        <v>16.600000000000001</v>
      </c>
      <c r="O564" s="35">
        <v>34.375999999999998</v>
      </c>
      <c r="P564" s="38">
        <v>0.14000000000000001</v>
      </c>
      <c r="Q564" s="38">
        <v>0.87</v>
      </c>
      <c r="R564" s="19" t="s">
        <v>393</v>
      </c>
      <c r="S564" s="19"/>
      <c r="T564" s="71" t="s">
        <v>626</v>
      </c>
    </row>
    <row r="565" spans="1:20" ht="14" customHeight="1">
      <c r="A565" s="19" t="s">
        <v>426</v>
      </c>
      <c r="B565" s="19">
        <v>12</v>
      </c>
      <c r="C565" s="26" t="s">
        <v>571</v>
      </c>
      <c r="D565" s="34">
        <v>43245</v>
      </c>
      <c r="E565" s="19">
        <v>2018</v>
      </c>
      <c r="F565" s="19">
        <v>5</v>
      </c>
      <c r="G565" s="30">
        <v>25</v>
      </c>
      <c r="H565" s="29">
        <v>0</v>
      </c>
      <c r="I565" s="35">
        <v>136.99700000000001</v>
      </c>
      <c r="J565" s="35">
        <v>37.503</v>
      </c>
      <c r="K565" s="28">
        <v>0</v>
      </c>
      <c r="L565" s="28">
        <v>0</v>
      </c>
      <c r="M565" s="27">
        <v>0</v>
      </c>
      <c r="N565" s="36">
        <v>16.3</v>
      </c>
      <c r="O565" s="35">
        <v>34.491999999999997</v>
      </c>
      <c r="P565" s="38">
        <v>0.2</v>
      </c>
      <c r="Q565" s="38">
        <v>1.1100000000000001</v>
      </c>
      <c r="R565" s="19" t="s">
        <v>393</v>
      </c>
      <c r="S565" s="19"/>
      <c r="T565" s="71" t="s">
        <v>626</v>
      </c>
    </row>
    <row r="566" spans="1:20" ht="14" customHeight="1">
      <c r="A566" s="19" t="s">
        <v>426</v>
      </c>
      <c r="B566" s="19">
        <v>13</v>
      </c>
      <c r="C566" s="26" t="s">
        <v>571</v>
      </c>
      <c r="D566" s="34">
        <v>43246</v>
      </c>
      <c r="E566" s="19">
        <v>2018</v>
      </c>
      <c r="F566" s="19">
        <v>5</v>
      </c>
      <c r="G566" s="30">
        <v>26</v>
      </c>
      <c r="H566" s="29">
        <v>0</v>
      </c>
      <c r="I566" s="35">
        <v>136.66300000000001</v>
      </c>
      <c r="J566" s="35">
        <v>37.67</v>
      </c>
      <c r="K566" s="28">
        <v>0</v>
      </c>
      <c r="L566" s="28">
        <v>0</v>
      </c>
      <c r="M566" s="27">
        <v>0</v>
      </c>
      <c r="N566" s="36">
        <v>16.2</v>
      </c>
      <c r="O566" s="35">
        <v>34.473999999999997</v>
      </c>
      <c r="P566" s="38">
        <v>0.18</v>
      </c>
      <c r="Q566" s="38">
        <v>1.0900000000000001</v>
      </c>
      <c r="R566" s="19" t="s">
        <v>393</v>
      </c>
      <c r="S566" s="19"/>
      <c r="T566" s="71" t="s">
        <v>626</v>
      </c>
    </row>
    <row r="567" spans="1:20" ht="14" customHeight="1">
      <c r="A567" s="19" t="s">
        <v>426</v>
      </c>
      <c r="B567" s="19">
        <v>14</v>
      </c>
      <c r="C567" s="26" t="s">
        <v>571</v>
      </c>
      <c r="D567" s="34">
        <v>43246</v>
      </c>
      <c r="E567" s="19">
        <v>2018</v>
      </c>
      <c r="F567" s="19">
        <v>5</v>
      </c>
      <c r="G567" s="30">
        <v>26</v>
      </c>
      <c r="H567" s="29">
        <v>0</v>
      </c>
      <c r="I567" s="35">
        <v>136.66300000000001</v>
      </c>
      <c r="J567" s="35">
        <v>37.503</v>
      </c>
      <c r="K567" s="28">
        <v>0</v>
      </c>
      <c r="L567" s="28">
        <v>0</v>
      </c>
      <c r="M567" s="27">
        <v>0</v>
      </c>
      <c r="N567" s="36">
        <v>16.7</v>
      </c>
      <c r="O567" s="35">
        <v>34.311</v>
      </c>
      <c r="P567" s="38">
        <v>0.15</v>
      </c>
      <c r="Q567" s="38">
        <v>0.85</v>
      </c>
      <c r="R567" s="19" t="s">
        <v>393</v>
      </c>
      <c r="S567" s="19"/>
      <c r="T567" s="71" t="s">
        <v>626</v>
      </c>
    </row>
    <row r="568" spans="1:20" ht="14" customHeight="1">
      <c r="A568" s="19" t="s">
        <v>426</v>
      </c>
      <c r="B568" s="19">
        <v>15</v>
      </c>
      <c r="C568" s="26" t="s">
        <v>571</v>
      </c>
      <c r="D568" s="34">
        <v>43246</v>
      </c>
      <c r="E568" s="19">
        <v>2018</v>
      </c>
      <c r="F568" s="19">
        <v>5</v>
      </c>
      <c r="G568" s="30">
        <v>26</v>
      </c>
      <c r="H568" s="29">
        <v>0</v>
      </c>
      <c r="I568" s="35">
        <v>136.66300000000001</v>
      </c>
      <c r="J568" s="35">
        <v>37.337000000000003</v>
      </c>
      <c r="K568" s="28">
        <v>0</v>
      </c>
      <c r="L568" s="28">
        <v>0</v>
      </c>
      <c r="M568" s="27">
        <v>0</v>
      </c>
      <c r="N568" s="36">
        <v>17.399999999999999</v>
      </c>
      <c r="O568" s="35">
        <v>33.734999999999999</v>
      </c>
      <c r="P568" s="38">
        <v>0.01</v>
      </c>
      <c r="Q568" s="38">
        <v>0.03</v>
      </c>
      <c r="R568" s="19" t="s">
        <v>393</v>
      </c>
      <c r="S568" s="19"/>
      <c r="T568" s="71" t="s">
        <v>626</v>
      </c>
    </row>
    <row r="569" spans="1:20" ht="14" customHeight="1">
      <c r="A569" s="19" t="s">
        <v>426</v>
      </c>
      <c r="B569" s="19">
        <v>16</v>
      </c>
      <c r="C569" s="26" t="s">
        <v>571</v>
      </c>
      <c r="D569" s="34">
        <v>43246</v>
      </c>
      <c r="E569" s="19">
        <v>2018</v>
      </c>
      <c r="F569" s="19">
        <v>5</v>
      </c>
      <c r="G569" s="30">
        <v>26</v>
      </c>
      <c r="H569" s="29">
        <v>0</v>
      </c>
      <c r="I569" s="35">
        <v>136.66300000000001</v>
      </c>
      <c r="J569" s="35">
        <v>37.003</v>
      </c>
      <c r="K569" s="28">
        <v>0</v>
      </c>
      <c r="L569" s="28">
        <v>0</v>
      </c>
      <c r="M569" s="27">
        <v>0</v>
      </c>
      <c r="N569" s="36">
        <v>18</v>
      </c>
      <c r="O569" s="35">
        <v>33.414000000000001</v>
      </c>
      <c r="P569" s="38">
        <v>-7.0000000000000007E-2</v>
      </c>
      <c r="Q569" s="38">
        <v>-0.51</v>
      </c>
      <c r="R569" s="19" t="s">
        <v>393</v>
      </c>
      <c r="S569" s="19"/>
      <c r="T569" s="71" t="s">
        <v>626</v>
      </c>
    </row>
    <row r="570" spans="1:20" ht="14" customHeight="1">
      <c r="A570" s="19" t="s">
        <v>426</v>
      </c>
      <c r="B570" s="19">
        <v>17</v>
      </c>
      <c r="C570" s="26" t="s">
        <v>571</v>
      </c>
      <c r="D570" s="34">
        <v>43246</v>
      </c>
      <c r="E570" s="19">
        <v>2018</v>
      </c>
      <c r="F570" s="19">
        <v>5</v>
      </c>
      <c r="G570" s="30">
        <v>26</v>
      </c>
      <c r="H570" s="29">
        <v>0</v>
      </c>
      <c r="I570" s="35">
        <v>136.66300000000001</v>
      </c>
      <c r="J570" s="35">
        <v>36.837000000000003</v>
      </c>
      <c r="K570" s="28">
        <v>0</v>
      </c>
      <c r="L570" s="28">
        <v>0</v>
      </c>
      <c r="M570" s="27">
        <v>0</v>
      </c>
      <c r="N570" s="36">
        <v>18</v>
      </c>
      <c r="O570" s="35">
        <v>33.576999999999998</v>
      </c>
      <c r="P570" s="38">
        <v>-0.09</v>
      </c>
      <c r="Q570" s="38">
        <v>-0.41</v>
      </c>
      <c r="R570" s="19" t="s">
        <v>393</v>
      </c>
      <c r="S570" s="19"/>
      <c r="T570" s="71" t="s">
        <v>626</v>
      </c>
    </row>
    <row r="571" spans="1:20" ht="14" customHeight="1">
      <c r="A571" s="19" t="s">
        <v>426</v>
      </c>
      <c r="B571" s="19">
        <v>18</v>
      </c>
      <c r="C571" s="26" t="s">
        <v>571</v>
      </c>
      <c r="D571" s="34">
        <v>43246</v>
      </c>
      <c r="E571" s="19">
        <v>2018</v>
      </c>
      <c r="F571" s="19">
        <v>5</v>
      </c>
      <c r="G571" s="30">
        <v>26</v>
      </c>
      <c r="H571" s="29">
        <v>0</v>
      </c>
      <c r="I571" s="35">
        <v>136.33000000000001</v>
      </c>
      <c r="J571" s="35">
        <v>36.503</v>
      </c>
      <c r="K571" s="28">
        <v>0</v>
      </c>
      <c r="L571" s="28">
        <v>0</v>
      </c>
      <c r="M571" s="27">
        <v>0</v>
      </c>
      <c r="N571" s="36">
        <v>18</v>
      </c>
      <c r="O571" s="35">
        <v>34.237000000000002</v>
      </c>
      <c r="P571" s="38">
        <v>0.14000000000000001</v>
      </c>
      <c r="Q571" s="38">
        <v>0.84</v>
      </c>
      <c r="R571" s="19" t="s">
        <v>393</v>
      </c>
      <c r="S571" s="19"/>
      <c r="T571" s="71" t="s">
        <v>626</v>
      </c>
    </row>
    <row r="572" spans="1:20" ht="14" customHeight="1">
      <c r="A572" s="19" t="s">
        <v>426</v>
      </c>
      <c r="B572" s="19">
        <v>19</v>
      </c>
      <c r="C572" s="26" t="s">
        <v>571</v>
      </c>
      <c r="D572" s="34">
        <v>43247</v>
      </c>
      <c r="E572" s="19">
        <v>2018</v>
      </c>
      <c r="F572" s="19">
        <v>5</v>
      </c>
      <c r="G572" s="30">
        <v>27</v>
      </c>
      <c r="H572" s="29">
        <v>0</v>
      </c>
      <c r="I572" s="35">
        <v>135.99700000000001</v>
      </c>
      <c r="J572" s="35">
        <v>36.17</v>
      </c>
      <c r="K572" s="28">
        <v>0</v>
      </c>
      <c r="L572" s="28">
        <v>0</v>
      </c>
      <c r="M572" s="27">
        <v>0</v>
      </c>
      <c r="N572" s="36">
        <v>17.899999999999999</v>
      </c>
      <c r="O572" s="35">
        <v>34.49</v>
      </c>
      <c r="P572" s="38">
        <v>0.21</v>
      </c>
      <c r="Q572" s="38">
        <v>1.22</v>
      </c>
      <c r="R572" s="19" t="s">
        <v>393</v>
      </c>
      <c r="S572" s="19"/>
      <c r="T572" s="71" t="s">
        <v>626</v>
      </c>
    </row>
    <row r="573" spans="1:20" ht="14" customHeight="1">
      <c r="A573" s="19" t="s">
        <v>426</v>
      </c>
      <c r="B573" s="19">
        <v>20</v>
      </c>
      <c r="C573" s="26" t="s">
        <v>571</v>
      </c>
      <c r="D573" s="34">
        <v>43247</v>
      </c>
      <c r="E573" s="19">
        <v>2018</v>
      </c>
      <c r="F573" s="19">
        <v>5</v>
      </c>
      <c r="G573" s="30">
        <v>27</v>
      </c>
      <c r="H573" s="29">
        <v>0</v>
      </c>
      <c r="I573" s="35">
        <v>135.83000000000001</v>
      </c>
      <c r="J573" s="35">
        <v>36.003</v>
      </c>
      <c r="K573" s="28">
        <v>0</v>
      </c>
      <c r="L573" s="28">
        <v>0</v>
      </c>
      <c r="M573" s="27">
        <v>0</v>
      </c>
      <c r="N573" s="36">
        <v>18.3</v>
      </c>
      <c r="O573" s="35">
        <v>34.497</v>
      </c>
      <c r="P573" s="38">
        <v>0.23</v>
      </c>
      <c r="Q573" s="38">
        <v>1.32</v>
      </c>
      <c r="R573" s="19" t="s">
        <v>393</v>
      </c>
      <c r="S573" s="19"/>
      <c r="T573" s="71" t="s">
        <v>626</v>
      </c>
    </row>
    <row r="574" spans="1:20" ht="14" customHeight="1">
      <c r="A574" s="19" t="s">
        <v>426</v>
      </c>
      <c r="B574" s="19">
        <v>21</v>
      </c>
      <c r="C574" s="26" t="s">
        <v>571</v>
      </c>
      <c r="D574" s="34">
        <v>43247</v>
      </c>
      <c r="E574" s="19">
        <v>2018</v>
      </c>
      <c r="F574" s="19">
        <v>5</v>
      </c>
      <c r="G574" s="30">
        <v>27</v>
      </c>
      <c r="H574" s="29">
        <v>0</v>
      </c>
      <c r="I574" s="35">
        <v>135.83000000000001</v>
      </c>
      <c r="J574" s="35">
        <v>35.837000000000003</v>
      </c>
      <c r="K574" s="28">
        <v>0</v>
      </c>
      <c r="L574" s="28">
        <v>0</v>
      </c>
      <c r="M574" s="27">
        <v>0</v>
      </c>
      <c r="N574" s="36">
        <v>17.8</v>
      </c>
      <c r="O574" s="35">
        <v>34.430999999999997</v>
      </c>
      <c r="P574" s="38">
        <v>0.18</v>
      </c>
      <c r="Q574" s="38">
        <v>1.26</v>
      </c>
      <c r="R574" s="19" t="s">
        <v>393</v>
      </c>
      <c r="S574" s="19"/>
      <c r="T574" s="71" t="s">
        <v>626</v>
      </c>
    </row>
    <row r="575" spans="1:20" ht="14" customHeight="1">
      <c r="A575" s="19" t="s">
        <v>426</v>
      </c>
      <c r="B575" s="19">
        <v>22</v>
      </c>
      <c r="C575" s="26" t="s">
        <v>571</v>
      </c>
      <c r="D575" s="34">
        <v>43248</v>
      </c>
      <c r="E575" s="19">
        <v>2018</v>
      </c>
      <c r="F575" s="19">
        <v>5</v>
      </c>
      <c r="G575" s="30">
        <v>28</v>
      </c>
      <c r="H575" s="29">
        <v>0</v>
      </c>
      <c r="I575" s="35">
        <v>135.83000000000001</v>
      </c>
      <c r="J575" s="35">
        <v>35.67</v>
      </c>
      <c r="K575" s="28">
        <v>0</v>
      </c>
      <c r="L575" s="28">
        <v>0</v>
      </c>
      <c r="M575" s="27">
        <v>0</v>
      </c>
      <c r="N575" s="36">
        <v>19.399999999999999</v>
      </c>
      <c r="O575" s="35">
        <v>33.853000000000002</v>
      </c>
      <c r="P575" s="38">
        <v>0.03</v>
      </c>
      <c r="Q575" s="38">
        <v>0.27</v>
      </c>
      <c r="R575" s="19" t="s">
        <v>393</v>
      </c>
      <c r="S575" s="19"/>
      <c r="T575" s="71" t="s">
        <v>626</v>
      </c>
    </row>
    <row r="576" spans="1:20" ht="14" customHeight="1">
      <c r="A576" s="19" t="s">
        <v>426</v>
      </c>
      <c r="B576" s="19">
        <v>23</v>
      </c>
      <c r="C576" s="26" t="s">
        <v>571</v>
      </c>
      <c r="D576" s="34">
        <v>43248</v>
      </c>
      <c r="E576" s="19">
        <v>2018</v>
      </c>
      <c r="F576" s="19">
        <v>5</v>
      </c>
      <c r="G576" s="30">
        <v>28</v>
      </c>
      <c r="H576" s="29">
        <v>0</v>
      </c>
      <c r="I576" s="35">
        <v>135.58000000000001</v>
      </c>
      <c r="J576" s="35">
        <v>35.67</v>
      </c>
      <c r="K576" s="28">
        <v>0</v>
      </c>
      <c r="L576" s="28">
        <v>0</v>
      </c>
      <c r="M576" s="27">
        <v>0</v>
      </c>
      <c r="N576" s="36">
        <v>19.5</v>
      </c>
      <c r="O576" s="35">
        <v>33.079000000000001</v>
      </c>
      <c r="P576" s="38">
        <v>-0.16</v>
      </c>
      <c r="Q576" s="38">
        <v>-0.86</v>
      </c>
      <c r="R576" s="19" t="s">
        <v>393</v>
      </c>
      <c r="S576" s="19"/>
      <c r="T576" s="71" t="s">
        <v>626</v>
      </c>
    </row>
    <row r="577" spans="1:20" ht="14" customHeight="1">
      <c r="A577" s="19" t="s">
        <v>426</v>
      </c>
      <c r="B577" s="19">
        <v>24</v>
      </c>
      <c r="C577" s="26" t="s">
        <v>571</v>
      </c>
      <c r="D577" s="34">
        <v>43247</v>
      </c>
      <c r="E577" s="19">
        <v>2018</v>
      </c>
      <c r="F577" s="19">
        <v>5</v>
      </c>
      <c r="G577" s="30">
        <v>27</v>
      </c>
      <c r="H577" s="29">
        <v>0</v>
      </c>
      <c r="I577" s="35">
        <v>135.58000000000001</v>
      </c>
      <c r="J577" s="35">
        <v>35.837000000000003</v>
      </c>
      <c r="K577" s="28">
        <v>0</v>
      </c>
      <c r="L577" s="28">
        <v>0</v>
      </c>
      <c r="M577" s="27">
        <v>0</v>
      </c>
      <c r="N577" s="36">
        <v>18.100000000000001</v>
      </c>
      <c r="O577" s="35">
        <v>34.472000000000001</v>
      </c>
      <c r="P577" s="37">
        <v>0.17</v>
      </c>
      <c r="Q577" s="37">
        <v>1.21</v>
      </c>
      <c r="R577" s="19" t="s">
        <v>393</v>
      </c>
      <c r="S577" s="19"/>
      <c r="T577" s="71" t="s">
        <v>626</v>
      </c>
    </row>
    <row r="578" spans="1:20" ht="14" customHeight="1">
      <c r="A578" s="19" t="s">
        <v>426</v>
      </c>
      <c r="B578" s="19">
        <v>25</v>
      </c>
      <c r="C578" s="26" t="s">
        <v>571</v>
      </c>
      <c r="D578" s="34">
        <v>43247</v>
      </c>
      <c r="E578" s="19">
        <v>2018</v>
      </c>
      <c r="F578" s="19">
        <v>5</v>
      </c>
      <c r="G578" s="30">
        <v>27</v>
      </c>
      <c r="H578" s="29">
        <v>0</v>
      </c>
      <c r="I578" s="35">
        <v>135.33000000000001</v>
      </c>
      <c r="J578" s="35">
        <v>35.837000000000003</v>
      </c>
      <c r="K578" s="28">
        <v>0</v>
      </c>
      <c r="L578" s="28">
        <v>0</v>
      </c>
      <c r="M578" s="27">
        <v>0</v>
      </c>
      <c r="N578" s="36">
        <v>20.3</v>
      </c>
      <c r="O578" s="35">
        <v>34.534999999999997</v>
      </c>
      <c r="P578" s="37">
        <v>0.21</v>
      </c>
      <c r="Q578" s="37">
        <v>1.34</v>
      </c>
      <c r="R578" s="19" t="s">
        <v>393</v>
      </c>
      <c r="S578" s="19"/>
      <c r="T578" s="71" t="s">
        <v>626</v>
      </c>
    </row>
    <row r="579" spans="1:20" ht="14" customHeight="1">
      <c r="A579" s="19" t="s">
        <v>426</v>
      </c>
      <c r="B579" s="19">
        <v>26</v>
      </c>
      <c r="C579" s="26" t="s">
        <v>571</v>
      </c>
      <c r="D579" s="34">
        <v>43247</v>
      </c>
      <c r="E579" s="19">
        <v>2018</v>
      </c>
      <c r="F579" s="19">
        <v>5</v>
      </c>
      <c r="G579" s="30">
        <v>27</v>
      </c>
      <c r="H579" s="29">
        <v>0</v>
      </c>
      <c r="I579" s="35">
        <v>135.33000000000001</v>
      </c>
      <c r="J579" s="35">
        <v>35.67</v>
      </c>
      <c r="K579" s="28">
        <v>0</v>
      </c>
      <c r="L579" s="28">
        <v>0</v>
      </c>
      <c r="M579" s="27">
        <v>0</v>
      </c>
      <c r="N579" s="36">
        <v>19.100000000000001</v>
      </c>
      <c r="O579" s="35">
        <v>34.366999999999997</v>
      </c>
      <c r="P579" s="37">
        <v>0.17</v>
      </c>
      <c r="Q579" s="37">
        <v>1.07</v>
      </c>
      <c r="R579" s="19" t="s">
        <v>393</v>
      </c>
      <c r="S579" s="19"/>
      <c r="T579" s="71" t="s">
        <v>626</v>
      </c>
    </row>
    <row r="580" spans="1:20" ht="14" customHeight="1">
      <c r="A580" s="39" t="s">
        <v>576</v>
      </c>
      <c r="B580" s="39">
        <v>16</v>
      </c>
      <c r="C580" s="39" t="s">
        <v>571</v>
      </c>
      <c r="D580" s="40">
        <v>43609</v>
      </c>
      <c r="E580" s="19">
        <v>2019</v>
      </c>
      <c r="F580" s="19">
        <v>5</v>
      </c>
      <c r="G580" s="30">
        <v>24</v>
      </c>
      <c r="H580" s="29" t="s">
        <v>501</v>
      </c>
      <c r="I580" s="41">
        <v>136.66399999999999</v>
      </c>
      <c r="J580" s="41">
        <v>37.002000000000002</v>
      </c>
      <c r="K580" s="42">
        <v>0</v>
      </c>
      <c r="L580" s="42">
        <v>0</v>
      </c>
      <c r="M580" s="27">
        <v>0</v>
      </c>
      <c r="N580" s="43">
        <v>18.899999999999999</v>
      </c>
      <c r="O580" s="44">
        <v>34.371000000000002</v>
      </c>
      <c r="P580" s="45">
        <v>0.18</v>
      </c>
      <c r="Q580" s="45">
        <v>0.95</v>
      </c>
      <c r="R580" s="39" t="s">
        <v>575</v>
      </c>
      <c r="S580" s="39"/>
      <c r="T580" s="71" t="s">
        <v>626</v>
      </c>
    </row>
    <row r="581" spans="1:20" ht="14" customHeight="1">
      <c r="A581" s="39" t="s">
        <v>576</v>
      </c>
      <c r="B581" s="39">
        <v>17</v>
      </c>
      <c r="C581" s="39" t="s">
        <v>571</v>
      </c>
      <c r="D581" s="40">
        <v>43609</v>
      </c>
      <c r="E581" s="19">
        <v>2019</v>
      </c>
      <c r="F581" s="19">
        <v>5</v>
      </c>
      <c r="G581" s="30">
        <v>24</v>
      </c>
      <c r="H581" s="29" t="s">
        <v>501</v>
      </c>
      <c r="I581" s="41">
        <v>136.66300000000001</v>
      </c>
      <c r="J581" s="41">
        <v>36.835000000000001</v>
      </c>
      <c r="K581" s="42">
        <v>0</v>
      </c>
      <c r="L581" s="42">
        <v>0</v>
      </c>
      <c r="M581" s="27">
        <v>0</v>
      </c>
      <c r="N581" s="43">
        <v>18.3</v>
      </c>
      <c r="O581" s="44">
        <v>34.314999999999998</v>
      </c>
      <c r="P581" s="45">
        <v>0.18</v>
      </c>
      <c r="Q581" s="45">
        <v>1.07</v>
      </c>
      <c r="R581" s="39" t="s">
        <v>575</v>
      </c>
      <c r="S581" s="39"/>
      <c r="T581" s="71" t="s">
        <v>626</v>
      </c>
    </row>
    <row r="582" spans="1:20" ht="14" customHeight="1">
      <c r="A582" s="39" t="s">
        <v>576</v>
      </c>
      <c r="B582" s="39">
        <v>18</v>
      </c>
      <c r="C582" s="39" t="s">
        <v>571</v>
      </c>
      <c r="D582" s="40">
        <v>43609</v>
      </c>
      <c r="E582" s="19">
        <v>2019</v>
      </c>
      <c r="F582" s="19">
        <v>5</v>
      </c>
      <c r="G582" s="30">
        <v>24</v>
      </c>
      <c r="H582" s="29" t="s">
        <v>501</v>
      </c>
      <c r="I582" s="41">
        <v>136.33000000000001</v>
      </c>
      <c r="J582" s="41">
        <v>36.502000000000002</v>
      </c>
      <c r="K582" s="42">
        <v>0</v>
      </c>
      <c r="L582" s="42">
        <v>0</v>
      </c>
      <c r="M582" s="27">
        <v>0</v>
      </c>
      <c r="N582" s="43">
        <v>18.899999999999999</v>
      </c>
      <c r="O582" s="44">
        <v>34.29</v>
      </c>
      <c r="P582" s="45">
        <v>0.18</v>
      </c>
      <c r="Q582" s="45">
        <v>1.05</v>
      </c>
      <c r="R582" s="39" t="s">
        <v>575</v>
      </c>
      <c r="S582" s="39"/>
      <c r="T582" s="71" t="s">
        <v>626</v>
      </c>
    </row>
    <row r="583" spans="1:20" ht="14" customHeight="1">
      <c r="A583" s="39" t="s">
        <v>576</v>
      </c>
      <c r="B583" s="39">
        <v>19</v>
      </c>
      <c r="C583" s="39" t="s">
        <v>571</v>
      </c>
      <c r="D583" s="40">
        <v>43609</v>
      </c>
      <c r="E583" s="19">
        <v>2019</v>
      </c>
      <c r="F583" s="19">
        <v>5</v>
      </c>
      <c r="G583" s="30">
        <v>24</v>
      </c>
      <c r="H583" s="29" t="s">
        <v>501</v>
      </c>
      <c r="I583" s="41">
        <v>135.99799999999999</v>
      </c>
      <c r="J583" s="41">
        <v>36.177</v>
      </c>
      <c r="K583" s="42">
        <v>0</v>
      </c>
      <c r="L583" s="42">
        <v>0</v>
      </c>
      <c r="M583" s="27">
        <v>0</v>
      </c>
      <c r="N583" s="43">
        <v>19.3</v>
      </c>
      <c r="O583" s="44">
        <v>34.453000000000003</v>
      </c>
      <c r="P583" s="45">
        <v>0.13</v>
      </c>
      <c r="Q583" s="45">
        <v>0.89</v>
      </c>
      <c r="R583" s="39" t="s">
        <v>575</v>
      </c>
      <c r="S583" s="39"/>
      <c r="T583" s="71" t="s">
        <v>626</v>
      </c>
    </row>
    <row r="584" spans="1:20" ht="14" customHeight="1">
      <c r="A584" s="39" t="s">
        <v>576</v>
      </c>
      <c r="B584" s="39">
        <v>20</v>
      </c>
      <c r="C584" s="39" t="s">
        <v>571</v>
      </c>
      <c r="D584" s="40">
        <v>43609</v>
      </c>
      <c r="E584" s="19">
        <v>2019</v>
      </c>
      <c r="F584" s="19">
        <v>5</v>
      </c>
      <c r="G584" s="30">
        <v>24</v>
      </c>
      <c r="H584" s="29" t="s">
        <v>501</v>
      </c>
      <c r="I584" s="41">
        <v>135.83000000000001</v>
      </c>
      <c r="J584" s="41">
        <v>36.002000000000002</v>
      </c>
      <c r="K584" s="42">
        <v>0</v>
      </c>
      <c r="L584" s="42">
        <v>0</v>
      </c>
      <c r="M584" s="27">
        <v>0</v>
      </c>
      <c r="N584" s="43">
        <v>19.2</v>
      </c>
      <c r="O584" s="44">
        <v>34.549999999999997</v>
      </c>
      <c r="P584" s="45">
        <v>0.18</v>
      </c>
      <c r="Q584" s="45">
        <v>1.1100000000000001</v>
      </c>
      <c r="R584" s="39" t="s">
        <v>575</v>
      </c>
      <c r="S584" s="39"/>
      <c r="T584" s="71" t="s">
        <v>626</v>
      </c>
    </row>
    <row r="585" spans="1:20" ht="14" customHeight="1">
      <c r="A585" s="39" t="s">
        <v>576</v>
      </c>
      <c r="B585" s="39">
        <v>25</v>
      </c>
      <c r="C585" s="39" t="s">
        <v>571</v>
      </c>
      <c r="D585" s="40">
        <v>43610</v>
      </c>
      <c r="E585" s="19">
        <v>2019</v>
      </c>
      <c r="F585" s="19">
        <v>5</v>
      </c>
      <c r="G585" s="30">
        <v>25</v>
      </c>
      <c r="H585" s="29" t="s">
        <v>501</v>
      </c>
      <c r="I585" s="41">
        <v>135.33099999999999</v>
      </c>
      <c r="J585" s="41">
        <v>35.837000000000003</v>
      </c>
      <c r="K585" s="42">
        <v>0</v>
      </c>
      <c r="L585" s="42">
        <v>0</v>
      </c>
      <c r="M585" s="27">
        <v>0</v>
      </c>
      <c r="N585" s="43">
        <v>18.5</v>
      </c>
      <c r="O585" s="44">
        <v>34.167000000000002</v>
      </c>
      <c r="P585" s="45">
        <v>0.21</v>
      </c>
      <c r="Q585" s="45">
        <v>1.06</v>
      </c>
      <c r="R585" s="39" t="s">
        <v>575</v>
      </c>
      <c r="S585" s="39"/>
      <c r="T585" s="71" t="s">
        <v>626</v>
      </c>
    </row>
    <row r="586" spans="1:20" ht="14" customHeight="1">
      <c r="A586" s="39" t="s">
        <v>576</v>
      </c>
      <c r="B586" s="39">
        <v>4</v>
      </c>
      <c r="C586" s="39" t="s">
        <v>571</v>
      </c>
      <c r="D586" s="40">
        <v>43608</v>
      </c>
      <c r="E586" s="19">
        <v>2019</v>
      </c>
      <c r="F586" s="19">
        <v>5</v>
      </c>
      <c r="G586" s="30">
        <v>23</v>
      </c>
      <c r="H586" s="29" t="s">
        <v>501</v>
      </c>
      <c r="I586" s="41">
        <v>137.33000000000001</v>
      </c>
      <c r="J586" s="41">
        <v>36.843000000000004</v>
      </c>
      <c r="K586" s="42">
        <v>0</v>
      </c>
      <c r="L586" s="42">
        <v>0</v>
      </c>
      <c r="M586" s="27">
        <v>0</v>
      </c>
      <c r="N586" s="43">
        <v>19.899999999999999</v>
      </c>
      <c r="O586" s="44">
        <v>34.289000000000001</v>
      </c>
      <c r="P586" s="45">
        <v>0</v>
      </c>
      <c r="Q586" s="45">
        <v>-0.09</v>
      </c>
      <c r="R586" s="39" t="s">
        <v>575</v>
      </c>
      <c r="S586" s="39"/>
      <c r="T586" s="71" t="s">
        <v>626</v>
      </c>
    </row>
    <row r="587" spans="1:20" ht="14" customHeight="1">
      <c r="A587" s="39" t="s">
        <v>576</v>
      </c>
      <c r="B587" s="39">
        <v>5</v>
      </c>
      <c r="C587" s="39" t="s">
        <v>571</v>
      </c>
      <c r="D587" s="40">
        <v>43608</v>
      </c>
      <c r="E587" s="19">
        <v>2019</v>
      </c>
      <c r="F587" s="19">
        <v>5</v>
      </c>
      <c r="G587" s="30">
        <v>23</v>
      </c>
      <c r="H587" s="29" t="s">
        <v>501</v>
      </c>
      <c r="I587" s="41">
        <v>137.08600000000001</v>
      </c>
      <c r="J587" s="41">
        <v>36.840000000000003</v>
      </c>
      <c r="K587" s="42">
        <v>0</v>
      </c>
      <c r="L587" s="42">
        <v>0</v>
      </c>
      <c r="M587" s="27">
        <v>0</v>
      </c>
      <c r="N587" s="43">
        <v>19</v>
      </c>
      <c r="O587" s="44">
        <v>34.207000000000001</v>
      </c>
      <c r="P587" s="45">
        <v>-0.03</v>
      </c>
      <c r="Q587" s="45">
        <v>-0.37</v>
      </c>
      <c r="R587" s="39" t="s">
        <v>575</v>
      </c>
      <c r="S587" s="39"/>
      <c r="T587" s="71" t="s">
        <v>626</v>
      </c>
    </row>
    <row r="588" spans="1:20" ht="14" customHeight="1">
      <c r="A588" s="39" t="s">
        <v>576</v>
      </c>
      <c r="B588" s="39">
        <v>6</v>
      </c>
      <c r="C588" s="39" t="s">
        <v>571</v>
      </c>
      <c r="D588" s="40">
        <v>43608</v>
      </c>
      <c r="E588" s="19">
        <v>2019</v>
      </c>
      <c r="F588" s="19">
        <v>5</v>
      </c>
      <c r="G588" s="30">
        <v>23</v>
      </c>
      <c r="H588" s="29" t="s">
        <v>501</v>
      </c>
      <c r="I588" s="41">
        <v>137.10300000000001</v>
      </c>
      <c r="J588" s="41">
        <v>37.012</v>
      </c>
      <c r="K588" s="42">
        <v>0</v>
      </c>
      <c r="L588" s="42">
        <v>0</v>
      </c>
      <c r="M588" s="27">
        <v>0</v>
      </c>
      <c r="N588" s="43">
        <v>18.3</v>
      </c>
      <c r="O588" s="44">
        <v>32.896000000000001</v>
      </c>
      <c r="P588" s="45">
        <v>0.05</v>
      </c>
      <c r="Q588" s="45">
        <v>0.22</v>
      </c>
      <c r="R588" s="39" t="s">
        <v>575</v>
      </c>
      <c r="S588" s="39"/>
      <c r="T588" s="71" t="s">
        <v>626</v>
      </c>
    </row>
    <row r="589" spans="1:20" ht="14" customHeight="1">
      <c r="A589" s="39" t="s">
        <v>576</v>
      </c>
      <c r="B589" s="39">
        <v>15</v>
      </c>
      <c r="C589" s="39" t="s">
        <v>571</v>
      </c>
      <c r="D589" s="40">
        <v>43609</v>
      </c>
      <c r="E589" s="19">
        <v>2019</v>
      </c>
      <c r="F589" s="19">
        <v>5</v>
      </c>
      <c r="G589" s="30">
        <v>24</v>
      </c>
      <c r="H589" s="29" t="s">
        <v>501</v>
      </c>
      <c r="I589" s="41">
        <v>136.66900000000001</v>
      </c>
      <c r="J589" s="41">
        <v>37.340000000000003</v>
      </c>
      <c r="K589" s="42">
        <v>0</v>
      </c>
      <c r="L589" s="42">
        <v>0</v>
      </c>
      <c r="M589" s="27">
        <v>0</v>
      </c>
      <c r="N589" s="43">
        <v>18.7</v>
      </c>
      <c r="O589" s="44">
        <v>34.622</v>
      </c>
      <c r="P589" s="45">
        <v>0.12</v>
      </c>
      <c r="Q589" s="45">
        <v>0.57999999999999996</v>
      </c>
      <c r="R589" s="39" t="s">
        <v>575</v>
      </c>
      <c r="S589" s="39"/>
      <c r="T589" s="71" t="s">
        <v>626</v>
      </c>
    </row>
    <row r="590" spans="1:20" ht="14" customHeight="1">
      <c r="A590" s="39" t="s">
        <v>576</v>
      </c>
      <c r="B590" s="39">
        <v>7</v>
      </c>
      <c r="C590" s="39" t="s">
        <v>571</v>
      </c>
      <c r="D590" s="40">
        <v>43608</v>
      </c>
      <c r="E590" s="19">
        <v>2019</v>
      </c>
      <c r="F590" s="19">
        <v>5</v>
      </c>
      <c r="G590" s="30">
        <v>23</v>
      </c>
      <c r="H590" s="29" t="s">
        <v>501</v>
      </c>
      <c r="I590" s="41">
        <v>137.11099999999999</v>
      </c>
      <c r="J590" s="41">
        <v>37.170999999999999</v>
      </c>
      <c r="K590" s="42">
        <v>0</v>
      </c>
      <c r="L590" s="42">
        <v>0</v>
      </c>
      <c r="M590" s="27">
        <v>0</v>
      </c>
      <c r="N590" s="43">
        <v>18.600000000000001</v>
      </c>
      <c r="O590" s="44">
        <v>34.273000000000003</v>
      </c>
      <c r="P590" s="45">
        <v>0.05</v>
      </c>
      <c r="Q590" s="45">
        <v>0.12</v>
      </c>
      <c r="R590" s="39" t="s">
        <v>575</v>
      </c>
      <c r="S590" s="39"/>
      <c r="T590" s="71" t="s">
        <v>626</v>
      </c>
    </row>
    <row r="591" spans="1:20" ht="14" customHeight="1">
      <c r="A591" s="39" t="s">
        <v>576</v>
      </c>
      <c r="B591" s="39">
        <v>8</v>
      </c>
      <c r="C591" s="39" t="s">
        <v>571</v>
      </c>
      <c r="D591" s="40">
        <v>43608</v>
      </c>
      <c r="E591" s="19">
        <v>2019</v>
      </c>
      <c r="F591" s="19">
        <v>5</v>
      </c>
      <c r="G591" s="30">
        <v>23</v>
      </c>
      <c r="H591" s="29" t="s">
        <v>501</v>
      </c>
      <c r="I591" s="41">
        <v>137.33000000000001</v>
      </c>
      <c r="J591" s="41">
        <v>37.168999999999997</v>
      </c>
      <c r="K591" s="42">
        <v>0</v>
      </c>
      <c r="L591" s="42">
        <v>0</v>
      </c>
      <c r="M591" s="27">
        <v>0</v>
      </c>
      <c r="N591" s="43">
        <v>18.899999999999999</v>
      </c>
      <c r="O591" s="44">
        <v>34.182000000000002</v>
      </c>
      <c r="P591" s="45">
        <v>-0.24</v>
      </c>
      <c r="Q591" s="45">
        <v>-1.78</v>
      </c>
      <c r="R591" s="39" t="s">
        <v>575</v>
      </c>
      <c r="S591" s="39"/>
      <c r="T591" s="71" t="s">
        <v>626</v>
      </c>
    </row>
    <row r="592" spans="1:20" ht="14" customHeight="1">
      <c r="A592" s="39" t="s">
        <v>576</v>
      </c>
      <c r="B592" s="39">
        <v>9</v>
      </c>
      <c r="C592" s="39" t="s">
        <v>571</v>
      </c>
      <c r="D592" s="40">
        <v>43608</v>
      </c>
      <c r="E592" s="19">
        <v>2019</v>
      </c>
      <c r="F592" s="19">
        <v>5</v>
      </c>
      <c r="G592" s="30">
        <v>23</v>
      </c>
      <c r="H592" s="29" t="s">
        <v>501</v>
      </c>
      <c r="I592" s="41">
        <v>137.328</v>
      </c>
      <c r="J592" s="41">
        <v>37.337000000000003</v>
      </c>
      <c r="K592" s="42">
        <v>0</v>
      </c>
      <c r="L592" s="42">
        <v>0</v>
      </c>
      <c r="M592" s="27">
        <v>0</v>
      </c>
      <c r="N592" s="43">
        <v>17.8</v>
      </c>
      <c r="O592" s="44">
        <v>34.18</v>
      </c>
      <c r="P592" s="45">
        <v>0.08</v>
      </c>
      <c r="Q592" s="45">
        <v>0.48</v>
      </c>
      <c r="R592" s="39" t="s">
        <v>575</v>
      </c>
      <c r="S592" s="39"/>
      <c r="T592" s="71" t="s">
        <v>626</v>
      </c>
    </row>
    <row r="593" spans="1:20" ht="14" customHeight="1">
      <c r="A593" s="39" t="s">
        <v>576</v>
      </c>
      <c r="B593" s="39">
        <v>10</v>
      </c>
      <c r="C593" s="39" t="s">
        <v>571</v>
      </c>
      <c r="D593" s="40">
        <v>43609</v>
      </c>
      <c r="E593" s="19">
        <v>2019</v>
      </c>
      <c r="F593" s="19">
        <v>5</v>
      </c>
      <c r="G593" s="30">
        <v>24</v>
      </c>
      <c r="H593" s="29" t="s">
        <v>501</v>
      </c>
      <c r="I593" s="41">
        <v>137.33000000000001</v>
      </c>
      <c r="J593" s="41">
        <v>37.587000000000003</v>
      </c>
      <c r="K593" s="42">
        <v>0</v>
      </c>
      <c r="L593" s="42">
        <v>0</v>
      </c>
      <c r="M593" s="27">
        <v>0</v>
      </c>
      <c r="N593" s="43">
        <v>17.899999999999999</v>
      </c>
      <c r="O593" s="44">
        <v>34.451999999999998</v>
      </c>
      <c r="P593" s="45">
        <v>0.11</v>
      </c>
      <c r="Q593" s="45">
        <v>0.68</v>
      </c>
      <c r="R593" s="39" t="s">
        <v>575</v>
      </c>
      <c r="S593" s="39"/>
      <c r="T593" s="71" t="s">
        <v>626</v>
      </c>
    </row>
    <row r="594" spans="1:20" ht="14" customHeight="1">
      <c r="A594" s="39" t="s">
        <v>576</v>
      </c>
      <c r="B594" s="39">
        <v>11</v>
      </c>
      <c r="C594" s="39" t="s">
        <v>571</v>
      </c>
      <c r="D594" s="40">
        <v>43609</v>
      </c>
      <c r="E594" s="19">
        <v>2019</v>
      </c>
      <c r="F594" s="19">
        <v>5</v>
      </c>
      <c r="G594" s="30">
        <v>24</v>
      </c>
      <c r="H594" s="29" t="s">
        <v>501</v>
      </c>
      <c r="I594" s="41">
        <v>136.99799999999999</v>
      </c>
      <c r="J594" s="41">
        <v>37.503999999999998</v>
      </c>
      <c r="K594" s="42">
        <v>0</v>
      </c>
      <c r="L594" s="42">
        <v>0</v>
      </c>
      <c r="M594" s="27">
        <v>0</v>
      </c>
      <c r="N594" s="43">
        <v>17.7</v>
      </c>
      <c r="O594" s="44">
        <v>34.307000000000002</v>
      </c>
      <c r="P594" s="45">
        <v>7.0000000000000007E-2</v>
      </c>
      <c r="Q594" s="45">
        <v>0.64</v>
      </c>
      <c r="R594" s="39" t="s">
        <v>575</v>
      </c>
      <c r="S594" s="39"/>
      <c r="T594" s="71" t="s">
        <v>626</v>
      </c>
    </row>
    <row r="595" spans="1:20" ht="14" customHeight="1">
      <c r="A595" s="39" t="s">
        <v>576</v>
      </c>
      <c r="B595" s="39">
        <v>21</v>
      </c>
      <c r="C595" s="39" t="s">
        <v>571</v>
      </c>
      <c r="D595" s="40">
        <v>43609</v>
      </c>
      <c r="E595" s="19">
        <v>2019</v>
      </c>
      <c r="F595" s="19">
        <v>5</v>
      </c>
      <c r="G595" s="30">
        <v>24</v>
      </c>
      <c r="H595" s="29" t="s">
        <v>501</v>
      </c>
      <c r="I595" s="41">
        <v>135.82900000000001</v>
      </c>
      <c r="J595" s="41">
        <v>35.835999999999999</v>
      </c>
      <c r="K595" s="42">
        <v>0</v>
      </c>
      <c r="L595" s="42">
        <v>0</v>
      </c>
      <c r="M595" s="27">
        <v>0</v>
      </c>
      <c r="N595" s="43">
        <v>20.100000000000001</v>
      </c>
      <c r="O595" s="44">
        <v>34.156999999999996</v>
      </c>
      <c r="P595" s="45">
        <v>0.24</v>
      </c>
      <c r="Q595" s="45">
        <v>1.22</v>
      </c>
      <c r="R595" s="39" t="s">
        <v>575</v>
      </c>
      <c r="S595" s="39"/>
      <c r="T595" s="71" t="s">
        <v>626</v>
      </c>
    </row>
    <row r="596" spans="1:20" ht="14" customHeight="1">
      <c r="A596" s="39" t="s">
        <v>576</v>
      </c>
      <c r="B596" s="39">
        <v>22</v>
      </c>
      <c r="C596" s="39" t="s">
        <v>571</v>
      </c>
      <c r="D596" s="40">
        <v>43609</v>
      </c>
      <c r="E596" s="19">
        <v>2019</v>
      </c>
      <c r="F596" s="19">
        <v>5</v>
      </c>
      <c r="G596" s="30">
        <v>24</v>
      </c>
      <c r="H596" s="29" t="s">
        <v>501</v>
      </c>
      <c r="I596" s="41">
        <v>135.828</v>
      </c>
      <c r="J596" s="41">
        <v>35.680999999999997</v>
      </c>
      <c r="K596" s="42">
        <v>0</v>
      </c>
      <c r="L596" s="42">
        <v>0</v>
      </c>
      <c r="M596" s="27">
        <v>0</v>
      </c>
      <c r="N596" s="43">
        <v>19.8</v>
      </c>
      <c r="O596" s="44">
        <v>34.393999999999998</v>
      </c>
      <c r="P596" s="45">
        <v>0.15</v>
      </c>
      <c r="Q596" s="45">
        <v>0.97</v>
      </c>
      <c r="R596" s="39" t="s">
        <v>575</v>
      </c>
      <c r="S596" s="39"/>
      <c r="T596" s="71" t="s">
        <v>626</v>
      </c>
    </row>
    <row r="597" spans="1:20" ht="14" customHeight="1">
      <c r="A597" s="39" t="s">
        <v>576</v>
      </c>
      <c r="B597" s="39">
        <v>23</v>
      </c>
      <c r="C597" s="39" t="s">
        <v>571</v>
      </c>
      <c r="D597" s="40">
        <v>43609</v>
      </c>
      <c r="E597" s="19">
        <v>2019</v>
      </c>
      <c r="F597" s="19">
        <v>5</v>
      </c>
      <c r="G597" s="30">
        <v>24</v>
      </c>
      <c r="H597" s="29" t="s">
        <v>501</v>
      </c>
      <c r="I597" s="41">
        <v>135.57499999999999</v>
      </c>
      <c r="J597" s="41">
        <v>35.697000000000003</v>
      </c>
      <c r="K597" s="42">
        <v>0</v>
      </c>
      <c r="L597" s="42">
        <v>0</v>
      </c>
      <c r="M597" s="27">
        <v>0</v>
      </c>
      <c r="N597" s="43">
        <v>19.2</v>
      </c>
      <c r="O597" s="44">
        <v>34.514000000000003</v>
      </c>
      <c r="P597" s="45">
        <v>0.16</v>
      </c>
      <c r="Q597" s="45">
        <v>1.1299999999999999</v>
      </c>
      <c r="R597" s="39" t="s">
        <v>575</v>
      </c>
      <c r="S597" s="39"/>
      <c r="T597" s="71" t="s">
        <v>626</v>
      </c>
    </row>
    <row r="598" spans="1:20" ht="14" customHeight="1">
      <c r="A598" s="39" t="s">
        <v>576</v>
      </c>
      <c r="B598" s="39">
        <v>26</v>
      </c>
      <c r="C598" s="39" t="s">
        <v>571</v>
      </c>
      <c r="D598" s="40">
        <v>43610</v>
      </c>
      <c r="E598" s="19">
        <v>2019</v>
      </c>
      <c r="F598" s="19">
        <v>5</v>
      </c>
      <c r="G598" s="30">
        <v>25</v>
      </c>
      <c r="H598" s="29" t="s">
        <v>501</v>
      </c>
      <c r="I598" s="41">
        <v>135.57499999999999</v>
      </c>
      <c r="J598" s="41">
        <v>35.697000000000003</v>
      </c>
      <c r="K598" s="42">
        <v>0</v>
      </c>
      <c r="L598" s="42">
        <v>0</v>
      </c>
      <c r="M598" s="27">
        <v>0</v>
      </c>
      <c r="N598" s="43">
        <v>19</v>
      </c>
      <c r="O598" s="44">
        <v>34.206000000000003</v>
      </c>
      <c r="P598" s="45">
        <v>0.14000000000000001</v>
      </c>
      <c r="Q598" s="45">
        <v>0.82</v>
      </c>
      <c r="R598" s="39" t="s">
        <v>575</v>
      </c>
      <c r="S598" s="39"/>
      <c r="T598" s="71" t="s">
        <v>626</v>
      </c>
    </row>
    <row r="599" spans="1:20" ht="14" customHeight="1">
      <c r="A599" s="39" t="s">
        <v>489</v>
      </c>
      <c r="B599" s="39">
        <v>1</v>
      </c>
      <c r="C599" s="39" t="s">
        <v>571</v>
      </c>
      <c r="D599" s="40">
        <v>43621</v>
      </c>
      <c r="E599" s="19">
        <v>2019</v>
      </c>
      <c r="F599" s="19">
        <v>6</v>
      </c>
      <c r="G599" s="30">
        <v>5</v>
      </c>
      <c r="H599" s="29" t="s">
        <v>501</v>
      </c>
      <c r="I599" s="41">
        <v>137.99799999999999</v>
      </c>
      <c r="J599" s="41">
        <v>37.170999999999999</v>
      </c>
      <c r="K599" s="42">
        <v>0</v>
      </c>
      <c r="L599" s="42">
        <v>0</v>
      </c>
      <c r="M599" s="27">
        <v>0</v>
      </c>
      <c r="N599" s="43">
        <v>20.6</v>
      </c>
      <c r="O599" s="44">
        <v>32.917999999999999</v>
      </c>
      <c r="P599" s="45">
        <v>-0.33</v>
      </c>
      <c r="Q599" s="45">
        <v>-2</v>
      </c>
      <c r="R599" s="39" t="s">
        <v>575</v>
      </c>
      <c r="S599" s="39"/>
      <c r="T599" s="71" t="s">
        <v>626</v>
      </c>
    </row>
    <row r="600" spans="1:20" ht="14" customHeight="1">
      <c r="A600" s="39" t="s">
        <v>489</v>
      </c>
      <c r="B600" s="39">
        <v>2</v>
      </c>
      <c r="C600" s="39" t="s">
        <v>571</v>
      </c>
      <c r="D600" s="40">
        <v>43621</v>
      </c>
      <c r="E600" s="19">
        <v>2019</v>
      </c>
      <c r="F600" s="19">
        <v>6</v>
      </c>
      <c r="G600" s="30">
        <v>5</v>
      </c>
      <c r="H600" s="29" t="s">
        <v>501</v>
      </c>
      <c r="I600" s="41">
        <v>137.66399999999999</v>
      </c>
      <c r="J600" s="41">
        <v>37.170999999999999</v>
      </c>
      <c r="K600" s="42">
        <v>0</v>
      </c>
      <c r="L600" s="42">
        <v>0</v>
      </c>
      <c r="M600" s="27">
        <v>0</v>
      </c>
      <c r="N600" s="43">
        <v>20.5</v>
      </c>
      <c r="O600" s="44">
        <v>33.761000000000003</v>
      </c>
      <c r="P600" s="45">
        <v>-0.03</v>
      </c>
      <c r="Q600" s="45">
        <v>-0.3</v>
      </c>
      <c r="R600" s="39" t="s">
        <v>575</v>
      </c>
      <c r="S600" s="39"/>
      <c r="T600" s="71" t="s">
        <v>626</v>
      </c>
    </row>
    <row r="601" spans="1:20" ht="14" customHeight="1">
      <c r="A601" s="39" t="s">
        <v>489</v>
      </c>
      <c r="B601" s="39">
        <v>3</v>
      </c>
      <c r="C601" s="39" t="s">
        <v>571</v>
      </c>
      <c r="D601" s="40">
        <v>43621</v>
      </c>
      <c r="E601" s="19">
        <v>2019</v>
      </c>
      <c r="F601" s="19">
        <v>6</v>
      </c>
      <c r="G601" s="30">
        <v>5</v>
      </c>
      <c r="H601" s="29" t="s">
        <v>501</v>
      </c>
      <c r="I601" s="41">
        <v>137.66499999999999</v>
      </c>
      <c r="J601" s="41">
        <v>37.012999999999998</v>
      </c>
      <c r="K601" s="42">
        <v>0</v>
      </c>
      <c r="L601" s="42">
        <v>0</v>
      </c>
      <c r="M601" s="27">
        <v>0</v>
      </c>
      <c r="N601" s="43">
        <v>20.3</v>
      </c>
      <c r="O601" s="44">
        <v>33.718000000000004</v>
      </c>
      <c r="P601" s="45">
        <v>-7.0000000000000007E-2</v>
      </c>
      <c r="Q601" s="45">
        <v>-0.41</v>
      </c>
      <c r="R601" s="39" t="s">
        <v>575</v>
      </c>
      <c r="S601" s="39"/>
      <c r="T601" s="71" t="s">
        <v>626</v>
      </c>
    </row>
    <row r="602" spans="1:20" ht="14" customHeight="1">
      <c r="A602" s="39" t="s">
        <v>489</v>
      </c>
      <c r="B602" s="39">
        <v>4</v>
      </c>
      <c r="C602" s="39" t="s">
        <v>571</v>
      </c>
      <c r="D602" s="40">
        <v>43621</v>
      </c>
      <c r="E602" s="19">
        <v>2019</v>
      </c>
      <c r="F602" s="19">
        <v>6</v>
      </c>
      <c r="G602" s="30">
        <v>5</v>
      </c>
      <c r="H602" s="29" t="s">
        <v>501</v>
      </c>
      <c r="I602" s="41">
        <v>137.33000000000001</v>
      </c>
      <c r="J602" s="41">
        <v>36.837000000000003</v>
      </c>
      <c r="K602" s="42">
        <v>0</v>
      </c>
      <c r="L602" s="42">
        <v>0</v>
      </c>
      <c r="M602" s="27">
        <v>0</v>
      </c>
      <c r="N602" s="43">
        <v>21.4</v>
      </c>
      <c r="O602" s="44">
        <v>22.670999999999999</v>
      </c>
      <c r="P602" s="45">
        <v>-3.48</v>
      </c>
      <c r="Q602" s="45">
        <v>-21.54</v>
      </c>
      <c r="R602" s="39" t="s">
        <v>575</v>
      </c>
      <c r="S602" s="39"/>
      <c r="T602" s="71" t="s">
        <v>626</v>
      </c>
    </row>
    <row r="603" spans="1:20" ht="14" customHeight="1">
      <c r="A603" s="39" t="s">
        <v>489</v>
      </c>
      <c r="B603" s="39">
        <v>5</v>
      </c>
      <c r="C603" s="39" t="s">
        <v>571</v>
      </c>
      <c r="D603" s="40">
        <v>43621</v>
      </c>
      <c r="E603" s="19">
        <v>2019</v>
      </c>
      <c r="F603" s="19">
        <v>6</v>
      </c>
      <c r="G603" s="30">
        <v>5</v>
      </c>
      <c r="H603" s="29" t="s">
        <v>501</v>
      </c>
      <c r="I603" s="41">
        <v>137.083</v>
      </c>
      <c r="J603" s="41">
        <v>36.844000000000001</v>
      </c>
      <c r="K603" s="42">
        <v>0</v>
      </c>
      <c r="L603" s="42">
        <v>0</v>
      </c>
      <c r="M603" s="27">
        <v>0</v>
      </c>
      <c r="N603" s="43">
        <v>23.3</v>
      </c>
      <c r="O603" s="44">
        <v>33.014000000000003</v>
      </c>
      <c r="P603" s="45">
        <v>-0.28000000000000003</v>
      </c>
      <c r="Q603" s="45">
        <v>-1.8</v>
      </c>
      <c r="R603" s="39" t="s">
        <v>575</v>
      </c>
      <c r="S603" s="39"/>
      <c r="T603" s="71" t="s">
        <v>626</v>
      </c>
    </row>
    <row r="604" spans="1:20" ht="14" customHeight="1">
      <c r="A604" s="39" t="s">
        <v>489</v>
      </c>
      <c r="B604" s="39">
        <v>7</v>
      </c>
      <c r="C604" s="39" t="s">
        <v>571</v>
      </c>
      <c r="D604" s="40">
        <v>43621</v>
      </c>
      <c r="E604" s="19">
        <v>2019</v>
      </c>
      <c r="F604" s="19">
        <v>6</v>
      </c>
      <c r="G604" s="30">
        <v>5</v>
      </c>
      <c r="H604" s="29" t="s">
        <v>501</v>
      </c>
      <c r="I604" s="41">
        <v>137.10300000000001</v>
      </c>
      <c r="J604" s="41">
        <v>37.171999999999997</v>
      </c>
      <c r="K604" s="42">
        <v>0</v>
      </c>
      <c r="L604" s="42">
        <v>0</v>
      </c>
      <c r="M604" s="27">
        <v>0</v>
      </c>
      <c r="N604" s="43">
        <v>22</v>
      </c>
      <c r="O604" s="44">
        <v>34.110999999999997</v>
      </c>
      <c r="P604" s="45">
        <v>7.0000000000000007E-2</v>
      </c>
      <c r="Q604" s="45">
        <v>0.3</v>
      </c>
      <c r="R604" s="39" t="s">
        <v>575</v>
      </c>
      <c r="S604" s="39"/>
      <c r="T604" s="71" t="s">
        <v>626</v>
      </c>
    </row>
    <row r="605" spans="1:20" ht="14" customHeight="1">
      <c r="A605" s="39" t="s">
        <v>489</v>
      </c>
      <c r="B605" s="39">
        <v>9</v>
      </c>
      <c r="C605" s="39" t="s">
        <v>571</v>
      </c>
      <c r="D605" s="40">
        <v>43622</v>
      </c>
      <c r="E605" s="19">
        <v>2019</v>
      </c>
      <c r="F605" s="19">
        <v>6</v>
      </c>
      <c r="G605" s="30">
        <v>6</v>
      </c>
      <c r="H605" s="29" t="s">
        <v>501</v>
      </c>
      <c r="I605" s="41">
        <v>137.328</v>
      </c>
      <c r="J605" s="41">
        <v>37.335999999999999</v>
      </c>
      <c r="K605" s="42">
        <v>0</v>
      </c>
      <c r="L605" s="42">
        <v>0</v>
      </c>
      <c r="M605" s="27">
        <v>0</v>
      </c>
      <c r="N605" s="43">
        <v>20.5</v>
      </c>
      <c r="O605" s="44">
        <v>34.408999999999999</v>
      </c>
      <c r="P605" s="45">
        <v>0.13</v>
      </c>
      <c r="Q605" s="45">
        <v>0.9</v>
      </c>
      <c r="R605" s="39" t="s">
        <v>575</v>
      </c>
      <c r="S605" s="39"/>
      <c r="T605" s="71" t="s">
        <v>626</v>
      </c>
    </row>
    <row r="606" spans="1:20" ht="14" customHeight="1">
      <c r="A606" s="19" t="s">
        <v>489</v>
      </c>
      <c r="B606" s="19">
        <v>10</v>
      </c>
      <c r="C606" s="39" t="s">
        <v>571</v>
      </c>
      <c r="D606" s="40">
        <v>43622</v>
      </c>
      <c r="E606" s="19">
        <v>2019</v>
      </c>
      <c r="F606" s="19">
        <v>6</v>
      </c>
      <c r="G606" s="30">
        <v>6</v>
      </c>
      <c r="H606" s="29" t="s">
        <v>501</v>
      </c>
      <c r="I606" s="35">
        <v>137.321</v>
      </c>
      <c r="J606" s="35">
        <v>37.582999999999998</v>
      </c>
      <c r="K606" s="42">
        <v>0</v>
      </c>
      <c r="L606" s="42">
        <v>0</v>
      </c>
      <c r="M606" s="27">
        <v>0</v>
      </c>
      <c r="N606" s="36">
        <v>19.7</v>
      </c>
      <c r="O606" s="35">
        <v>34.47</v>
      </c>
      <c r="P606" s="45">
        <v>0.17</v>
      </c>
      <c r="Q606" s="45">
        <v>1.08</v>
      </c>
      <c r="R606" s="39" t="s">
        <v>575</v>
      </c>
      <c r="S606" s="39"/>
      <c r="T606" s="71" t="s">
        <v>626</v>
      </c>
    </row>
    <row r="607" spans="1:20" ht="14" customHeight="1">
      <c r="A607" s="19" t="s">
        <v>489</v>
      </c>
      <c r="B607" s="19">
        <v>11</v>
      </c>
      <c r="C607" s="39" t="s">
        <v>571</v>
      </c>
      <c r="D607" s="40">
        <v>43622</v>
      </c>
      <c r="E607" s="19">
        <v>2019</v>
      </c>
      <c r="F607" s="19">
        <v>6</v>
      </c>
      <c r="G607" s="30">
        <v>6</v>
      </c>
      <c r="H607" s="29" t="s">
        <v>501</v>
      </c>
      <c r="I607" s="35">
        <v>136.999</v>
      </c>
      <c r="J607" s="35">
        <v>37.515999999999998</v>
      </c>
      <c r="K607" s="42">
        <v>0</v>
      </c>
      <c r="L607" s="42">
        <v>0</v>
      </c>
      <c r="M607" s="27">
        <v>0</v>
      </c>
      <c r="N607" s="36">
        <v>20.6</v>
      </c>
      <c r="O607" s="35">
        <v>34.302999999999997</v>
      </c>
      <c r="P607" s="45">
        <v>0.14000000000000001</v>
      </c>
      <c r="Q607" s="45">
        <v>0.96</v>
      </c>
      <c r="R607" s="39" t="s">
        <v>575</v>
      </c>
      <c r="S607" s="39"/>
      <c r="T607" s="71" t="s">
        <v>626</v>
      </c>
    </row>
    <row r="608" spans="1:20" ht="14" customHeight="1">
      <c r="A608" s="19" t="s">
        <v>489</v>
      </c>
      <c r="B608" s="19">
        <v>12</v>
      </c>
      <c r="C608" s="39" t="s">
        <v>571</v>
      </c>
      <c r="D608" s="40">
        <v>43622</v>
      </c>
      <c r="E608" s="19">
        <v>2019</v>
      </c>
      <c r="F608" s="19">
        <v>6</v>
      </c>
      <c r="G608" s="30">
        <v>6</v>
      </c>
      <c r="H608" s="29" t="s">
        <v>501</v>
      </c>
      <c r="I608" s="35">
        <v>136.98599999999999</v>
      </c>
      <c r="J608" s="35">
        <v>37.667999999999999</v>
      </c>
      <c r="K608" s="42">
        <v>0</v>
      </c>
      <c r="L608" s="42">
        <v>0</v>
      </c>
      <c r="M608" s="27">
        <v>0</v>
      </c>
      <c r="N608" s="36">
        <v>20.100000000000001</v>
      </c>
      <c r="O608" s="35">
        <v>34.505000000000003</v>
      </c>
      <c r="P608" s="45">
        <v>0.16</v>
      </c>
      <c r="Q608" s="45">
        <v>1.03</v>
      </c>
      <c r="R608" s="39" t="s">
        <v>575</v>
      </c>
      <c r="S608" s="39"/>
      <c r="T608" s="71" t="s">
        <v>626</v>
      </c>
    </row>
    <row r="609" spans="1:20" ht="14" customHeight="1">
      <c r="A609" s="19" t="s">
        <v>489</v>
      </c>
      <c r="B609" s="19">
        <v>13</v>
      </c>
      <c r="C609" s="39" t="s">
        <v>571</v>
      </c>
      <c r="D609" s="40">
        <v>43622</v>
      </c>
      <c r="E609" s="19">
        <v>2019</v>
      </c>
      <c r="F609" s="19">
        <v>6</v>
      </c>
      <c r="G609" s="30">
        <v>6</v>
      </c>
      <c r="H609" s="29" t="s">
        <v>501</v>
      </c>
      <c r="I609" s="35">
        <v>136.66399999999999</v>
      </c>
      <c r="J609" s="35">
        <v>37.670999999999999</v>
      </c>
      <c r="K609" s="42">
        <v>0</v>
      </c>
      <c r="L609" s="42">
        <v>0</v>
      </c>
      <c r="M609" s="27">
        <v>0</v>
      </c>
      <c r="N609" s="36">
        <v>20.5</v>
      </c>
      <c r="O609" s="35">
        <v>34.414000000000001</v>
      </c>
      <c r="P609" s="45">
        <v>0.23</v>
      </c>
      <c r="Q609" s="45">
        <v>1.1100000000000001</v>
      </c>
      <c r="R609" s="39" t="s">
        <v>575</v>
      </c>
      <c r="S609" s="39"/>
      <c r="T609" s="71" t="s">
        <v>626</v>
      </c>
    </row>
    <row r="610" spans="1:20" ht="14" customHeight="1">
      <c r="A610" s="19" t="s">
        <v>489</v>
      </c>
      <c r="B610" s="19">
        <v>14</v>
      </c>
      <c r="C610" s="39" t="s">
        <v>571</v>
      </c>
      <c r="D610" s="40">
        <v>43622</v>
      </c>
      <c r="E610" s="19">
        <v>2019</v>
      </c>
      <c r="F610" s="19">
        <v>6</v>
      </c>
      <c r="G610" s="30">
        <v>6</v>
      </c>
      <c r="H610" s="29" t="s">
        <v>501</v>
      </c>
      <c r="I610" s="35">
        <v>136.67500000000001</v>
      </c>
      <c r="J610" s="35">
        <v>37.502000000000002</v>
      </c>
      <c r="K610" s="42">
        <v>0</v>
      </c>
      <c r="L610" s="42">
        <v>0</v>
      </c>
      <c r="M610" s="27">
        <v>0</v>
      </c>
      <c r="N610" s="36">
        <v>21.1</v>
      </c>
      <c r="O610" s="35">
        <v>34.588000000000001</v>
      </c>
      <c r="P610" s="45">
        <v>0.25</v>
      </c>
      <c r="Q610" s="45">
        <v>1.39</v>
      </c>
      <c r="R610" s="39" t="s">
        <v>575</v>
      </c>
      <c r="S610" s="39"/>
      <c r="T610" s="71" t="s">
        <v>626</v>
      </c>
    </row>
    <row r="611" spans="1:20" ht="14" customHeight="1">
      <c r="A611" s="19" t="s">
        <v>489</v>
      </c>
      <c r="B611" s="19">
        <v>15</v>
      </c>
      <c r="C611" s="39" t="s">
        <v>571</v>
      </c>
      <c r="D611" s="40">
        <v>43622</v>
      </c>
      <c r="E611" s="19">
        <v>2019</v>
      </c>
      <c r="F611" s="19">
        <v>6</v>
      </c>
      <c r="G611" s="30">
        <v>6</v>
      </c>
      <c r="H611" s="29" t="s">
        <v>501</v>
      </c>
      <c r="I611" s="35">
        <v>136.66900000000001</v>
      </c>
      <c r="J611" s="35">
        <v>37.332000000000001</v>
      </c>
      <c r="K611" s="42">
        <v>0</v>
      </c>
      <c r="L611" s="42">
        <v>0</v>
      </c>
      <c r="M611" s="27">
        <v>0</v>
      </c>
      <c r="N611" s="36">
        <v>21.6</v>
      </c>
      <c r="O611" s="35">
        <v>34.131999999999998</v>
      </c>
      <c r="P611" s="45">
        <v>0.12</v>
      </c>
      <c r="Q611" s="45">
        <v>0.56000000000000005</v>
      </c>
      <c r="R611" s="39" t="s">
        <v>575</v>
      </c>
      <c r="S611" s="39"/>
      <c r="T611" s="71" t="s">
        <v>626</v>
      </c>
    </row>
    <row r="612" spans="1:20" ht="14" customHeight="1">
      <c r="A612" s="19" t="s">
        <v>489</v>
      </c>
      <c r="B612" s="19">
        <v>16</v>
      </c>
      <c r="C612" s="39" t="s">
        <v>571</v>
      </c>
      <c r="D612" s="34">
        <v>43623</v>
      </c>
      <c r="E612" s="19">
        <v>2019</v>
      </c>
      <c r="F612" s="19">
        <v>6</v>
      </c>
      <c r="G612" s="30">
        <v>7</v>
      </c>
      <c r="H612" s="29" t="s">
        <v>501</v>
      </c>
      <c r="I612" s="35">
        <v>136.66399999999999</v>
      </c>
      <c r="J612" s="35">
        <v>37.003999999999998</v>
      </c>
      <c r="K612" s="42">
        <v>0</v>
      </c>
      <c r="L612" s="42">
        <v>0</v>
      </c>
      <c r="M612" s="27">
        <v>0</v>
      </c>
      <c r="N612" s="36">
        <v>21.1</v>
      </c>
      <c r="O612" s="35">
        <v>34.378</v>
      </c>
      <c r="P612" s="45">
        <v>0.16</v>
      </c>
      <c r="Q612" s="45">
        <v>0.9</v>
      </c>
      <c r="R612" s="39" t="s">
        <v>575</v>
      </c>
      <c r="S612" s="39"/>
      <c r="T612" s="71" t="s">
        <v>626</v>
      </c>
    </row>
    <row r="613" spans="1:20" ht="14" customHeight="1">
      <c r="A613" s="19" t="s">
        <v>489</v>
      </c>
      <c r="B613" s="19">
        <v>17</v>
      </c>
      <c r="C613" s="39" t="s">
        <v>571</v>
      </c>
      <c r="D613" s="34">
        <v>43623</v>
      </c>
      <c r="E613" s="19">
        <v>2019</v>
      </c>
      <c r="F613" s="19">
        <v>6</v>
      </c>
      <c r="G613" s="30">
        <v>7</v>
      </c>
      <c r="H613" s="29" t="s">
        <v>501</v>
      </c>
      <c r="I613" s="35">
        <v>136.66300000000001</v>
      </c>
      <c r="J613" s="35">
        <v>36.837000000000003</v>
      </c>
      <c r="K613" s="42">
        <v>0</v>
      </c>
      <c r="L613" s="42">
        <v>0</v>
      </c>
      <c r="M613" s="27">
        <v>0</v>
      </c>
      <c r="N613" s="36">
        <v>21.7</v>
      </c>
      <c r="O613" s="35">
        <v>33.85</v>
      </c>
      <c r="P613" s="45">
        <v>0.05</v>
      </c>
      <c r="Q613" s="45">
        <v>0.28000000000000003</v>
      </c>
      <c r="R613" s="39" t="s">
        <v>575</v>
      </c>
      <c r="S613" s="39"/>
      <c r="T613" s="71" t="s">
        <v>626</v>
      </c>
    </row>
    <row r="614" spans="1:20" ht="14" customHeight="1">
      <c r="A614" s="19" t="s">
        <v>489</v>
      </c>
      <c r="B614" s="19">
        <v>18</v>
      </c>
      <c r="C614" s="39" t="s">
        <v>571</v>
      </c>
      <c r="D614" s="34">
        <v>43623</v>
      </c>
      <c r="E614" s="19">
        <v>2019</v>
      </c>
      <c r="F614" s="19">
        <v>6</v>
      </c>
      <c r="G614" s="30">
        <v>7</v>
      </c>
      <c r="H614" s="29" t="s">
        <v>501</v>
      </c>
      <c r="I614" s="35">
        <v>136.328</v>
      </c>
      <c r="J614" s="35">
        <v>36.503</v>
      </c>
      <c r="K614" s="42">
        <v>0</v>
      </c>
      <c r="L614" s="42">
        <v>0</v>
      </c>
      <c r="M614" s="27">
        <v>0</v>
      </c>
      <c r="N614" s="36">
        <v>20.6</v>
      </c>
      <c r="O614" s="35">
        <v>34.445</v>
      </c>
      <c r="P614" s="45">
        <v>0.21</v>
      </c>
      <c r="Q614" s="45">
        <v>1.1399999999999999</v>
      </c>
      <c r="R614" s="39" t="s">
        <v>575</v>
      </c>
      <c r="S614" s="39"/>
      <c r="T614" s="71" t="s">
        <v>626</v>
      </c>
    </row>
    <row r="615" spans="1:20" ht="14" customHeight="1">
      <c r="A615" s="19" t="s">
        <v>489</v>
      </c>
      <c r="B615" s="19">
        <v>19</v>
      </c>
      <c r="C615" s="39" t="s">
        <v>571</v>
      </c>
      <c r="D615" s="34">
        <v>43623</v>
      </c>
      <c r="E615" s="19">
        <v>2019</v>
      </c>
      <c r="F615" s="19">
        <v>6</v>
      </c>
      <c r="G615" s="30">
        <v>7</v>
      </c>
      <c r="H615" s="29" t="s">
        <v>501</v>
      </c>
      <c r="I615" s="35">
        <v>135.99299999999999</v>
      </c>
      <c r="J615" s="35">
        <v>36.168999999999997</v>
      </c>
      <c r="K615" s="42">
        <v>0</v>
      </c>
      <c r="L615" s="42">
        <v>0</v>
      </c>
      <c r="M615" s="27">
        <v>0</v>
      </c>
      <c r="N615" s="36">
        <v>20.8</v>
      </c>
      <c r="O615" s="35">
        <v>34.487000000000002</v>
      </c>
      <c r="P615" s="45">
        <v>0.23</v>
      </c>
      <c r="Q615" s="45">
        <v>1.41</v>
      </c>
      <c r="R615" s="39" t="s">
        <v>575</v>
      </c>
      <c r="S615" s="39"/>
      <c r="T615" s="71" t="s">
        <v>626</v>
      </c>
    </row>
    <row r="616" spans="1:20" ht="14" customHeight="1">
      <c r="A616" s="19" t="s">
        <v>489</v>
      </c>
      <c r="B616" s="19">
        <v>20</v>
      </c>
      <c r="C616" s="39" t="s">
        <v>571</v>
      </c>
      <c r="D616" s="34">
        <v>43623</v>
      </c>
      <c r="E616" s="19">
        <v>2019</v>
      </c>
      <c r="F616" s="19">
        <v>6</v>
      </c>
      <c r="G616" s="30">
        <v>7</v>
      </c>
      <c r="H616" s="29" t="s">
        <v>501</v>
      </c>
      <c r="I616" s="35">
        <v>135.84700000000001</v>
      </c>
      <c r="J616" s="35">
        <v>36.000999999999998</v>
      </c>
      <c r="K616" s="42">
        <v>0</v>
      </c>
      <c r="L616" s="42">
        <v>0</v>
      </c>
      <c r="M616" s="27">
        <v>0</v>
      </c>
      <c r="N616" s="36">
        <v>20.8</v>
      </c>
      <c r="O616" s="35">
        <v>34.484999999999999</v>
      </c>
      <c r="P616" s="45">
        <v>0.22</v>
      </c>
      <c r="Q616" s="45">
        <v>1.31</v>
      </c>
      <c r="R616" s="39" t="s">
        <v>575</v>
      </c>
      <c r="S616" s="39"/>
      <c r="T616" s="71" t="s">
        <v>626</v>
      </c>
    </row>
    <row r="617" spans="1:20" ht="14" customHeight="1">
      <c r="A617" s="19" t="s">
        <v>489</v>
      </c>
      <c r="B617" s="19">
        <v>21</v>
      </c>
      <c r="C617" s="39" t="s">
        <v>571</v>
      </c>
      <c r="D617" s="34">
        <v>43623</v>
      </c>
      <c r="E617" s="19">
        <v>2019</v>
      </c>
      <c r="F617" s="19">
        <v>6</v>
      </c>
      <c r="G617" s="30">
        <v>7</v>
      </c>
      <c r="H617" s="29" t="s">
        <v>501</v>
      </c>
      <c r="I617" s="35">
        <v>135.83099999999999</v>
      </c>
      <c r="J617" s="35">
        <v>35.835999999999999</v>
      </c>
      <c r="K617" s="42">
        <v>0</v>
      </c>
      <c r="L617" s="42">
        <v>0</v>
      </c>
      <c r="M617" s="27">
        <v>0</v>
      </c>
      <c r="N617" s="36">
        <v>20.7</v>
      </c>
      <c r="O617" s="35">
        <v>34.518000000000001</v>
      </c>
      <c r="P617" s="45">
        <v>0.25</v>
      </c>
      <c r="Q617" s="45">
        <v>1.35</v>
      </c>
      <c r="R617" s="39" t="s">
        <v>575</v>
      </c>
      <c r="S617" s="39"/>
      <c r="T617" s="71" t="s">
        <v>626</v>
      </c>
    </row>
    <row r="618" spans="1:20" ht="14" customHeight="1">
      <c r="A618" s="19" t="s">
        <v>489</v>
      </c>
      <c r="B618" s="19">
        <v>22</v>
      </c>
      <c r="C618" s="39" t="s">
        <v>571</v>
      </c>
      <c r="D618" s="34">
        <v>43623</v>
      </c>
      <c r="E618" s="19">
        <v>2019</v>
      </c>
      <c r="F618" s="19">
        <v>6</v>
      </c>
      <c r="G618" s="30">
        <v>7</v>
      </c>
      <c r="H618" s="29" t="s">
        <v>501</v>
      </c>
      <c r="I618" s="35">
        <v>135.834</v>
      </c>
      <c r="J618" s="35">
        <v>35.664999999999999</v>
      </c>
      <c r="K618" s="42">
        <v>0</v>
      </c>
      <c r="L618" s="42">
        <v>0</v>
      </c>
      <c r="M618" s="27">
        <v>0</v>
      </c>
      <c r="N618" s="36">
        <v>21.3</v>
      </c>
      <c r="O618" s="35">
        <v>34.457999999999998</v>
      </c>
      <c r="P618" s="45">
        <v>0.24</v>
      </c>
      <c r="Q618" s="45">
        <v>1.27</v>
      </c>
      <c r="R618" s="39" t="s">
        <v>575</v>
      </c>
      <c r="S618" s="39"/>
      <c r="T618" s="71" t="s">
        <v>626</v>
      </c>
    </row>
    <row r="619" spans="1:20" ht="14" customHeight="1">
      <c r="A619" s="19" t="s">
        <v>489</v>
      </c>
      <c r="B619" s="19">
        <v>23</v>
      </c>
      <c r="C619" s="39" t="s">
        <v>571</v>
      </c>
      <c r="D619" s="34">
        <v>43624</v>
      </c>
      <c r="E619" s="19">
        <v>2019</v>
      </c>
      <c r="F619" s="19">
        <v>6</v>
      </c>
      <c r="G619" s="30">
        <v>8</v>
      </c>
      <c r="H619" s="29" t="s">
        <v>501</v>
      </c>
      <c r="I619" s="35">
        <v>135.583</v>
      </c>
      <c r="J619" s="35">
        <v>35.668999999999997</v>
      </c>
      <c r="K619" s="42">
        <v>0</v>
      </c>
      <c r="L619" s="42">
        <v>0</v>
      </c>
      <c r="M619" s="27">
        <v>0</v>
      </c>
      <c r="N619" s="36">
        <v>20.8</v>
      </c>
      <c r="O619" s="35">
        <v>34.307000000000002</v>
      </c>
      <c r="P619" s="45">
        <v>0.22</v>
      </c>
      <c r="Q619" s="45">
        <v>1.02</v>
      </c>
      <c r="R619" s="39" t="s">
        <v>575</v>
      </c>
      <c r="S619" s="39"/>
      <c r="T619" s="71" t="s">
        <v>626</v>
      </c>
    </row>
    <row r="620" spans="1:20" ht="14" customHeight="1">
      <c r="A620" s="19" t="s">
        <v>489</v>
      </c>
      <c r="B620" s="19">
        <v>24</v>
      </c>
      <c r="C620" s="39" t="s">
        <v>571</v>
      </c>
      <c r="D620" s="34">
        <v>43624</v>
      </c>
      <c r="E620" s="19">
        <v>2019</v>
      </c>
      <c r="F620" s="19">
        <v>6</v>
      </c>
      <c r="G620" s="30">
        <v>8</v>
      </c>
      <c r="H620" s="29" t="s">
        <v>501</v>
      </c>
      <c r="I620" s="35">
        <v>135.58000000000001</v>
      </c>
      <c r="J620" s="35">
        <v>35.835999999999999</v>
      </c>
      <c r="K620" s="42">
        <v>0</v>
      </c>
      <c r="L620" s="42">
        <v>0</v>
      </c>
      <c r="M620" s="27">
        <v>0</v>
      </c>
      <c r="N620" s="36">
        <v>20.100000000000001</v>
      </c>
      <c r="O620" s="35">
        <v>34.372</v>
      </c>
      <c r="P620" s="45">
        <v>0.15</v>
      </c>
      <c r="Q620" s="45">
        <v>1.06</v>
      </c>
      <c r="R620" s="39" t="s">
        <v>575</v>
      </c>
      <c r="S620" s="39"/>
      <c r="T620" s="71" t="s">
        <v>626</v>
      </c>
    </row>
    <row r="621" spans="1:20" ht="14" customHeight="1">
      <c r="A621" s="19" t="s">
        <v>489</v>
      </c>
      <c r="B621" s="19">
        <v>25</v>
      </c>
      <c r="C621" s="39" t="s">
        <v>571</v>
      </c>
      <c r="D621" s="34">
        <v>43624</v>
      </c>
      <c r="E621" s="19">
        <v>2019</v>
      </c>
      <c r="F621" s="19">
        <v>6</v>
      </c>
      <c r="G621" s="30">
        <v>8</v>
      </c>
      <c r="H621" s="29" t="s">
        <v>501</v>
      </c>
      <c r="I621" s="35">
        <v>135.33799999999999</v>
      </c>
      <c r="J621" s="35">
        <v>35.834000000000003</v>
      </c>
      <c r="K621" s="42">
        <v>0</v>
      </c>
      <c r="L621" s="42">
        <v>0</v>
      </c>
      <c r="M621" s="27">
        <v>0</v>
      </c>
      <c r="N621" s="36">
        <v>20.3</v>
      </c>
      <c r="O621" s="35">
        <v>34.488999999999997</v>
      </c>
      <c r="P621" s="45">
        <v>0.19</v>
      </c>
      <c r="Q621" s="45">
        <v>1.23</v>
      </c>
      <c r="R621" s="39" t="s">
        <v>575</v>
      </c>
      <c r="S621" s="39"/>
      <c r="T621" s="71" t="s">
        <v>626</v>
      </c>
    </row>
    <row r="622" spans="1:20" ht="14" customHeight="1">
      <c r="A622" s="19" t="s">
        <v>489</v>
      </c>
      <c r="B622" s="19">
        <v>26</v>
      </c>
      <c r="C622" s="39" t="s">
        <v>571</v>
      </c>
      <c r="D622" s="34">
        <v>43624</v>
      </c>
      <c r="E622" s="19">
        <v>2019</v>
      </c>
      <c r="F622" s="19">
        <v>6</v>
      </c>
      <c r="G622" s="30">
        <v>8</v>
      </c>
      <c r="H622" s="29" t="s">
        <v>501</v>
      </c>
      <c r="I622" s="35">
        <v>135.333</v>
      </c>
      <c r="J622" s="35">
        <v>35.667999999999999</v>
      </c>
      <c r="K622" s="42">
        <v>0</v>
      </c>
      <c r="L622" s="42">
        <v>0</v>
      </c>
      <c r="M622" s="27">
        <v>0</v>
      </c>
      <c r="N622" s="36">
        <v>20.399999999999999</v>
      </c>
      <c r="O622" s="35">
        <v>34.517000000000003</v>
      </c>
      <c r="P622" s="45">
        <v>0.23</v>
      </c>
      <c r="Q622" s="45">
        <v>1.34</v>
      </c>
      <c r="R622" s="39" t="s">
        <v>575</v>
      </c>
      <c r="S622" s="39"/>
      <c r="T622" s="71" t="s">
        <v>626</v>
      </c>
    </row>
    <row r="623" spans="1:20" ht="14" customHeight="1">
      <c r="A623" s="19" t="s">
        <v>392</v>
      </c>
      <c r="B623" s="19" t="s">
        <v>403</v>
      </c>
      <c r="C623" s="19" t="s">
        <v>517</v>
      </c>
      <c r="D623" s="34">
        <v>43315</v>
      </c>
      <c r="E623" s="19">
        <v>2018</v>
      </c>
      <c r="F623" s="19">
        <v>8</v>
      </c>
      <c r="G623" s="30">
        <v>3</v>
      </c>
      <c r="H623" s="29">
        <v>0.28232638888888889</v>
      </c>
      <c r="I623" s="35">
        <v>144.00299999999999</v>
      </c>
      <c r="J623" s="35">
        <v>38.498333333333335</v>
      </c>
      <c r="K623" s="28">
        <v>10</v>
      </c>
      <c r="L623" s="28">
        <v>10</v>
      </c>
      <c r="M623" s="28">
        <v>0</v>
      </c>
      <c r="N623" s="36">
        <v>24.464700000000001</v>
      </c>
      <c r="O623" s="35">
        <v>34.442999999999998</v>
      </c>
      <c r="P623" s="20">
        <v>9.6885414117646729E-2</v>
      </c>
      <c r="Q623" s="20">
        <v>0.73616415294117488</v>
      </c>
      <c r="R623" s="26" t="s">
        <v>393</v>
      </c>
      <c r="S623" s="26"/>
      <c r="T623" s="71" t="s">
        <v>626</v>
      </c>
    </row>
    <row r="624" spans="1:20" ht="14" customHeight="1">
      <c r="A624" s="19" t="s">
        <v>392</v>
      </c>
      <c r="B624" s="19" t="s">
        <v>404</v>
      </c>
      <c r="C624" s="19" t="s">
        <v>517</v>
      </c>
      <c r="D624" s="34">
        <v>43315</v>
      </c>
      <c r="E624" s="19">
        <v>2018</v>
      </c>
      <c r="F624" s="19">
        <v>8</v>
      </c>
      <c r="G624" s="30">
        <v>3</v>
      </c>
      <c r="H624" s="29">
        <v>0.38996527777777779</v>
      </c>
      <c r="I624" s="35">
        <v>144.0025</v>
      </c>
      <c r="J624" s="35">
        <v>38.25</v>
      </c>
      <c r="K624" s="28">
        <v>10</v>
      </c>
      <c r="L624" s="28">
        <v>10</v>
      </c>
      <c r="M624" s="28">
        <v>0</v>
      </c>
      <c r="N624" s="36">
        <v>23.2408</v>
      </c>
      <c r="O624" s="35">
        <v>34.442300000000003</v>
      </c>
      <c r="P624" s="20">
        <v>0.1782272147058821</v>
      </c>
      <c r="Q624" s="20">
        <v>0.85038336764706024</v>
      </c>
      <c r="R624" s="26" t="s">
        <v>393</v>
      </c>
      <c r="S624" s="26"/>
      <c r="T624" s="71" t="s">
        <v>626</v>
      </c>
    </row>
    <row r="625" spans="1:20" ht="14" customHeight="1">
      <c r="A625" s="19" t="s">
        <v>392</v>
      </c>
      <c r="B625" s="19" t="s">
        <v>405</v>
      </c>
      <c r="C625" s="19" t="s">
        <v>517</v>
      </c>
      <c r="D625" s="34">
        <v>43315</v>
      </c>
      <c r="E625" s="19">
        <v>2018</v>
      </c>
      <c r="F625" s="19">
        <v>8</v>
      </c>
      <c r="G625" s="30">
        <v>3</v>
      </c>
      <c r="H625" s="29">
        <v>0.4934837962962963</v>
      </c>
      <c r="I625" s="35">
        <v>143.99666666666667</v>
      </c>
      <c r="J625" s="35">
        <v>38.001666666666665</v>
      </c>
      <c r="K625" s="28">
        <v>10</v>
      </c>
      <c r="L625" s="28">
        <v>10</v>
      </c>
      <c r="M625" s="28">
        <v>0</v>
      </c>
      <c r="N625" s="36">
        <v>24.077500000000001</v>
      </c>
      <c r="O625" s="35">
        <v>34.409999999999997</v>
      </c>
      <c r="P625" s="20">
        <v>0.15431167529411738</v>
      </c>
      <c r="Q625" s="20">
        <v>0.66569376235294442</v>
      </c>
      <c r="R625" s="26" t="s">
        <v>393</v>
      </c>
      <c r="S625" s="26"/>
      <c r="T625" s="71" t="s">
        <v>626</v>
      </c>
    </row>
    <row r="626" spans="1:20" ht="14" customHeight="1">
      <c r="A626" s="19" t="s">
        <v>392</v>
      </c>
      <c r="B626" s="19" t="s">
        <v>406</v>
      </c>
      <c r="C626" s="19" t="s">
        <v>517</v>
      </c>
      <c r="D626" s="34">
        <v>43315</v>
      </c>
      <c r="E626" s="19">
        <v>2018</v>
      </c>
      <c r="F626" s="19">
        <v>8</v>
      </c>
      <c r="G626" s="30">
        <v>3</v>
      </c>
      <c r="H626" s="29">
        <v>0.60137731481481482</v>
      </c>
      <c r="I626" s="35">
        <v>143.99266666666668</v>
      </c>
      <c r="J626" s="35">
        <v>37.74</v>
      </c>
      <c r="K626" s="28">
        <v>10</v>
      </c>
      <c r="L626" s="28">
        <v>10</v>
      </c>
      <c r="M626" s="28">
        <v>0</v>
      </c>
      <c r="N626" s="36">
        <v>25.3384</v>
      </c>
      <c r="O626" s="35">
        <v>34.3384</v>
      </c>
      <c r="P626" s="20">
        <v>8.8642005882352937E-2</v>
      </c>
      <c r="Q626" s="20">
        <v>0.42856228705882238</v>
      </c>
      <c r="R626" s="26" t="s">
        <v>393</v>
      </c>
      <c r="S626" s="26"/>
      <c r="T626" s="71" t="s">
        <v>626</v>
      </c>
    </row>
    <row r="627" spans="1:20" ht="14" customHeight="1">
      <c r="A627" s="19" t="s">
        <v>392</v>
      </c>
      <c r="B627" s="19" t="s">
        <v>407</v>
      </c>
      <c r="C627" s="19" t="s">
        <v>517</v>
      </c>
      <c r="D627" s="34">
        <v>43315</v>
      </c>
      <c r="E627" s="19">
        <v>2018</v>
      </c>
      <c r="F627" s="19">
        <v>8</v>
      </c>
      <c r="G627" s="30">
        <v>3</v>
      </c>
      <c r="H627" s="29">
        <v>0.70487268518518509</v>
      </c>
      <c r="I627" s="35">
        <v>143.99883333333332</v>
      </c>
      <c r="J627" s="35">
        <v>37.49666666666667</v>
      </c>
      <c r="K627" s="28">
        <v>10</v>
      </c>
      <c r="L627" s="28">
        <v>10</v>
      </c>
      <c r="M627" s="28">
        <v>0</v>
      </c>
      <c r="N627" s="36">
        <v>24.655799999999999</v>
      </c>
      <c r="O627" s="35">
        <v>34.377000000000002</v>
      </c>
      <c r="P627" s="20">
        <v>0.11181527647058864</v>
      </c>
      <c r="Q627" s="20">
        <v>0.50947648676470436</v>
      </c>
      <c r="R627" s="26" t="s">
        <v>393</v>
      </c>
      <c r="S627" s="26"/>
      <c r="T627" s="71" t="s">
        <v>626</v>
      </c>
    </row>
    <row r="628" spans="1:20" ht="14" customHeight="1">
      <c r="A628" s="19" t="s">
        <v>392</v>
      </c>
      <c r="B628" s="19" t="s">
        <v>408</v>
      </c>
      <c r="C628" s="19" t="s">
        <v>517</v>
      </c>
      <c r="D628" s="34">
        <v>43315</v>
      </c>
      <c r="E628" s="19">
        <v>2018</v>
      </c>
      <c r="F628" s="19">
        <v>8</v>
      </c>
      <c r="G628" s="30">
        <v>3</v>
      </c>
      <c r="H628" s="29">
        <v>0.80873842592592593</v>
      </c>
      <c r="I628" s="35">
        <v>143.99299999999999</v>
      </c>
      <c r="J628" s="35">
        <v>37.24</v>
      </c>
      <c r="K628" s="28">
        <v>10</v>
      </c>
      <c r="L628" s="28">
        <v>10</v>
      </c>
      <c r="M628" s="28">
        <v>0</v>
      </c>
      <c r="N628" s="36">
        <v>24.778400000000001</v>
      </c>
      <c r="O628" s="35">
        <v>34.445399999999999</v>
      </c>
      <c r="P628" s="20">
        <v>0.16244645882352859</v>
      </c>
      <c r="Q628" s="20">
        <v>0.83288731058823373</v>
      </c>
      <c r="R628" s="26" t="s">
        <v>393</v>
      </c>
      <c r="S628" s="26"/>
      <c r="T628" s="71" t="s">
        <v>626</v>
      </c>
    </row>
    <row r="629" spans="1:20" ht="14" customHeight="1">
      <c r="A629" s="19" t="s">
        <v>392</v>
      </c>
      <c r="B629" s="19" t="s">
        <v>409</v>
      </c>
      <c r="C629" s="19" t="s">
        <v>517</v>
      </c>
      <c r="D629" s="34">
        <v>43315</v>
      </c>
      <c r="E629" s="19">
        <v>2018</v>
      </c>
      <c r="F629" s="19">
        <v>8</v>
      </c>
      <c r="G629" s="30">
        <v>3</v>
      </c>
      <c r="H629" s="29">
        <v>0.91144675925925922</v>
      </c>
      <c r="I629" s="35">
        <v>144.00166666666667</v>
      </c>
      <c r="J629" s="35">
        <v>36.98833333333333</v>
      </c>
      <c r="K629" s="28">
        <v>10</v>
      </c>
      <c r="L629" s="28">
        <v>10</v>
      </c>
      <c r="M629" s="28">
        <v>0</v>
      </c>
      <c r="N629" s="36">
        <v>27.131699999999999</v>
      </c>
      <c r="O629" s="35">
        <v>34.208300000000001</v>
      </c>
      <c r="P629" s="20">
        <v>9.3801679411764205E-2</v>
      </c>
      <c r="Q629" s="20">
        <v>0.37929783529411765</v>
      </c>
      <c r="R629" s="26" t="s">
        <v>393</v>
      </c>
      <c r="S629" s="26"/>
      <c r="T629" s="71" t="s">
        <v>626</v>
      </c>
    </row>
    <row r="630" spans="1:20" ht="14" customHeight="1">
      <c r="A630" s="19" t="s">
        <v>392</v>
      </c>
      <c r="B630" s="19" t="s">
        <v>410</v>
      </c>
      <c r="C630" s="19" t="s">
        <v>517</v>
      </c>
      <c r="D630" s="34">
        <v>43316</v>
      </c>
      <c r="E630" s="19">
        <v>2018</v>
      </c>
      <c r="F630" s="19">
        <v>8</v>
      </c>
      <c r="G630" s="30">
        <v>4</v>
      </c>
      <c r="H630" s="29">
        <v>0.24157407407407408</v>
      </c>
      <c r="I630" s="35">
        <v>142.99449999999999</v>
      </c>
      <c r="J630" s="35">
        <v>36.251666666666665</v>
      </c>
      <c r="K630" s="28">
        <v>10</v>
      </c>
      <c r="L630" s="28">
        <v>10</v>
      </c>
      <c r="M630" s="28">
        <v>0</v>
      </c>
      <c r="N630" s="36">
        <v>27.218900000000001</v>
      </c>
      <c r="O630" s="35">
        <v>34.083100000000002</v>
      </c>
      <c r="P630" s="20">
        <v>0.10168903999999968</v>
      </c>
      <c r="Q630" s="20">
        <v>0.40919682000000002</v>
      </c>
      <c r="R630" s="26" t="s">
        <v>393</v>
      </c>
      <c r="S630" s="26"/>
      <c r="T630" s="71" t="s">
        <v>626</v>
      </c>
    </row>
    <row r="631" spans="1:20" ht="14" customHeight="1">
      <c r="A631" s="19" t="s">
        <v>392</v>
      </c>
      <c r="B631" s="19" t="s">
        <v>411</v>
      </c>
      <c r="C631" s="19" t="s">
        <v>517</v>
      </c>
      <c r="D631" s="34">
        <v>43316</v>
      </c>
      <c r="E631" s="19">
        <v>2018</v>
      </c>
      <c r="F631" s="19">
        <v>8</v>
      </c>
      <c r="G631" s="30">
        <v>4</v>
      </c>
      <c r="H631" s="29">
        <v>0.34578703703703706</v>
      </c>
      <c r="I631" s="35">
        <v>143.00133333333332</v>
      </c>
      <c r="J631" s="35">
        <v>36.511666666666663</v>
      </c>
      <c r="K631" s="28">
        <v>10</v>
      </c>
      <c r="L631" s="28">
        <v>10</v>
      </c>
      <c r="M631" s="28">
        <v>0</v>
      </c>
      <c r="N631" s="36">
        <v>26.353100000000001</v>
      </c>
      <c r="O631" s="35">
        <v>34.132800000000003</v>
      </c>
      <c r="P631" s="20">
        <v>4.5457650588235143E-2</v>
      </c>
      <c r="Q631" s="20">
        <v>0.36687754470588274</v>
      </c>
      <c r="R631" s="26" t="s">
        <v>393</v>
      </c>
      <c r="S631" s="26"/>
      <c r="T631" s="71" t="s">
        <v>626</v>
      </c>
    </row>
    <row r="632" spans="1:20" ht="14" customHeight="1">
      <c r="A632" s="19" t="s">
        <v>392</v>
      </c>
      <c r="B632" s="19" t="s">
        <v>412</v>
      </c>
      <c r="C632" s="19" t="s">
        <v>517</v>
      </c>
      <c r="D632" s="34">
        <v>43316</v>
      </c>
      <c r="E632" s="19">
        <v>2018</v>
      </c>
      <c r="F632" s="19">
        <v>8</v>
      </c>
      <c r="G632" s="30">
        <v>4</v>
      </c>
      <c r="H632" s="29">
        <v>0.44427083333333334</v>
      </c>
      <c r="I632" s="35">
        <v>143.01116666666667</v>
      </c>
      <c r="J632" s="35">
        <v>36.76</v>
      </c>
      <c r="K632" s="28">
        <v>10</v>
      </c>
      <c r="L632" s="28">
        <v>10</v>
      </c>
      <c r="M632" s="28">
        <v>0</v>
      </c>
      <c r="N632" s="36">
        <v>26.981400000000001</v>
      </c>
      <c r="O632" s="35">
        <v>34.114899999999999</v>
      </c>
      <c r="P632" s="20">
        <v>3.8059101176470378E-2</v>
      </c>
      <c r="Q632" s="20">
        <v>0.2692630894117638</v>
      </c>
      <c r="R632" s="26" t="s">
        <v>393</v>
      </c>
      <c r="S632" s="26"/>
      <c r="T632" s="71" t="s">
        <v>626</v>
      </c>
    </row>
    <row r="633" spans="1:20" ht="14" customHeight="1">
      <c r="A633" s="19" t="s">
        <v>392</v>
      </c>
      <c r="B633" s="19" t="s">
        <v>386</v>
      </c>
      <c r="C633" s="19" t="s">
        <v>517</v>
      </c>
      <c r="D633" s="34">
        <v>43316</v>
      </c>
      <c r="E633" s="19">
        <v>2018</v>
      </c>
      <c r="F633" s="19">
        <v>8</v>
      </c>
      <c r="G633" s="30">
        <v>4</v>
      </c>
      <c r="H633" s="29">
        <v>0.54417824074074073</v>
      </c>
      <c r="I633" s="35">
        <v>143.00683333333333</v>
      </c>
      <c r="J633" s="35">
        <v>37.015000000000001</v>
      </c>
      <c r="K633" s="28">
        <v>10</v>
      </c>
      <c r="L633" s="28">
        <v>10</v>
      </c>
      <c r="M633" s="28">
        <v>0</v>
      </c>
      <c r="N633" s="36">
        <v>25.318899999999999</v>
      </c>
      <c r="O633" s="35">
        <v>34.206699999999998</v>
      </c>
      <c r="P633" s="20">
        <v>8.8931671764705289E-2</v>
      </c>
      <c r="Q633" s="20">
        <v>0.55359861411764655</v>
      </c>
      <c r="R633" s="26" t="s">
        <v>393</v>
      </c>
      <c r="S633" s="26"/>
      <c r="T633" s="71" t="s">
        <v>626</v>
      </c>
    </row>
    <row r="634" spans="1:20" ht="14" customHeight="1">
      <c r="A634" s="19" t="s">
        <v>392</v>
      </c>
      <c r="B634" s="19" t="s">
        <v>413</v>
      </c>
      <c r="C634" s="19" t="s">
        <v>517</v>
      </c>
      <c r="D634" s="34">
        <v>43316</v>
      </c>
      <c r="E634" s="19">
        <v>2018</v>
      </c>
      <c r="F634" s="19">
        <v>8</v>
      </c>
      <c r="G634" s="30">
        <v>4</v>
      </c>
      <c r="H634" s="29">
        <v>0.63825231481481481</v>
      </c>
      <c r="I634" s="35">
        <v>142.98616666666666</v>
      </c>
      <c r="J634" s="35">
        <v>37.251666666666665</v>
      </c>
      <c r="K634" s="28">
        <v>10</v>
      </c>
      <c r="L634" s="28">
        <v>10</v>
      </c>
      <c r="M634" s="28">
        <v>0</v>
      </c>
      <c r="N634" s="36">
        <v>25.2592</v>
      </c>
      <c r="O634" s="35">
        <v>34.174599999999998</v>
      </c>
      <c r="P634" s="20">
        <v>3.208474235294112E-2</v>
      </c>
      <c r="Q634" s="20">
        <v>5.7111098823529716E-2</v>
      </c>
      <c r="R634" s="26" t="s">
        <v>393</v>
      </c>
      <c r="S634" s="26"/>
      <c r="T634" s="71" t="s">
        <v>626</v>
      </c>
    </row>
    <row r="635" spans="1:20" ht="14" customHeight="1">
      <c r="A635" s="19" t="s">
        <v>392</v>
      </c>
      <c r="B635" s="19" t="s">
        <v>387</v>
      </c>
      <c r="C635" s="19" t="s">
        <v>517</v>
      </c>
      <c r="D635" s="34">
        <v>43316</v>
      </c>
      <c r="E635" s="19">
        <v>2018</v>
      </c>
      <c r="F635" s="19">
        <v>8</v>
      </c>
      <c r="G635" s="30">
        <v>4</v>
      </c>
      <c r="H635" s="29">
        <v>0.7350578703703704</v>
      </c>
      <c r="I635" s="35">
        <v>142.99350000000001</v>
      </c>
      <c r="J635" s="35">
        <v>37.501666666666665</v>
      </c>
      <c r="K635" s="28">
        <v>10</v>
      </c>
      <c r="L635" s="28">
        <v>10</v>
      </c>
      <c r="M635" s="28">
        <v>0</v>
      </c>
      <c r="N635" s="36">
        <v>25.017900000000001</v>
      </c>
      <c r="O635" s="35">
        <v>34.216000000000001</v>
      </c>
      <c r="P635" s="20">
        <v>4.1510952941175905E-2</v>
      </c>
      <c r="Q635" s="20">
        <v>0.31365144852940929</v>
      </c>
      <c r="R635" s="26" t="s">
        <v>393</v>
      </c>
      <c r="S635" s="26"/>
      <c r="T635" s="71" t="s">
        <v>626</v>
      </c>
    </row>
    <row r="636" spans="1:20" ht="14" customHeight="1">
      <c r="A636" s="19" t="s">
        <v>392</v>
      </c>
      <c r="B636" s="19" t="s">
        <v>388</v>
      </c>
      <c r="C636" s="19" t="s">
        <v>517</v>
      </c>
      <c r="D636" s="34">
        <v>43317</v>
      </c>
      <c r="E636" s="19">
        <v>2018</v>
      </c>
      <c r="F636" s="19">
        <v>8</v>
      </c>
      <c r="G636" s="30">
        <v>5</v>
      </c>
      <c r="H636" s="29">
        <v>0.20609953703703701</v>
      </c>
      <c r="I636" s="35">
        <v>142.01616666666666</v>
      </c>
      <c r="J636" s="35">
        <v>38.01</v>
      </c>
      <c r="K636" s="28">
        <v>10</v>
      </c>
      <c r="L636" s="28">
        <v>10</v>
      </c>
      <c r="M636" s="28">
        <v>0</v>
      </c>
      <c r="N636" s="36">
        <v>27.1755</v>
      </c>
      <c r="O636" s="35">
        <v>34.343400000000003</v>
      </c>
      <c r="P636" s="20">
        <v>0.10003143529411829</v>
      </c>
      <c r="Q636" s="20">
        <v>0.68204858235294097</v>
      </c>
      <c r="R636" s="26" t="s">
        <v>393</v>
      </c>
      <c r="S636" s="26"/>
      <c r="T636" s="71" t="s">
        <v>626</v>
      </c>
    </row>
    <row r="637" spans="1:20" ht="14" customHeight="1">
      <c r="A637" s="19" t="s">
        <v>392</v>
      </c>
      <c r="B637" s="19" t="s">
        <v>414</v>
      </c>
      <c r="C637" s="19" t="s">
        <v>517</v>
      </c>
      <c r="D637" s="34">
        <v>43317</v>
      </c>
      <c r="E637" s="19">
        <v>2018</v>
      </c>
      <c r="F637" s="19">
        <v>8</v>
      </c>
      <c r="G637" s="30">
        <v>5</v>
      </c>
      <c r="H637" s="29">
        <v>0.32535879629629633</v>
      </c>
      <c r="I637" s="35">
        <v>142.01133333333334</v>
      </c>
      <c r="J637" s="35">
        <v>37.755000000000003</v>
      </c>
      <c r="K637" s="28">
        <v>10</v>
      </c>
      <c r="L637" s="28">
        <v>10</v>
      </c>
      <c r="M637" s="28">
        <v>0</v>
      </c>
      <c r="N637" s="36">
        <v>26.428000000000001</v>
      </c>
      <c r="O637" s="35">
        <v>34.3108</v>
      </c>
      <c r="P637" s="20">
        <v>0.12670332235294191</v>
      </c>
      <c r="Q637" s="20">
        <v>0.82995485882353037</v>
      </c>
      <c r="R637" s="26" t="s">
        <v>393</v>
      </c>
      <c r="S637" s="26"/>
      <c r="T637" s="71" t="s">
        <v>626</v>
      </c>
    </row>
    <row r="638" spans="1:20" ht="14" customHeight="1">
      <c r="A638" s="19" t="s">
        <v>392</v>
      </c>
      <c r="B638" s="19" t="s">
        <v>389</v>
      </c>
      <c r="C638" s="19" t="s">
        <v>517</v>
      </c>
      <c r="D638" s="34">
        <v>43317</v>
      </c>
      <c r="E638" s="19">
        <v>2018</v>
      </c>
      <c r="F638" s="19">
        <v>8</v>
      </c>
      <c r="G638" s="30">
        <v>5</v>
      </c>
      <c r="H638" s="29">
        <v>0.4365856481481481</v>
      </c>
      <c r="I638" s="35">
        <v>142.00416666666666</v>
      </c>
      <c r="J638" s="35">
        <v>37.50333333333333</v>
      </c>
      <c r="K638" s="28">
        <v>10</v>
      </c>
      <c r="L638" s="28">
        <v>10</v>
      </c>
      <c r="M638" s="28">
        <v>0</v>
      </c>
      <c r="N638" s="36">
        <v>24.369800000000001</v>
      </c>
      <c r="O638" s="35">
        <v>34.298999999999999</v>
      </c>
      <c r="P638" s="20">
        <v>9.8770409411764737E-2</v>
      </c>
      <c r="Q638" s="20">
        <v>0.71069683529411876</v>
      </c>
      <c r="R638" s="26" t="s">
        <v>393</v>
      </c>
      <c r="S638" s="26"/>
      <c r="T638" s="71" t="s">
        <v>626</v>
      </c>
    </row>
    <row r="639" spans="1:20" ht="14" customHeight="1">
      <c r="A639" s="19" t="s">
        <v>392</v>
      </c>
      <c r="B639" s="19" t="s">
        <v>390</v>
      </c>
      <c r="C639" s="19" t="s">
        <v>517</v>
      </c>
      <c r="D639" s="34">
        <v>43317</v>
      </c>
      <c r="E639" s="19">
        <v>2018</v>
      </c>
      <c r="F639" s="19">
        <v>8</v>
      </c>
      <c r="G639" s="30">
        <v>5</v>
      </c>
      <c r="H639" s="29">
        <v>0.59918981481481481</v>
      </c>
      <c r="I639" s="35">
        <v>141.99833333333333</v>
      </c>
      <c r="J639" s="35">
        <v>37.008333333333333</v>
      </c>
      <c r="K639" s="28">
        <v>10</v>
      </c>
      <c r="L639" s="28">
        <v>10</v>
      </c>
      <c r="M639" s="28">
        <v>0</v>
      </c>
      <c r="N639" s="36">
        <v>26.791799999999999</v>
      </c>
      <c r="O639" s="35">
        <v>34.209400000000002</v>
      </c>
      <c r="P639" s="20">
        <v>7.9533816470588325E-2</v>
      </c>
      <c r="Q639" s="20">
        <v>0.41967631176470732</v>
      </c>
      <c r="R639" s="26" t="s">
        <v>393</v>
      </c>
      <c r="S639" s="26"/>
      <c r="T639" s="71" t="s">
        <v>626</v>
      </c>
    </row>
    <row r="640" spans="1:20" ht="14" customHeight="1">
      <c r="A640" s="19" t="s">
        <v>392</v>
      </c>
      <c r="B640" s="19" t="s">
        <v>415</v>
      </c>
      <c r="C640" s="19" t="s">
        <v>517</v>
      </c>
      <c r="D640" s="34">
        <v>43317</v>
      </c>
      <c r="E640" s="19">
        <v>2018</v>
      </c>
      <c r="F640" s="19">
        <v>8</v>
      </c>
      <c r="G640" s="30">
        <v>5</v>
      </c>
      <c r="H640" s="29">
        <v>0.70699074074074064</v>
      </c>
      <c r="I640" s="35">
        <v>142.00333333333333</v>
      </c>
      <c r="J640" s="35">
        <v>36.756666666666668</v>
      </c>
      <c r="K640" s="28">
        <v>10</v>
      </c>
      <c r="L640" s="28">
        <v>10</v>
      </c>
      <c r="M640" s="28">
        <v>0</v>
      </c>
      <c r="N640" s="36">
        <v>26.709900000000001</v>
      </c>
      <c r="O640" s="35">
        <v>34.213999999999999</v>
      </c>
      <c r="P640" s="20">
        <v>0.12137370352941201</v>
      </c>
      <c r="Q640" s="20">
        <v>0.57975318823529598</v>
      </c>
      <c r="R640" s="26" t="s">
        <v>393</v>
      </c>
      <c r="S640" s="26"/>
      <c r="T640" s="71" t="s">
        <v>626</v>
      </c>
    </row>
    <row r="641" spans="1:20" ht="14" customHeight="1">
      <c r="A641" s="19" t="s">
        <v>392</v>
      </c>
      <c r="B641" s="19" t="s">
        <v>391</v>
      </c>
      <c r="C641" s="19" t="s">
        <v>517</v>
      </c>
      <c r="D641" s="34">
        <v>43317</v>
      </c>
      <c r="E641" s="19">
        <v>2018</v>
      </c>
      <c r="F641" s="19">
        <v>8</v>
      </c>
      <c r="G641" s="30">
        <v>5</v>
      </c>
      <c r="H641" s="29">
        <v>0.81634259259259256</v>
      </c>
      <c r="I641" s="35">
        <v>142.01300000000001</v>
      </c>
      <c r="J641" s="35">
        <v>36.511666666666663</v>
      </c>
      <c r="K641" s="28">
        <v>10</v>
      </c>
      <c r="L641" s="28">
        <v>10</v>
      </c>
      <c r="M641" s="28">
        <v>0</v>
      </c>
      <c r="N641" s="36">
        <v>26.718</v>
      </c>
      <c r="O641" s="35">
        <v>34.049399999999999</v>
      </c>
      <c r="P641" s="20">
        <v>9.5665430588235401E-2</v>
      </c>
      <c r="Q641" s="20">
        <v>0.45362466470588281</v>
      </c>
      <c r="R641" s="26" t="s">
        <v>393</v>
      </c>
      <c r="S641" s="26"/>
      <c r="T641" s="71" t="s">
        <v>626</v>
      </c>
    </row>
    <row r="642" spans="1:20" ht="14" customHeight="1">
      <c r="A642" s="19" t="s">
        <v>392</v>
      </c>
      <c r="B642" s="19" t="s">
        <v>416</v>
      </c>
      <c r="C642" s="19" t="s">
        <v>517</v>
      </c>
      <c r="D642" s="34">
        <v>43317</v>
      </c>
      <c r="E642" s="19">
        <v>2018</v>
      </c>
      <c r="F642" s="19">
        <v>8</v>
      </c>
      <c r="G642" s="30">
        <v>5</v>
      </c>
      <c r="H642" s="29">
        <v>0.93023148148148149</v>
      </c>
      <c r="I642" s="35">
        <v>142.00433333333334</v>
      </c>
      <c r="J642" s="35">
        <v>36.258333333333333</v>
      </c>
      <c r="K642" s="28">
        <v>10</v>
      </c>
      <c r="L642" s="28">
        <v>10</v>
      </c>
      <c r="M642" s="28">
        <v>0</v>
      </c>
      <c r="N642" s="36">
        <v>27.043299999999999</v>
      </c>
      <c r="O642" s="35">
        <v>34.197200000000002</v>
      </c>
      <c r="P642" s="20">
        <v>0.13261785098039236</v>
      </c>
      <c r="Q642" s="20">
        <v>0.68626710784313616</v>
      </c>
      <c r="R642" s="26" t="s">
        <v>393</v>
      </c>
      <c r="S642" s="26"/>
      <c r="T642" s="71" t="s">
        <v>626</v>
      </c>
    </row>
    <row r="643" spans="1:20" ht="14" customHeight="1">
      <c r="A643" s="26" t="s">
        <v>175</v>
      </c>
      <c r="B643" s="26" t="s">
        <v>54</v>
      </c>
      <c r="C643" s="26" t="s">
        <v>519</v>
      </c>
      <c r="D643" s="25">
        <v>42922</v>
      </c>
      <c r="E643" s="19">
        <f t="shared" ref="E643:E706" si="39">YEAR(D643)</f>
        <v>2017</v>
      </c>
      <c r="F643" s="19">
        <f t="shared" ref="F643:F706" si="40">MONTH(D643)</f>
        <v>7</v>
      </c>
      <c r="G643" s="30">
        <f t="shared" ref="G643:G706" si="41">DAY(D643)</f>
        <v>6</v>
      </c>
      <c r="H643" s="29" t="s">
        <v>287</v>
      </c>
      <c r="I643" s="22">
        <v>132.59299999999999</v>
      </c>
      <c r="J643" s="22">
        <v>30.107330000000001</v>
      </c>
      <c r="K643" s="27">
        <v>10</v>
      </c>
      <c r="L643" s="27">
        <v>10</v>
      </c>
      <c r="M643" s="27" t="s">
        <v>287</v>
      </c>
      <c r="N643" s="21">
        <v>25.581800000000001</v>
      </c>
      <c r="O643" s="24">
        <v>34.636699999999998</v>
      </c>
      <c r="P643" s="20">
        <v>0.21262352941176488</v>
      </c>
      <c r="Q643" s="20">
        <v>1.3990470588235286</v>
      </c>
      <c r="R643" s="26" t="s">
        <v>279</v>
      </c>
      <c r="S643" s="26"/>
      <c r="T643" s="71" t="s">
        <v>626</v>
      </c>
    </row>
    <row r="644" spans="1:20" ht="14" customHeight="1">
      <c r="A644" s="26" t="s">
        <v>175</v>
      </c>
      <c r="B644" s="26" t="s">
        <v>55</v>
      </c>
      <c r="C644" s="26" t="s">
        <v>519</v>
      </c>
      <c r="D644" s="25">
        <v>42926</v>
      </c>
      <c r="E644" s="19">
        <f t="shared" si="39"/>
        <v>2017</v>
      </c>
      <c r="F644" s="19">
        <f t="shared" si="40"/>
        <v>7</v>
      </c>
      <c r="G644" s="30">
        <f t="shared" si="41"/>
        <v>10</v>
      </c>
      <c r="H644" s="29" t="s">
        <v>287</v>
      </c>
      <c r="I644" s="22">
        <v>131.69999999999999</v>
      </c>
      <c r="J644" s="22">
        <v>32.068333333333335</v>
      </c>
      <c r="K644" s="27">
        <v>10</v>
      </c>
      <c r="L644" s="27">
        <v>10</v>
      </c>
      <c r="M644" s="27" t="s">
        <v>287</v>
      </c>
      <c r="N644" s="21">
        <v>24.113900000000001</v>
      </c>
      <c r="O644" s="24">
        <v>34.343899999999998</v>
      </c>
      <c r="P644" s="20">
        <v>0.13195294117647038</v>
      </c>
      <c r="Q644" s="20">
        <v>0.89230588235294306</v>
      </c>
      <c r="R644" s="26" t="s">
        <v>279</v>
      </c>
      <c r="S644" s="26"/>
      <c r="T644" s="71" t="s">
        <v>626</v>
      </c>
    </row>
    <row r="645" spans="1:20" ht="14" customHeight="1">
      <c r="A645" s="26" t="s">
        <v>175</v>
      </c>
      <c r="B645" s="26" t="s">
        <v>56</v>
      </c>
      <c r="C645" s="26" t="s">
        <v>519</v>
      </c>
      <c r="D645" s="25">
        <v>42922</v>
      </c>
      <c r="E645" s="19">
        <f t="shared" si="39"/>
        <v>2017</v>
      </c>
      <c r="F645" s="19">
        <f t="shared" si="40"/>
        <v>7</v>
      </c>
      <c r="G645" s="30">
        <f t="shared" si="41"/>
        <v>6</v>
      </c>
      <c r="H645" s="29" t="s">
        <v>287</v>
      </c>
      <c r="I645" s="22">
        <v>133.21782999999999</v>
      </c>
      <c r="J645" s="22">
        <v>30.533329999999999</v>
      </c>
      <c r="K645" s="27">
        <v>10</v>
      </c>
      <c r="L645" s="27">
        <v>10</v>
      </c>
      <c r="M645" s="27" t="s">
        <v>287</v>
      </c>
      <c r="N645" s="21">
        <v>28.033899999999999</v>
      </c>
      <c r="O645" s="24">
        <v>34.128500000000003</v>
      </c>
      <c r="P645" s="20">
        <v>4.7517647058823442E-2</v>
      </c>
      <c r="Q645" s="20">
        <v>0.34183529411764901</v>
      </c>
      <c r="R645" s="26" t="s">
        <v>279</v>
      </c>
      <c r="S645" s="26"/>
      <c r="T645" s="71" t="s">
        <v>626</v>
      </c>
    </row>
    <row r="646" spans="1:20" ht="14" customHeight="1">
      <c r="A646" s="26" t="s">
        <v>175</v>
      </c>
      <c r="B646" s="26" t="s">
        <v>56</v>
      </c>
      <c r="C646" s="26" t="s">
        <v>519</v>
      </c>
      <c r="D646" s="25">
        <v>42922</v>
      </c>
      <c r="E646" s="19">
        <f t="shared" si="39"/>
        <v>2017</v>
      </c>
      <c r="F646" s="19">
        <f t="shared" si="40"/>
        <v>7</v>
      </c>
      <c r="G646" s="30">
        <f t="shared" si="41"/>
        <v>6</v>
      </c>
      <c r="H646" s="29" t="s">
        <v>287</v>
      </c>
      <c r="I646" s="22">
        <v>133.21782999999999</v>
      </c>
      <c r="J646" s="22">
        <v>30.533329999999999</v>
      </c>
      <c r="K646" s="27">
        <v>20</v>
      </c>
      <c r="L646" s="27">
        <v>20</v>
      </c>
      <c r="M646" s="27" t="s">
        <v>287</v>
      </c>
      <c r="N646" s="21">
        <v>27.523800000000001</v>
      </c>
      <c r="O646" s="24">
        <v>34.319499999999998</v>
      </c>
      <c r="P646" s="20">
        <v>0.19188235294117639</v>
      </c>
      <c r="Q646" s="20">
        <v>1.1177647058823545</v>
      </c>
      <c r="R646" s="26" t="s">
        <v>279</v>
      </c>
      <c r="S646" s="26"/>
      <c r="T646" s="71" t="s">
        <v>626</v>
      </c>
    </row>
    <row r="647" spans="1:20" ht="14" customHeight="1">
      <c r="A647" s="26" t="s">
        <v>175</v>
      </c>
      <c r="B647" s="26" t="s">
        <v>56</v>
      </c>
      <c r="C647" s="26" t="s">
        <v>519</v>
      </c>
      <c r="D647" s="25">
        <v>42922</v>
      </c>
      <c r="E647" s="19">
        <f t="shared" si="39"/>
        <v>2017</v>
      </c>
      <c r="F647" s="19">
        <f t="shared" si="40"/>
        <v>7</v>
      </c>
      <c r="G647" s="30">
        <f t="shared" si="41"/>
        <v>6</v>
      </c>
      <c r="H647" s="29" t="s">
        <v>287</v>
      </c>
      <c r="I647" s="22">
        <v>133.21782999999999</v>
      </c>
      <c r="J647" s="22">
        <v>30.533329999999999</v>
      </c>
      <c r="K647" s="27">
        <v>30</v>
      </c>
      <c r="L647" s="27">
        <v>30</v>
      </c>
      <c r="M647" s="27" t="s">
        <v>287</v>
      </c>
      <c r="N647" s="21">
        <v>24.9679</v>
      </c>
      <c r="O647" s="24">
        <v>34.755800000000001</v>
      </c>
      <c r="P647" s="20">
        <v>0.30664705882352927</v>
      </c>
      <c r="Q647" s="20">
        <v>1.7422941176470594</v>
      </c>
      <c r="R647" s="26" t="s">
        <v>279</v>
      </c>
      <c r="S647" s="26"/>
      <c r="T647" s="71" t="s">
        <v>626</v>
      </c>
    </row>
    <row r="648" spans="1:20" ht="14" customHeight="1">
      <c r="A648" s="26" t="s">
        <v>175</v>
      </c>
      <c r="B648" s="26" t="s">
        <v>57</v>
      </c>
      <c r="C648" s="26" t="s">
        <v>519</v>
      </c>
      <c r="D648" s="25">
        <v>42923</v>
      </c>
      <c r="E648" s="19">
        <f t="shared" si="39"/>
        <v>2017</v>
      </c>
      <c r="F648" s="19">
        <f t="shared" si="40"/>
        <v>7</v>
      </c>
      <c r="G648" s="30">
        <f t="shared" si="41"/>
        <v>7</v>
      </c>
      <c r="H648" s="29" t="s">
        <v>287</v>
      </c>
      <c r="I648" s="22">
        <v>132.26933</v>
      </c>
      <c r="J648" s="22">
        <v>31.48433</v>
      </c>
      <c r="K648" s="27">
        <v>10</v>
      </c>
      <c r="L648" s="27">
        <v>10</v>
      </c>
      <c r="M648" s="27" t="s">
        <v>287</v>
      </c>
      <c r="N648" s="21">
        <v>25.7517</v>
      </c>
      <c r="O648" s="24">
        <v>34.324800000000003</v>
      </c>
      <c r="P648" s="20">
        <v>0.13121176470588258</v>
      </c>
      <c r="Q648" s="20">
        <v>0.64022352941176663</v>
      </c>
      <c r="R648" s="26" t="s">
        <v>279</v>
      </c>
      <c r="S648" s="26"/>
      <c r="T648" s="71" t="s">
        <v>626</v>
      </c>
    </row>
    <row r="649" spans="1:20" ht="14" customHeight="1">
      <c r="A649" s="26" t="s">
        <v>175</v>
      </c>
      <c r="B649" s="26" t="s">
        <v>58</v>
      </c>
      <c r="C649" s="26" t="s">
        <v>519</v>
      </c>
      <c r="D649" s="25">
        <v>42924</v>
      </c>
      <c r="E649" s="19">
        <f t="shared" si="39"/>
        <v>2017</v>
      </c>
      <c r="F649" s="19">
        <f t="shared" si="40"/>
        <v>7</v>
      </c>
      <c r="G649" s="30">
        <f t="shared" si="41"/>
        <v>8</v>
      </c>
      <c r="H649" s="29" t="s">
        <v>287</v>
      </c>
      <c r="I649" s="22">
        <v>133.01832999999999</v>
      </c>
      <c r="J649" s="22">
        <v>31.735499999999998</v>
      </c>
      <c r="K649" s="27">
        <v>10</v>
      </c>
      <c r="L649" s="27">
        <v>10</v>
      </c>
      <c r="M649" s="27" t="s">
        <v>287</v>
      </c>
      <c r="N649" s="21">
        <v>26.385200000000001</v>
      </c>
      <c r="O649" s="24">
        <v>34.174900000000001</v>
      </c>
      <c r="P649" s="20">
        <v>5.7776470588234874E-2</v>
      </c>
      <c r="Q649" s="20">
        <v>0.16995294117647042</v>
      </c>
      <c r="R649" s="26" t="s">
        <v>279</v>
      </c>
      <c r="S649" s="26"/>
      <c r="T649" s="71" t="s">
        <v>626</v>
      </c>
    </row>
    <row r="650" spans="1:20" ht="14" customHeight="1">
      <c r="A650" s="26" t="s">
        <v>175</v>
      </c>
      <c r="B650" s="26" t="s">
        <v>59</v>
      </c>
      <c r="C650" s="26" t="s">
        <v>519</v>
      </c>
      <c r="D650" s="25">
        <v>42925</v>
      </c>
      <c r="E650" s="19">
        <f t="shared" si="39"/>
        <v>2017</v>
      </c>
      <c r="F650" s="19">
        <f t="shared" si="40"/>
        <v>7</v>
      </c>
      <c r="G650" s="30">
        <f t="shared" si="41"/>
        <v>9</v>
      </c>
      <c r="H650" s="29" t="s">
        <v>287</v>
      </c>
      <c r="I650" s="22">
        <v>132.44732999999999</v>
      </c>
      <c r="J650" s="22">
        <v>32.300170000000001</v>
      </c>
      <c r="K650" s="27">
        <v>10</v>
      </c>
      <c r="L650" s="27">
        <v>10</v>
      </c>
      <c r="M650" s="27" t="s">
        <v>287</v>
      </c>
      <c r="N650" s="21">
        <v>25.670300000000001</v>
      </c>
      <c r="O650" s="24">
        <v>34.045099999999998</v>
      </c>
      <c r="P650" s="20">
        <v>6.1235294117646832E-2</v>
      </c>
      <c r="Q650" s="20">
        <v>0.11607058823529393</v>
      </c>
      <c r="R650" s="26" t="s">
        <v>279</v>
      </c>
      <c r="S650" s="26"/>
      <c r="T650" s="71" t="s">
        <v>626</v>
      </c>
    </row>
    <row r="651" spans="1:20" ht="14" customHeight="1">
      <c r="A651" s="26" t="s">
        <v>175</v>
      </c>
      <c r="B651" s="26" t="s">
        <v>59</v>
      </c>
      <c r="C651" s="26" t="s">
        <v>519</v>
      </c>
      <c r="D651" s="25">
        <v>42925</v>
      </c>
      <c r="E651" s="19">
        <f t="shared" si="39"/>
        <v>2017</v>
      </c>
      <c r="F651" s="19">
        <f t="shared" si="40"/>
        <v>7</v>
      </c>
      <c r="G651" s="30">
        <f t="shared" si="41"/>
        <v>9</v>
      </c>
      <c r="H651" s="29" t="s">
        <v>287</v>
      </c>
      <c r="I651" s="22">
        <v>132.44732999999999</v>
      </c>
      <c r="J651" s="22">
        <v>32.300170000000001</v>
      </c>
      <c r="K651" s="27">
        <v>20</v>
      </c>
      <c r="L651" s="27">
        <v>20</v>
      </c>
      <c r="M651" s="27" t="s">
        <v>287</v>
      </c>
      <c r="N651" s="21">
        <v>24.0245</v>
      </c>
      <c r="O651" s="24">
        <v>34.264000000000003</v>
      </c>
      <c r="P651" s="20">
        <v>6.9199999999999706E-2</v>
      </c>
      <c r="Q651" s="20">
        <v>0.72180000000000177</v>
      </c>
      <c r="R651" s="26" t="s">
        <v>279</v>
      </c>
      <c r="S651" s="26"/>
      <c r="T651" s="71" t="s">
        <v>626</v>
      </c>
    </row>
    <row r="652" spans="1:20" ht="14" customHeight="1">
      <c r="A652" s="26" t="s">
        <v>175</v>
      </c>
      <c r="B652" s="26" t="s">
        <v>59</v>
      </c>
      <c r="C652" s="26" t="s">
        <v>519</v>
      </c>
      <c r="D652" s="25">
        <v>42925</v>
      </c>
      <c r="E652" s="19">
        <f t="shared" si="39"/>
        <v>2017</v>
      </c>
      <c r="F652" s="19">
        <f t="shared" si="40"/>
        <v>7</v>
      </c>
      <c r="G652" s="30">
        <f t="shared" si="41"/>
        <v>9</v>
      </c>
      <c r="H652" s="29" t="s">
        <v>287</v>
      </c>
      <c r="I652" s="22">
        <v>132.44732999999999</v>
      </c>
      <c r="J652" s="22">
        <v>32.300170000000001</v>
      </c>
      <c r="K652" s="27">
        <v>30</v>
      </c>
      <c r="L652" s="27">
        <v>30</v>
      </c>
      <c r="M652" s="27" t="s">
        <v>287</v>
      </c>
      <c r="N652" s="21">
        <v>22.110299999999999</v>
      </c>
      <c r="O652" s="24">
        <v>34.535899999999998</v>
      </c>
      <c r="P652" s="20">
        <v>0.1876074166666668</v>
      </c>
      <c r="Q652" s="20">
        <v>1.400079400000001</v>
      </c>
      <c r="R652" s="26" t="s">
        <v>279</v>
      </c>
      <c r="S652" s="26"/>
      <c r="T652" s="71" t="s">
        <v>626</v>
      </c>
    </row>
    <row r="653" spans="1:20" ht="14" customHeight="1">
      <c r="A653" s="26" t="s">
        <v>175</v>
      </c>
      <c r="B653" s="26" t="s">
        <v>60</v>
      </c>
      <c r="C653" s="26" t="s">
        <v>519</v>
      </c>
      <c r="D653" s="25">
        <v>42927</v>
      </c>
      <c r="E653" s="19">
        <f t="shared" si="39"/>
        <v>2017</v>
      </c>
      <c r="F653" s="19">
        <f t="shared" si="40"/>
        <v>7</v>
      </c>
      <c r="G653" s="30">
        <f t="shared" si="41"/>
        <v>11</v>
      </c>
      <c r="H653" s="29" t="s">
        <v>287</v>
      </c>
      <c r="I653" s="22">
        <v>131.52199999999999</v>
      </c>
      <c r="J653" s="22">
        <v>31.234999999999999</v>
      </c>
      <c r="K653" s="27">
        <v>10</v>
      </c>
      <c r="L653" s="27">
        <v>10</v>
      </c>
      <c r="M653" s="27" t="s">
        <v>287</v>
      </c>
      <c r="N653" s="21">
        <v>23.391300000000001</v>
      </c>
      <c r="O653" s="24">
        <v>34.441299999999998</v>
      </c>
      <c r="P653" s="20">
        <v>0.14258115333333365</v>
      </c>
      <c r="Q653" s="20">
        <v>1.1607450666666672</v>
      </c>
      <c r="R653" s="26" t="s">
        <v>279</v>
      </c>
      <c r="S653" s="26"/>
      <c r="T653" s="71" t="s">
        <v>626</v>
      </c>
    </row>
    <row r="654" spans="1:20" ht="14" customHeight="1">
      <c r="A654" s="26" t="s">
        <v>175</v>
      </c>
      <c r="B654" s="26" t="s">
        <v>61</v>
      </c>
      <c r="C654" s="26" t="s">
        <v>519</v>
      </c>
      <c r="D654" s="25">
        <v>42928</v>
      </c>
      <c r="E654" s="19">
        <f t="shared" si="39"/>
        <v>2017</v>
      </c>
      <c r="F654" s="19">
        <f t="shared" si="40"/>
        <v>7</v>
      </c>
      <c r="G654" s="30">
        <f t="shared" si="41"/>
        <v>12</v>
      </c>
      <c r="H654" s="29" t="s">
        <v>287</v>
      </c>
      <c r="I654" s="22">
        <v>132.06865999999999</v>
      </c>
      <c r="J654" s="22">
        <v>30.685829999999999</v>
      </c>
      <c r="K654" s="27">
        <v>10</v>
      </c>
      <c r="L654" s="27">
        <v>10</v>
      </c>
      <c r="M654" s="27" t="s">
        <v>287</v>
      </c>
      <c r="N654" s="21">
        <v>29.058399999999999</v>
      </c>
      <c r="O654" s="24">
        <v>34.337699999999998</v>
      </c>
      <c r="P654" s="20">
        <v>3.1022526666666383E-2</v>
      </c>
      <c r="Q654" s="20">
        <v>0.53077693333333364</v>
      </c>
      <c r="R654" s="26" t="s">
        <v>279</v>
      </c>
      <c r="S654" s="26"/>
      <c r="T654" s="71" t="s">
        <v>626</v>
      </c>
    </row>
    <row r="655" spans="1:20" ht="14" customHeight="1">
      <c r="A655" s="26" t="s">
        <v>175</v>
      </c>
      <c r="B655" s="26" t="s">
        <v>62</v>
      </c>
      <c r="C655" s="26" t="s">
        <v>519</v>
      </c>
      <c r="D655" s="25">
        <v>42929</v>
      </c>
      <c r="E655" s="19">
        <f t="shared" si="39"/>
        <v>2017</v>
      </c>
      <c r="F655" s="19">
        <f t="shared" si="40"/>
        <v>7</v>
      </c>
      <c r="G655" s="30">
        <f t="shared" si="41"/>
        <v>13</v>
      </c>
      <c r="H655" s="29" t="s">
        <v>287</v>
      </c>
      <c r="I655" s="22">
        <v>132.26832999999999</v>
      </c>
      <c r="J655" s="22">
        <v>29.483170000000001</v>
      </c>
      <c r="K655" s="27">
        <v>10</v>
      </c>
      <c r="L655" s="27">
        <v>10</v>
      </c>
      <c r="M655" s="27" t="s">
        <v>287</v>
      </c>
      <c r="N655" s="21">
        <v>28.223400000000002</v>
      </c>
      <c r="O655" s="24">
        <v>34.5914</v>
      </c>
      <c r="P655" s="20">
        <v>0.26868199999999987</v>
      </c>
      <c r="Q655" s="20">
        <v>1.4780053199999994</v>
      </c>
      <c r="R655" s="26" t="s">
        <v>279</v>
      </c>
      <c r="S655" s="26"/>
      <c r="T655" s="71" t="s">
        <v>626</v>
      </c>
    </row>
    <row r="656" spans="1:20" ht="14" customHeight="1">
      <c r="A656" s="26" t="s">
        <v>175</v>
      </c>
      <c r="B656" s="26" t="s">
        <v>63</v>
      </c>
      <c r="C656" s="26" t="s">
        <v>519</v>
      </c>
      <c r="D656" s="25">
        <v>42930</v>
      </c>
      <c r="E656" s="19">
        <f t="shared" si="39"/>
        <v>2017</v>
      </c>
      <c r="F656" s="19">
        <f t="shared" si="40"/>
        <v>7</v>
      </c>
      <c r="G656" s="30">
        <f t="shared" si="41"/>
        <v>14</v>
      </c>
      <c r="H656" s="29" t="s">
        <v>287</v>
      </c>
      <c r="I656" s="22">
        <v>131.33684</v>
      </c>
      <c r="J656" s="22">
        <v>30.436669999999999</v>
      </c>
      <c r="K656" s="27">
        <v>10</v>
      </c>
      <c r="L656" s="27">
        <v>10</v>
      </c>
      <c r="M656" s="27" t="s">
        <v>287</v>
      </c>
      <c r="N656" s="21">
        <v>27.1219</v>
      </c>
      <c r="O656" s="24">
        <v>34.284399999999998</v>
      </c>
      <c r="P656" s="20">
        <v>0.11861721333333319</v>
      </c>
      <c r="Q656" s="20">
        <v>0.64398374666666491</v>
      </c>
      <c r="R656" s="26" t="s">
        <v>279</v>
      </c>
      <c r="S656" s="26"/>
      <c r="T656" s="71" t="s">
        <v>626</v>
      </c>
    </row>
    <row r="657" spans="1:20" ht="14" customHeight="1">
      <c r="A657" s="26" t="s">
        <v>175</v>
      </c>
      <c r="B657" s="26" t="s">
        <v>64</v>
      </c>
      <c r="C657" s="26" t="s">
        <v>519</v>
      </c>
      <c r="D657" s="25">
        <v>42931</v>
      </c>
      <c r="E657" s="19">
        <f t="shared" si="39"/>
        <v>2017</v>
      </c>
      <c r="F657" s="19">
        <f t="shared" si="40"/>
        <v>7</v>
      </c>
      <c r="G657" s="30">
        <f t="shared" si="41"/>
        <v>15</v>
      </c>
      <c r="H657" s="29" t="s">
        <v>287</v>
      </c>
      <c r="I657" s="22">
        <v>130.00382999999999</v>
      </c>
      <c r="J657" s="22">
        <v>28.748670000000001</v>
      </c>
      <c r="K657" s="27">
        <v>10</v>
      </c>
      <c r="L657" s="27">
        <v>10</v>
      </c>
      <c r="M657" s="27" t="s">
        <v>287</v>
      </c>
      <c r="N657" s="21">
        <v>29.366199999999999</v>
      </c>
      <c r="O657" s="24">
        <v>34.658700000000003</v>
      </c>
      <c r="P657" s="20">
        <v>0.11479390666666656</v>
      </c>
      <c r="Q657" s="20">
        <v>1.106183533333331</v>
      </c>
      <c r="R657" s="26" t="s">
        <v>279</v>
      </c>
      <c r="S657" s="26"/>
      <c r="T657" s="71" t="s">
        <v>626</v>
      </c>
    </row>
    <row r="658" spans="1:20">
      <c r="A658" s="1" t="s">
        <v>285</v>
      </c>
      <c r="B658" s="1">
        <v>1</v>
      </c>
      <c r="C658" s="1" t="s">
        <v>511</v>
      </c>
      <c r="D658" s="5">
        <v>43148</v>
      </c>
      <c r="E658" s="1">
        <f t="shared" si="39"/>
        <v>2018</v>
      </c>
      <c r="F658" s="1">
        <f t="shared" si="40"/>
        <v>2</v>
      </c>
      <c r="G658" s="4">
        <f t="shared" si="41"/>
        <v>17</v>
      </c>
      <c r="H658" s="8">
        <v>0.19375000000000001</v>
      </c>
      <c r="I658" s="11">
        <v>128.27283333333301</v>
      </c>
      <c r="J658" s="11">
        <v>30.295000000000002</v>
      </c>
      <c r="K658" s="9">
        <v>5</v>
      </c>
      <c r="L658" s="9">
        <v>5</v>
      </c>
      <c r="M658" s="9">
        <v>0</v>
      </c>
      <c r="N658" s="12">
        <v>21.0221356666666</v>
      </c>
      <c r="O658" s="11">
        <v>34.732686666666602</v>
      </c>
      <c r="P658" s="31">
        <v>0.29199999999999998</v>
      </c>
      <c r="Q658" s="31">
        <v>1.835</v>
      </c>
      <c r="R658" s="26" t="s">
        <v>280</v>
      </c>
      <c r="S658" s="26"/>
      <c r="T658" s="71" t="s">
        <v>626</v>
      </c>
    </row>
    <row r="659" spans="1:20">
      <c r="A659" s="1" t="s">
        <v>285</v>
      </c>
      <c r="B659" s="1">
        <v>2</v>
      </c>
      <c r="C659" s="1" t="s">
        <v>511</v>
      </c>
      <c r="D659" s="5">
        <v>43148</v>
      </c>
      <c r="E659" s="1">
        <f t="shared" si="39"/>
        <v>2018</v>
      </c>
      <c r="F659" s="1">
        <f t="shared" si="40"/>
        <v>2</v>
      </c>
      <c r="G659" s="4">
        <f t="shared" si="41"/>
        <v>17</v>
      </c>
      <c r="H659" s="8">
        <v>0.3666666666666667</v>
      </c>
      <c r="I659" s="11">
        <v>128.69616666666599</v>
      </c>
      <c r="J659" s="11">
        <v>30.25</v>
      </c>
      <c r="K659" s="9">
        <v>5</v>
      </c>
      <c r="L659" s="9">
        <v>5</v>
      </c>
      <c r="M659" s="9">
        <v>0</v>
      </c>
      <c r="N659" s="12">
        <v>20.407135666666601</v>
      </c>
      <c r="O659" s="11">
        <v>34.692353333333301</v>
      </c>
      <c r="P659" s="31">
        <v>0.33300000000000002</v>
      </c>
      <c r="Q659" s="31">
        <v>1.8819999999999999</v>
      </c>
      <c r="R659" s="26" t="s">
        <v>280</v>
      </c>
      <c r="S659" s="26"/>
      <c r="T659" s="71" t="s">
        <v>626</v>
      </c>
    </row>
    <row r="660" spans="1:20">
      <c r="A660" s="1" t="s">
        <v>285</v>
      </c>
      <c r="B660" s="1">
        <v>3</v>
      </c>
      <c r="C660" s="1" t="s">
        <v>511</v>
      </c>
      <c r="D660" s="5">
        <v>43148</v>
      </c>
      <c r="E660" s="1">
        <f t="shared" si="39"/>
        <v>2018</v>
      </c>
      <c r="F660" s="1">
        <f t="shared" si="40"/>
        <v>2</v>
      </c>
      <c r="G660" s="4">
        <f t="shared" si="41"/>
        <v>17</v>
      </c>
      <c r="H660" s="8">
        <v>0.54097222222222219</v>
      </c>
      <c r="I660" s="11">
        <v>129.196666666666</v>
      </c>
      <c r="J660" s="11">
        <v>30.245999999999999</v>
      </c>
      <c r="K660" s="9">
        <v>5</v>
      </c>
      <c r="L660" s="9">
        <v>5</v>
      </c>
      <c r="M660" s="9">
        <v>0</v>
      </c>
      <c r="N660" s="12">
        <v>21.0438023333333</v>
      </c>
      <c r="O660" s="11">
        <v>34.710686666666597</v>
      </c>
      <c r="P660" s="31">
        <v>0.3</v>
      </c>
      <c r="Q660" s="31">
        <v>1.877</v>
      </c>
      <c r="R660" s="26" t="s">
        <v>280</v>
      </c>
      <c r="S660" s="26"/>
      <c r="T660" s="71" t="s">
        <v>626</v>
      </c>
    </row>
    <row r="661" spans="1:20">
      <c r="A661" s="1" t="s">
        <v>285</v>
      </c>
      <c r="B661" s="1">
        <v>4</v>
      </c>
      <c r="C661" s="1" t="s">
        <v>511</v>
      </c>
      <c r="D661" s="5">
        <v>43148</v>
      </c>
      <c r="E661" s="1">
        <f t="shared" si="39"/>
        <v>2018</v>
      </c>
      <c r="F661" s="1">
        <f t="shared" si="40"/>
        <v>2</v>
      </c>
      <c r="G661" s="4">
        <f t="shared" si="41"/>
        <v>17</v>
      </c>
      <c r="H661" s="8">
        <v>0.69305555555555554</v>
      </c>
      <c r="I661" s="11">
        <v>129.69366666666599</v>
      </c>
      <c r="J661" s="11">
        <v>30.247</v>
      </c>
      <c r="K661" s="9">
        <v>5</v>
      </c>
      <c r="L661" s="9">
        <v>5</v>
      </c>
      <c r="M661" s="9">
        <v>0</v>
      </c>
      <c r="N661" s="12">
        <v>18.138802333333302</v>
      </c>
      <c r="O661" s="11">
        <v>34.7456866666666</v>
      </c>
      <c r="P661" s="31">
        <v>0.32900000000000001</v>
      </c>
      <c r="Q661" s="31">
        <v>1.9430000000000001</v>
      </c>
      <c r="R661" s="26" t="s">
        <v>280</v>
      </c>
      <c r="S661" s="26"/>
      <c r="T661" s="71" t="s">
        <v>626</v>
      </c>
    </row>
    <row r="662" spans="1:20">
      <c r="A662" s="1" t="s">
        <v>285</v>
      </c>
      <c r="B662" s="1">
        <v>5</v>
      </c>
      <c r="C662" s="1" t="s">
        <v>511</v>
      </c>
      <c r="D662" s="5">
        <v>43148</v>
      </c>
      <c r="E662" s="1">
        <f t="shared" si="39"/>
        <v>2018</v>
      </c>
      <c r="F662" s="1">
        <f t="shared" si="40"/>
        <v>2</v>
      </c>
      <c r="G662" s="4">
        <f t="shared" si="41"/>
        <v>17</v>
      </c>
      <c r="H662" s="8">
        <v>0.86249999999999993</v>
      </c>
      <c r="I662" s="11">
        <v>129.75</v>
      </c>
      <c r="J662" s="11">
        <v>29.781500000000001</v>
      </c>
      <c r="K662" s="9">
        <v>5</v>
      </c>
      <c r="L662" s="9">
        <v>5</v>
      </c>
      <c r="M662" s="9">
        <v>0</v>
      </c>
      <c r="N662" s="12">
        <v>20.915469000000002</v>
      </c>
      <c r="O662" s="11">
        <v>34.785353333333298</v>
      </c>
      <c r="P662" s="31">
        <v>0.34399999999999997</v>
      </c>
      <c r="Q662" s="31">
        <v>2.056</v>
      </c>
      <c r="R662" s="26" t="s">
        <v>280</v>
      </c>
      <c r="S662" s="26"/>
      <c r="T662" s="71" t="s">
        <v>626</v>
      </c>
    </row>
    <row r="663" spans="1:20">
      <c r="A663" s="1" t="s">
        <v>285</v>
      </c>
      <c r="B663" s="1">
        <v>6</v>
      </c>
      <c r="C663" s="1" t="s">
        <v>511</v>
      </c>
      <c r="D663" s="5">
        <v>43148</v>
      </c>
      <c r="E663" s="1">
        <f t="shared" si="39"/>
        <v>2018</v>
      </c>
      <c r="F663" s="1">
        <f t="shared" si="40"/>
        <v>2</v>
      </c>
      <c r="G663" s="4">
        <f t="shared" si="41"/>
        <v>17</v>
      </c>
      <c r="H663" s="8">
        <v>1.3194444444444444E-2</v>
      </c>
      <c r="I663" s="11">
        <v>128.72649999999999</v>
      </c>
      <c r="J663" s="11">
        <v>31.059000000000001</v>
      </c>
      <c r="K663" s="9">
        <v>5</v>
      </c>
      <c r="L663" s="9">
        <v>5</v>
      </c>
      <c r="M663" s="9">
        <v>0</v>
      </c>
      <c r="N663" s="12">
        <v>20.233802333333301</v>
      </c>
      <c r="O663" s="11">
        <v>34.661353333333302</v>
      </c>
      <c r="P663" s="31">
        <v>0.312</v>
      </c>
      <c r="Q663" s="31">
        <v>2.0350000000000001</v>
      </c>
      <c r="R663" s="26" t="s">
        <v>280</v>
      </c>
      <c r="S663" s="26"/>
      <c r="T663" s="71" t="s">
        <v>626</v>
      </c>
    </row>
    <row r="664" spans="1:20">
      <c r="A664" s="1" t="s">
        <v>285</v>
      </c>
      <c r="B664" s="1">
        <v>7</v>
      </c>
      <c r="C664" s="1" t="s">
        <v>511</v>
      </c>
      <c r="D664" s="5">
        <v>43149</v>
      </c>
      <c r="E664" s="1">
        <f t="shared" si="39"/>
        <v>2018</v>
      </c>
      <c r="F664" s="1">
        <f t="shared" si="40"/>
        <v>2</v>
      </c>
      <c r="G664" s="4">
        <f t="shared" si="41"/>
        <v>18</v>
      </c>
      <c r="H664" s="8">
        <v>0.16458333333333333</v>
      </c>
      <c r="I664" s="11">
        <v>129.28583333333299</v>
      </c>
      <c r="J664" s="11">
        <v>29.25</v>
      </c>
      <c r="K664" s="9">
        <v>5</v>
      </c>
      <c r="L664" s="9">
        <v>5</v>
      </c>
      <c r="M664" s="9">
        <v>0</v>
      </c>
      <c r="N664" s="12">
        <v>20.788802333333301</v>
      </c>
      <c r="O664" s="11">
        <v>34.772186666666599</v>
      </c>
      <c r="P664" s="31">
        <v>0.35</v>
      </c>
      <c r="Q664" s="31">
        <v>2.2389999999999999</v>
      </c>
      <c r="R664" s="26" t="s">
        <v>280</v>
      </c>
      <c r="S664" s="26"/>
      <c r="T664" s="71" t="s">
        <v>626</v>
      </c>
    </row>
    <row r="665" spans="1:20">
      <c r="A665" s="1" t="s">
        <v>285</v>
      </c>
      <c r="B665" s="1">
        <v>8</v>
      </c>
      <c r="C665" s="1" t="s">
        <v>511</v>
      </c>
      <c r="D665" s="5">
        <v>43149</v>
      </c>
      <c r="E665" s="1">
        <f t="shared" si="39"/>
        <v>2018</v>
      </c>
      <c r="F665" s="1">
        <f t="shared" si="40"/>
        <v>2</v>
      </c>
      <c r="G665" s="4">
        <f t="shared" si="41"/>
        <v>18</v>
      </c>
      <c r="H665" s="8">
        <v>0.33055555555555555</v>
      </c>
      <c r="I665" s="11">
        <v>129.249</v>
      </c>
      <c r="J665" s="11">
        <v>29.712499999999999</v>
      </c>
      <c r="K665" s="9">
        <v>5</v>
      </c>
      <c r="L665" s="9">
        <v>5</v>
      </c>
      <c r="M665" s="9">
        <v>0</v>
      </c>
      <c r="N665" s="12">
        <v>21.415469000000002</v>
      </c>
      <c r="O665" s="11">
        <v>34.702353333333299</v>
      </c>
      <c r="P665" s="31">
        <v>0.25900000000000001</v>
      </c>
      <c r="Q665" s="31">
        <v>1.9319999999999999</v>
      </c>
      <c r="R665" s="26" t="s">
        <v>280</v>
      </c>
      <c r="S665" s="26"/>
      <c r="T665" s="71" t="s">
        <v>626</v>
      </c>
    </row>
    <row r="666" spans="1:20">
      <c r="A666" s="1" t="s">
        <v>285</v>
      </c>
      <c r="B666" s="1">
        <v>9</v>
      </c>
      <c r="C666" s="1" t="s">
        <v>511</v>
      </c>
      <c r="D666" s="5">
        <v>43149</v>
      </c>
      <c r="E666" s="1">
        <f t="shared" si="39"/>
        <v>2018</v>
      </c>
      <c r="F666" s="1">
        <f t="shared" si="40"/>
        <v>2</v>
      </c>
      <c r="G666" s="4">
        <f t="shared" si="41"/>
        <v>18</v>
      </c>
      <c r="H666" s="8">
        <v>0.4916666666666667</v>
      </c>
      <c r="I666" s="11">
        <v>128.791</v>
      </c>
      <c r="J666" s="11">
        <v>29.75</v>
      </c>
      <c r="K666" s="9">
        <v>5</v>
      </c>
      <c r="L666" s="9">
        <v>5</v>
      </c>
      <c r="M666" s="9">
        <v>0</v>
      </c>
      <c r="N666" s="12">
        <v>21.358802333333301</v>
      </c>
      <c r="O666" s="11">
        <v>34.652186666666601</v>
      </c>
      <c r="P666" s="31">
        <v>0.29399999999999998</v>
      </c>
      <c r="Q666" s="31">
        <v>2.1179999999999999</v>
      </c>
      <c r="R666" s="26" t="s">
        <v>280</v>
      </c>
      <c r="S666" s="26"/>
      <c r="T666" s="71" t="s">
        <v>626</v>
      </c>
    </row>
    <row r="667" spans="1:20">
      <c r="A667" s="1" t="s">
        <v>285</v>
      </c>
      <c r="B667" s="1">
        <v>10</v>
      </c>
      <c r="C667" s="1" t="s">
        <v>511</v>
      </c>
      <c r="D667" s="5">
        <v>43149</v>
      </c>
      <c r="E667" s="1">
        <f t="shared" si="39"/>
        <v>2018</v>
      </c>
      <c r="F667" s="1">
        <f t="shared" si="40"/>
        <v>2</v>
      </c>
      <c r="G667" s="4">
        <f t="shared" si="41"/>
        <v>18</v>
      </c>
      <c r="H667" s="8">
        <v>0.65972222222222221</v>
      </c>
      <c r="I667" s="11">
        <v>128.29499999999999</v>
      </c>
      <c r="J667" s="11">
        <v>29.75</v>
      </c>
      <c r="K667" s="9">
        <v>5</v>
      </c>
      <c r="L667" s="9">
        <v>5</v>
      </c>
      <c r="M667" s="9">
        <v>0</v>
      </c>
      <c r="N667" s="12">
        <v>21.810469000000001</v>
      </c>
      <c r="O667" s="11">
        <v>34.603020000000001</v>
      </c>
      <c r="P667" s="31">
        <v>0.25600000000000001</v>
      </c>
      <c r="Q667" s="31">
        <v>1.8260000000000001</v>
      </c>
      <c r="R667" s="26" t="s">
        <v>280</v>
      </c>
      <c r="S667" s="26"/>
      <c r="T667" s="71" t="s">
        <v>626</v>
      </c>
    </row>
    <row r="668" spans="1:20">
      <c r="A668" s="1" t="s">
        <v>285</v>
      </c>
      <c r="B668" s="1">
        <v>11</v>
      </c>
      <c r="C668" s="1" t="s">
        <v>511</v>
      </c>
      <c r="D668" s="5">
        <v>43149</v>
      </c>
      <c r="E668" s="1">
        <f t="shared" si="39"/>
        <v>2018</v>
      </c>
      <c r="F668" s="1">
        <f t="shared" si="40"/>
        <v>2</v>
      </c>
      <c r="G668" s="4">
        <f t="shared" si="41"/>
        <v>18</v>
      </c>
      <c r="H668" s="8">
        <v>0.82777777777777783</v>
      </c>
      <c r="I668" s="11">
        <v>127.800166666666</v>
      </c>
      <c r="J668" s="11">
        <v>29.75</v>
      </c>
      <c r="K668" s="9">
        <v>5</v>
      </c>
      <c r="L668" s="9">
        <v>5</v>
      </c>
      <c r="M668" s="9">
        <v>0</v>
      </c>
      <c r="N668" s="12">
        <v>21.018802333333301</v>
      </c>
      <c r="O668" s="11">
        <v>34.654686666666599</v>
      </c>
      <c r="P668" s="31">
        <v>0.30499999999999999</v>
      </c>
      <c r="Q668" s="31">
        <v>2.0230000000000001</v>
      </c>
      <c r="R668" s="26" t="s">
        <v>280</v>
      </c>
      <c r="S668" s="26"/>
      <c r="T668" s="71" t="s">
        <v>626</v>
      </c>
    </row>
    <row r="669" spans="1:20">
      <c r="A669" s="1" t="s">
        <v>285</v>
      </c>
      <c r="B669" s="1">
        <v>12</v>
      </c>
      <c r="C669" s="1" t="s">
        <v>511</v>
      </c>
      <c r="D669" s="5">
        <v>43149</v>
      </c>
      <c r="E669" s="1">
        <f t="shared" si="39"/>
        <v>2018</v>
      </c>
      <c r="F669" s="1">
        <f t="shared" si="40"/>
        <v>2</v>
      </c>
      <c r="G669" s="4">
        <f t="shared" si="41"/>
        <v>18</v>
      </c>
      <c r="H669" s="8">
        <v>0.98333333333333339</v>
      </c>
      <c r="I669" s="11">
        <v>127.287166666666</v>
      </c>
      <c r="J669" s="11">
        <v>29.982333333333301</v>
      </c>
      <c r="K669" s="9">
        <v>5</v>
      </c>
      <c r="L669" s="9">
        <v>5</v>
      </c>
      <c r="M669" s="9">
        <v>0</v>
      </c>
      <c r="N669" s="12">
        <v>17.800469</v>
      </c>
      <c r="O669" s="11">
        <v>34.729853333333303</v>
      </c>
      <c r="P669" s="31">
        <v>0.318</v>
      </c>
      <c r="Q669" s="31">
        <v>1.94</v>
      </c>
      <c r="R669" s="26" t="s">
        <v>280</v>
      </c>
      <c r="S669" s="26"/>
      <c r="T669" s="71" t="s">
        <v>626</v>
      </c>
    </row>
    <row r="670" spans="1:20">
      <c r="A670" s="1" t="s">
        <v>285</v>
      </c>
      <c r="B670" s="1">
        <v>13</v>
      </c>
      <c r="C670" s="1" t="s">
        <v>511</v>
      </c>
      <c r="D670" s="5">
        <v>43150</v>
      </c>
      <c r="E670" s="1">
        <f t="shared" si="39"/>
        <v>2018</v>
      </c>
      <c r="F670" s="1">
        <f t="shared" si="40"/>
        <v>2</v>
      </c>
      <c r="G670" s="4">
        <f t="shared" si="41"/>
        <v>19</v>
      </c>
      <c r="H670" s="8">
        <v>0.12708333333333333</v>
      </c>
      <c r="I670" s="11">
        <v>126.799166666666</v>
      </c>
      <c r="J670" s="11">
        <v>29.998999999999999</v>
      </c>
      <c r="K670" s="9">
        <v>5</v>
      </c>
      <c r="L670" s="9">
        <v>5</v>
      </c>
      <c r="M670" s="9">
        <v>0</v>
      </c>
      <c r="N670" s="12">
        <v>15.610468999999998</v>
      </c>
      <c r="O670" s="11">
        <v>34.59102</v>
      </c>
      <c r="P670" s="31">
        <v>0.27600000000000002</v>
      </c>
      <c r="Q670" s="31">
        <v>1.679</v>
      </c>
      <c r="R670" s="26" t="s">
        <v>280</v>
      </c>
      <c r="S670" s="26"/>
      <c r="T670" s="71" t="s">
        <v>626</v>
      </c>
    </row>
    <row r="671" spans="1:20">
      <c r="A671" s="1" t="s">
        <v>285</v>
      </c>
      <c r="B671" s="1">
        <v>14</v>
      </c>
      <c r="C671" s="1" t="s">
        <v>511</v>
      </c>
      <c r="D671" s="5">
        <v>43150</v>
      </c>
      <c r="E671" s="1">
        <f t="shared" si="39"/>
        <v>2018</v>
      </c>
      <c r="F671" s="1">
        <f t="shared" si="40"/>
        <v>2</v>
      </c>
      <c r="G671" s="4">
        <f t="shared" si="41"/>
        <v>19</v>
      </c>
      <c r="H671" s="8">
        <v>0.30902777777777779</v>
      </c>
      <c r="I671" s="11">
        <v>126.288</v>
      </c>
      <c r="J671" s="11">
        <v>29.5371666666666</v>
      </c>
      <c r="K671" s="9">
        <v>5</v>
      </c>
      <c r="L671" s="9">
        <v>5</v>
      </c>
      <c r="M671" s="9">
        <v>0</v>
      </c>
      <c r="N671" s="12">
        <v>15.837135666666599</v>
      </c>
      <c r="O671" s="11">
        <v>34.574186666666598</v>
      </c>
      <c r="P671" s="31">
        <v>0.249</v>
      </c>
      <c r="Q671" s="31">
        <v>1.605</v>
      </c>
      <c r="R671" s="26" t="s">
        <v>280</v>
      </c>
      <c r="S671" s="26"/>
      <c r="T671" s="71" t="s">
        <v>626</v>
      </c>
    </row>
    <row r="672" spans="1:20">
      <c r="A672" s="1" t="s">
        <v>285</v>
      </c>
      <c r="B672" s="1">
        <v>15</v>
      </c>
      <c r="C672" s="1" t="s">
        <v>511</v>
      </c>
      <c r="D672" s="5">
        <v>43150</v>
      </c>
      <c r="E672" s="1">
        <f t="shared" si="39"/>
        <v>2018</v>
      </c>
      <c r="F672" s="1">
        <f t="shared" si="40"/>
        <v>2</v>
      </c>
      <c r="G672" s="4">
        <f t="shared" si="41"/>
        <v>19</v>
      </c>
      <c r="H672" s="8">
        <v>0.44791666666666669</v>
      </c>
      <c r="I672" s="11">
        <v>126.698333333333</v>
      </c>
      <c r="J672" s="11">
        <v>29.501999999999999</v>
      </c>
      <c r="K672" s="9">
        <v>5</v>
      </c>
      <c r="L672" s="9">
        <v>5</v>
      </c>
      <c r="M672" s="9">
        <v>0</v>
      </c>
      <c r="N672" s="12">
        <v>16.935469000000001</v>
      </c>
      <c r="O672" s="11">
        <v>34.657186666666597</v>
      </c>
      <c r="P672" s="31">
        <v>0.33600000000000002</v>
      </c>
      <c r="Q672" s="31">
        <v>1.879</v>
      </c>
      <c r="R672" s="26" t="s">
        <v>280</v>
      </c>
      <c r="S672" s="26"/>
      <c r="T672" s="71" t="s">
        <v>626</v>
      </c>
    </row>
    <row r="673" spans="1:20">
      <c r="A673" s="1" t="s">
        <v>285</v>
      </c>
      <c r="B673" s="1">
        <v>16</v>
      </c>
      <c r="C673" s="1" t="s">
        <v>511</v>
      </c>
      <c r="D673" s="5">
        <v>43150</v>
      </c>
      <c r="E673" s="1">
        <f t="shared" si="39"/>
        <v>2018</v>
      </c>
      <c r="F673" s="1">
        <f t="shared" si="40"/>
        <v>2</v>
      </c>
      <c r="G673" s="4">
        <f t="shared" si="41"/>
        <v>19</v>
      </c>
      <c r="H673" s="8">
        <v>0.57986111111111105</v>
      </c>
      <c r="I673" s="11">
        <v>127.195666666666</v>
      </c>
      <c r="J673" s="11">
        <v>29.498999999999999</v>
      </c>
      <c r="K673" s="9">
        <v>5</v>
      </c>
      <c r="L673" s="9">
        <v>5</v>
      </c>
      <c r="M673" s="9">
        <v>0</v>
      </c>
      <c r="N673" s="12">
        <v>20.280469</v>
      </c>
      <c r="O673" s="11">
        <v>34.6623533333333</v>
      </c>
      <c r="P673" s="31">
        <v>0.31867776705882389</v>
      </c>
      <c r="Q673" s="31">
        <v>1.8646201882352909</v>
      </c>
      <c r="R673" s="26" t="s">
        <v>280</v>
      </c>
      <c r="S673" s="26"/>
      <c r="T673" s="71" t="s">
        <v>626</v>
      </c>
    </row>
    <row r="674" spans="1:20">
      <c r="A674" s="1" t="s">
        <v>285</v>
      </c>
      <c r="B674" s="1">
        <v>17</v>
      </c>
      <c r="C674" s="1" t="s">
        <v>511</v>
      </c>
      <c r="D674" s="5">
        <v>43150</v>
      </c>
      <c r="E674" s="1">
        <f t="shared" si="39"/>
        <v>2018</v>
      </c>
      <c r="F674" s="1">
        <f t="shared" si="40"/>
        <v>2</v>
      </c>
      <c r="G674" s="4">
        <f t="shared" si="41"/>
        <v>19</v>
      </c>
      <c r="H674" s="8">
        <v>0.73541666666666661</v>
      </c>
      <c r="I674" s="11">
        <v>127.706666666666</v>
      </c>
      <c r="J674" s="11">
        <v>29.2721666666666</v>
      </c>
      <c r="K674" s="9">
        <v>5</v>
      </c>
      <c r="L674" s="9">
        <v>5</v>
      </c>
      <c r="M674" s="9">
        <v>0</v>
      </c>
      <c r="N674" s="12">
        <v>21.712135666666601</v>
      </c>
      <c r="O674" s="11">
        <v>34.533686666666597</v>
      </c>
      <c r="P674" s="31">
        <v>0.19904937647058829</v>
      </c>
      <c r="Q674" s="31">
        <v>1.4846849058823519</v>
      </c>
      <c r="R674" s="26" t="s">
        <v>280</v>
      </c>
      <c r="S674" s="26"/>
      <c r="T674" s="71" t="s">
        <v>626</v>
      </c>
    </row>
    <row r="675" spans="1:20">
      <c r="A675" s="1" t="s">
        <v>285</v>
      </c>
      <c r="B675" s="1">
        <v>18</v>
      </c>
      <c r="C675" s="1" t="s">
        <v>511</v>
      </c>
      <c r="D675" s="5">
        <v>43150</v>
      </c>
      <c r="E675" s="1">
        <f t="shared" si="39"/>
        <v>2018</v>
      </c>
      <c r="F675" s="1">
        <f t="shared" si="40"/>
        <v>2</v>
      </c>
      <c r="G675" s="4">
        <f t="shared" si="41"/>
        <v>19</v>
      </c>
      <c r="H675" s="8">
        <v>0.8930555555555556</v>
      </c>
      <c r="I675" s="11">
        <v>128.196</v>
      </c>
      <c r="J675" s="11">
        <v>29.25</v>
      </c>
      <c r="K675" s="9">
        <v>5</v>
      </c>
      <c r="L675" s="9">
        <v>5</v>
      </c>
      <c r="M675" s="9">
        <v>0</v>
      </c>
      <c r="N675" s="12">
        <v>22.2038023333333</v>
      </c>
      <c r="O675" s="11">
        <v>34.549686666666602</v>
      </c>
      <c r="P675" s="31">
        <v>0.23486038588235369</v>
      </c>
      <c r="Q675" s="31">
        <v>1.6009680235294095</v>
      </c>
      <c r="R675" s="26" t="s">
        <v>280</v>
      </c>
      <c r="S675" s="26"/>
      <c r="T675" s="71" t="s">
        <v>626</v>
      </c>
    </row>
    <row r="676" spans="1:20">
      <c r="A676" s="1" t="s">
        <v>285</v>
      </c>
      <c r="B676" s="1">
        <v>19</v>
      </c>
      <c r="C676" s="1" t="s">
        <v>511</v>
      </c>
      <c r="D676" s="5">
        <v>43151</v>
      </c>
      <c r="E676" s="1">
        <f t="shared" si="39"/>
        <v>2018</v>
      </c>
      <c r="F676" s="1">
        <f t="shared" si="40"/>
        <v>2</v>
      </c>
      <c r="G676" s="4">
        <f t="shared" si="41"/>
        <v>20</v>
      </c>
      <c r="H676" s="8">
        <v>3.7499999999999999E-2</v>
      </c>
      <c r="I676" s="11">
        <v>128.69300000000001</v>
      </c>
      <c r="J676" s="11">
        <v>29.248999999999999</v>
      </c>
      <c r="K676" s="9">
        <v>5</v>
      </c>
      <c r="L676" s="9">
        <v>5</v>
      </c>
      <c r="M676" s="9">
        <v>0</v>
      </c>
      <c r="N676" s="12">
        <v>20.740469000000001</v>
      </c>
      <c r="O676" s="11">
        <v>34.805520000000001</v>
      </c>
      <c r="P676" s="31">
        <v>0.31802379529411806</v>
      </c>
      <c r="Q676" s="31">
        <v>2.0709345411764719</v>
      </c>
      <c r="R676" s="26" t="s">
        <v>280</v>
      </c>
      <c r="S676" s="26"/>
      <c r="T676" s="71" t="s">
        <v>626</v>
      </c>
    </row>
    <row r="677" spans="1:20">
      <c r="A677" s="1" t="s">
        <v>285</v>
      </c>
      <c r="B677" s="1">
        <v>20</v>
      </c>
      <c r="C677" s="1" t="s">
        <v>511</v>
      </c>
      <c r="D677" s="5">
        <v>43151</v>
      </c>
      <c r="E677" s="1">
        <f t="shared" si="39"/>
        <v>2018</v>
      </c>
      <c r="F677" s="1">
        <f t="shared" si="40"/>
        <v>2</v>
      </c>
      <c r="G677" s="4">
        <f t="shared" si="41"/>
        <v>20</v>
      </c>
      <c r="H677" s="8">
        <v>0.1986111111111111</v>
      </c>
      <c r="I677" s="11">
        <v>128.74799999999999</v>
      </c>
      <c r="J677" s="11">
        <v>28.7893333333333</v>
      </c>
      <c r="K677" s="9">
        <v>5</v>
      </c>
      <c r="L677" s="9">
        <v>5</v>
      </c>
      <c r="M677" s="9">
        <v>0</v>
      </c>
      <c r="N677" s="12">
        <v>20.6971356666666</v>
      </c>
      <c r="O677" s="11">
        <v>34.769019999999998</v>
      </c>
      <c r="P677" s="31">
        <v>0.25810060470588314</v>
      </c>
      <c r="Q677" s="31">
        <v>1.7995224588235281</v>
      </c>
      <c r="R677" s="26" t="s">
        <v>280</v>
      </c>
      <c r="S677" s="26"/>
      <c r="T677" s="71" t="s">
        <v>626</v>
      </c>
    </row>
    <row r="678" spans="1:20">
      <c r="A678" s="1" t="s">
        <v>285</v>
      </c>
      <c r="B678" s="1">
        <v>21</v>
      </c>
      <c r="C678" s="1" t="s">
        <v>511</v>
      </c>
      <c r="D678" s="5">
        <v>43151</v>
      </c>
      <c r="E678" s="1">
        <f t="shared" si="39"/>
        <v>2018</v>
      </c>
      <c r="F678" s="1">
        <f t="shared" si="40"/>
        <v>2</v>
      </c>
      <c r="G678" s="4">
        <f t="shared" si="41"/>
        <v>20</v>
      </c>
      <c r="H678" s="8">
        <v>0.34930555555555554</v>
      </c>
      <c r="I678" s="11">
        <v>128.29</v>
      </c>
      <c r="J678" s="11">
        <v>28.75</v>
      </c>
      <c r="K678" s="9">
        <v>5</v>
      </c>
      <c r="L678" s="9">
        <v>5</v>
      </c>
      <c r="M678" s="9">
        <v>0</v>
      </c>
      <c r="N678" s="12">
        <v>21.660469000000003</v>
      </c>
      <c r="O678" s="11">
        <v>34.725186666666602</v>
      </c>
      <c r="P678" s="31">
        <v>0.32149953411764742</v>
      </c>
      <c r="Q678" s="31">
        <v>1.9690841764705844</v>
      </c>
      <c r="R678" s="26" t="s">
        <v>280</v>
      </c>
      <c r="S678" s="26"/>
      <c r="T678" s="71" t="s">
        <v>626</v>
      </c>
    </row>
    <row r="679" spans="1:20">
      <c r="A679" s="1" t="s">
        <v>285</v>
      </c>
      <c r="B679" s="1">
        <v>22</v>
      </c>
      <c r="C679" s="1" t="s">
        <v>511</v>
      </c>
      <c r="D679" s="5">
        <v>43151</v>
      </c>
      <c r="E679" s="1">
        <f t="shared" si="39"/>
        <v>2018</v>
      </c>
      <c r="F679" s="1">
        <f t="shared" si="40"/>
        <v>2</v>
      </c>
      <c r="G679" s="4">
        <f t="shared" si="41"/>
        <v>20</v>
      </c>
      <c r="H679" s="8">
        <v>0.50138888888888888</v>
      </c>
      <c r="I679" s="11">
        <v>127.801</v>
      </c>
      <c r="J679" s="11">
        <v>28.751000000000001</v>
      </c>
      <c r="K679" s="9">
        <v>5</v>
      </c>
      <c r="L679" s="9">
        <v>5</v>
      </c>
      <c r="M679" s="9">
        <v>0</v>
      </c>
      <c r="N679" s="12">
        <v>22.6488023333333</v>
      </c>
      <c r="O679" s="11">
        <v>34.494520000000001</v>
      </c>
      <c r="P679" s="31">
        <v>0.26507630352941258</v>
      </c>
      <c r="Q679" s="31">
        <v>1.4479900941176478</v>
      </c>
      <c r="R679" s="26" t="s">
        <v>280</v>
      </c>
      <c r="S679" s="26"/>
      <c r="T679" s="71" t="s">
        <v>626</v>
      </c>
    </row>
    <row r="680" spans="1:20">
      <c r="A680" s="1" t="s">
        <v>285</v>
      </c>
      <c r="B680" s="1">
        <v>23</v>
      </c>
      <c r="C680" s="1" t="s">
        <v>511</v>
      </c>
      <c r="D680" s="5">
        <v>43151</v>
      </c>
      <c r="E680" s="1">
        <f t="shared" si="39"/>
        <v>2018</v>
      </c>
      <c r="F680" s="1">
        <f t="shared" si="40"/>
        <v>2</v>
      </c>
      <c r="G680" s="4">
        <f t="shared" si="41"/>
        <v>20</v>
      </c>
      <c r="H680" s="8">
        <v>0.69791666666666663</v>
      </c>
      <c r="I680" s="11">
        <v>127.255</v>
      </c>
      <c r="J680" s="11">
        <v>28.756</v>
      </c>
      <c r="K680" s="9">
        <v>5</v>
      </c>
      <c r="L680" s="9">
        <v>5</v>
      </c>
      <c r="M680" s="9">
        <v>0</v>
      </c>
      <c r="N680" s="12">
        <v>21.262135666666602</v>
      </c>
      <c r="O680" s="11">
        <v>34.595019999999998</v>
      </c>
      <c r="P680" s="31">
        <v>0.22467538117647057</v>
      </c>
      <c r="Q680" s="31">
        <v>1.3298103647058799</v>
      </c>
      <c r="R680" s="26" t="s">
        <v>280</v>
      </c>
      <c r="S680" s="26"/>
      <c r="T680" s="71" t="s">
        <v>626</v>
      </c>
    </row>
    <row r="681" spans="1:20">
      <c r="A681" s="1" t="s">
        <v>285</v>
      </c>
      <c r="B681" s="1">
        <v>24</v>
      </c>
      <c r="C681" s="1" t="s">
        <v>511</v>
      </c>
      <c r="D681" s="5">
        <v>43151</v>
      </c>
      <c r="E681" s="1">
        <f t="shared" si="39"/>
        <v>2018</v>
      </c>
      <c r="F681" s="1">
        <f t="shared" si="40"/>
        <v>2</v>
      </c>
      <c r="G681" s="4">
        <f t="shared" si="41"/>
        <v>20</v>
      </c>
      <c r="H681" s="8">
        <v>0.83958333333333324</v>
      </c>
      <c r="I681" s="11">
        <v>126.79600000000001</v>
      </c>
      <c r="J681" s="11">
        <v>28.977833333333301</v>
      </c>
      <c r="K681" s="9">
        <v>5</v>
      </c>
      <c r="L681" s="9">
        <v>5</v>
      </c>
      <c r="M681" s="9">
        <v>0</v>
      </c>
      <c r="N681" s="12">
        <v>19.850469</v>
      </c>
      <c r="O681" s="11">
        <v>34.683019999999999</v>
      </c>
      <c r="P681" s="31">
        <v>0.24236895058823538</v>
      </c>
      <c r="Q681" s="31">
        <v>1.5599248823529415</v>
      </c>
      <c r="R681" s="26" t="s">
        <v>280</v>
      </c>
      <c r="S681" s="26"/>
      <c r="T681" s="71" t="s">
        <v>626</v>
      </c>
    </row>
    <row r="682" spans="1:20">
      <c r="A682" s="1" t="s">
        <v>285</v>
      </c>
      <c r="B682" s="1">
        <v>25</v>
      </c>
      <c r="C682" s="1" t="s">
        <v>511</v>
      </c>
      <c r="D682" s="5">
        <v>43151</v>
      </c>
      <c r="E682" s="1">
        <f t="shared" si="39"/>
        <v>2018</v>
      </c>
      <c r="F682" s="1">
        <f t="shared" si="40"/>
        <v>2</v>
      </c>
      <c r="G682" s="4">
        <f t="shared" si="41"/>
        <v>20</v>
      </c>
      <c r="H682" s="8">
        <v>0.96805555555555556</v>
      </c>
      <c r="I682" s="11">
        <v>126.291</v>
      </c>
      <c r="J682" s="11">
        <v>29.001000000000001</v>
      </c>
      <c r="K682" s="9">
        <v>5</v>
      </c>
      <c r="L682" s="9">
        <v>5</v>
      </c>
      <c r="M682" s="9">
        <v>0</v>
      </c>
      <c r="N682" s="12">
        <v>19.410469000000003</v>
      </c>
      <c r="O682" s="11">
        <v>34.689019999999999</v>
      </c>
      <c r="P682" s="31">
        <v>0.28044463999999958</v>
      </c>
      <c r="Q682" s="31">
        <v>1.615851799999998</v>
      </c>
      <c r="R682" s="26" t="s">
        <v>280</v>
      </c>
      <c r="S682" s="26"/>
      <c r="T682" s="71" t="s">
        <v>626</v>
      </c>
    </row>
    <row r="683" spans="1:20">
      <c r="A683" s="1" t="s">
        <v>285</v>
      </c>
      <c r="B683" s="1">
        <v>27</v>
      </c>
      <c r="C683" s="1" t="s">
        <v>511</v>
      </c>
      <c r="D683" s="5">
        <v>43152</v>
      </c>
      <c r="E683" s="1">
        <f t="shared" si="39"/>
        <v>2018</v>
      </c>
      <c r="F683" s="1">
        <f t="shared" si="40"/>
        <v>2</v>
      </c>
      <c r="G683" s="4">
        <f t="shared" si="41"/>
        <v>21</v>
      </c>
      <c r="H683" s="8">
        <v>0.11875000000000001</v>
      </c>
      <c r="I683" s="11">
        <v>126.255</v>
      </c>
      <c r="J683" s="11">
        <v>28.548666666666598</v>
      </c>
      <c r="K683" s="9">
        <v>5</v>
      </c>
      <c r="L683" s="9">
        <v>5</v>
      </c>
      <c r="M683" s="9">
        <v>0</v>
      </c>
      <c r="N683" s="12">
        <v>17.9738023333333</v>
      </c>
      <c r="O683" s="11">
        <v>34.679186666666602</v>
      </c>
      <c r="P683" s="31">
        <v>0.28002076941176512</v>
      </c>
      <c r="Q683" s="31">
        <v>1.5675807176470578</v>
      </c>
      <c r="R683" s="26" t="s">
        <v>280</v>
      </c>
      <c r="S683" s="26"/>
      <c r="T683" s="71" t="s">
        <v>626</v>
      </c>
    </row>
    <row r="684" spans="1:20">
      <c r="A684" s="1" t="s">
        <v>285</v>
      </c>
      <c r="B684" s="1">
        <v>26</v>
      </c>
      <c r="C684" s="1" t="s">
        <v>511</v>
      </c>
      <c r="D684" s="5">
        <v>43152</v>
      </c>
      <c r="E684" s="1">
        <f t="shared" si="39"/>
        <v>2018</v>
      </c>
      <c r="F684" s="1">
        <f t="shared" si="40"/>
        <v>2</v>
      </c>
      <c r="G684" s="4">
        <f t="shared" si="41"/>
        <v>21</v>
      </c>
      <c r="H684" s="8">
        <v>0.3444444444444445</v>
      </c>
      <c r="I684" s="11">
        <v>125.786714285714</v>
      </c>
      <c r="J684" s="11">
        <v>28.504714285714201</v>
      </c>
      <c r="K684" s="9">
        <v>5</v>
      </c>
      <c r="L684" s="9">
        <v>5</v>
      </c>
      <c r="M684" s="9">
        <v>0</v>
      </c>
      <c r="N684" s="12">
        <v>16.5461832857142</v>
      </c>
      <c r="O684" s="11">
        <v>34.582305714285702</v>
      </c>
      <c r="P684" s="31">
        <v>0.24706785882352977</v>
      </c>
      <c r="Q684" s="31">
        <v>1.6087134852941158</v>
      </c>
      <c r="R684" s="26" t="s">
        <v>280</v>
      </c>
      <c r="S684" s="26"/>
      <c r="T684" s="71" t="s">
        <v>626</v>
      </c>
    </row>
    <row r="685" spans="1:20">
      <c r="A685" s="1" t="s">
        <v>285</v>
      </c>
      <c r="B685" s="1">
        <v>37</v>
      </c>
      <c r="C685" s="1" t="s">
        <v>511</v>
      </c>
      <c r="D685" s="5">
        <v>43152</v>
      </c>
      <c r="E685" s="1">
        <f t="shared" si="39"/>
        <v>2018</v>
      </c>
      <c r="F685" s="1">
        <f t="shared" si="40"/>
        <v>2</v>
      </c>
      <c r="G685" s="4">
        <f t="shared" si="41"/>
        <v>21</v>
      </c>
      <c r="H685" s="8">
        <v>0.52847222222222223</v>
      </c>
      <c r="I685" s="11">
        <v>125.286</v>
      </c>
      <c r="J685" s="11">
        <v>28.033999999999999</v>
      </c>
      <c r="K685" s="9">
        <v>5</v>
      </c>
      <c r="L685" s="9">
        <v>5</v>
      </c>
      <c r="M685" s="9">
        <v>0</v>
      </c>
      <c r="N685" s="12">
        <v>16.750469000000002</v>
      </c>
      <c r="O685" s="11">
        <v>34.366019999999999</v>
      </c>
      <c r="P685" s="31">
        <v>0.21617374823529389</v>
      </c>
      <c r="Q685" s="31">
        <v>1.0990713529411753</v>
      </c>
      <c r="R685" s="26" t="s">
        <v>280</v>
      </c>
      <c r="S685" s="26"/>
      <c r="T685" s="71" t="s">
        <v>626</v>
      </c>
    </row>
    <row r="686" spans="1:20">
      <c r="A686" s="1" t="s">
        <v>285</v>
      </c>
      <c r="B686" s="1">
        <v>40</v>
      </c>
      <c r="C686" s="1" t="s">
        <v>511</v>
      </c>
      <c r="D686" s="5">
        <v>43152</v>
      </c>
      <c r="E686" s="1">
        <f t="shared" si="39"/>
        <v>2018</v>
      </c>
      <c r="F686" s="1">
        <f t="shared" si="40"/>
        <v>2</v>
      </c>
      <c r="G686" s="4">
        <f t="shared" si="41"/>
        <v>21</v>
      </c>
      <c r="H686" s="8">
        <v>0.72222222222222221</v>
      </c>
      <c r="I686" s="11">
        <v>124.7855</v>
      </c>
      <c r="J686" s="11">
        <v>27.536833333333298</v>
      </c>
      <c r="K686" s="9">
        <v>5</v>
      </c>
      <c r="L686" s="9">
        <v>5</v>
      </c>
      <c r="M686" s="9">
        <v>0</v>
      </c>
      <c r="N686" s="12">
        <v>17.520469000000002</v>
      </c>
      <c r="O686" s="11">
        <v>34.6623533333333</v>
      </c>
      <c r="P686" s="31">
        <v>0.33516027764705947</v>
      </c>
      <c r="Q686" s="31">
        <v>1.585748870588235</v>
      </c>
      <c r="R686" s="26" t="s">
        <v>280</v>
      </c>
      <c r="S686" s="26"/>
      <c r="T686" s="71" t="s">
        <v>626</v>
      </c>
    </row>
    <row r="687" spans="1:20">
      <c r="A687" s="1" t="s">
        <v>285</v>
      </c>
      <c r="B687" s="1">
        <v>41</v>
      </c>
      <c r="C687" s="1" t="s">
        <v>511</v>
      </c>
      <c r="D687" s="5">
        <v>43152</v>
      </c>
      <c r="E687" s="1">
        <f t="shared" si="39"/>
        <v>2018</v>
      </c>
      <c r="F687" s="1">
        <f t="shared" si="40"/>
        <v>2</v>
      </c>
      <c r="G687" s="4">
        <f t="shared" si="41"/>
        <v>21</v>
      </c>
      <c r="H687" s="8">
        <v>0.87986111111111109</v>
      </c>
      <c r="I687" s="11">
        <v>124.293666666666</v>
      </c>
      <c r="J687" s="11">
        <v>27.5</v>
      </c>
      <c r="K687" s="9">
        <v>5</v>
      </c>
      <c r="L687" s="9">
        <v>5</v>
      </c>
      <c r="M687" s="9">
        <v>0</v>
      </c>
      <c r="N687" s="12">
        <v>17.778802333333299</v>
      </c>
      <c r="O687" s="11">
        <v>34.523186666666597</v>
      </c>
      <c r="P687" s="31">
        <v>0.21162016705882336</v>
      </c>
      <c r="Q687" s="31">
        <v>1.1735711882352931</v>
      </c>
      <c r="R687" s="26" t="s">
        <v>280</v>
      </c>
      <c r="S687" s="26"/>
      <c r="T687" s="71" t="s">
        <v>626</v>
      </c>
    </row>
    <row r="688" spans="1:20">
      <c r="A688" s="1" t="s">
        <v>285</v>
      </c>
      <c r="B688" s="1">
        <v>42</v>
      </c>
      <c r="C688" s="1" t="s">
        <v>511</v>
      </c>
      <c r="D688" s="5">
        <v>43152</v>
      </c>
      <c r="E688" s="1">
        <f t="shared" si="39"/>
        <v>2018</v>
      </c>
      <c r="F688" s="1">
        <f t="shared" si="40"/>
        <v>2</v>
      </c>
      <c r="G688" s="4">
        <f t="shared" si="41"/>
        <v>21</v>
      </c>
      <c r="H688" s="8">
        <v>2.6388888888888889E-2</v>
      </c>
      <c r="I688" s="11">
        <v>126.234166666666</v>
      </c>
      <c r="J688" s="11">
        <v>28.986000000000001</v>
      </c>
      <c r="K688" s="9">
        <v>5</v>
      </c>
      <c r="L688" s="9">
        <v>5</v>
      </c>
      <c r="M688" s="9">
        <v>0</v>
      </c>
      <c r="N688" s="12">
        <v>19.153802333333299</v>
      </c>
      <c r="O688" s="11">
        <v>34.678353333333298</v>
      </c>
      <c r="P688" s="31">
        <v>0.30013504000000002</v>
      </c>
      <c r="Q688" s="31">
        <v>1.7263396494117647</v>
      </c>
      <c r="R688" s="26" t="s">
        <v>280</v>
      </c>
      <c r="S688" s="26"/>
      <c r="T688" s="71" t="s">
        <v>626</v>
      </c>
    </row>
    <row r="689" spans="1:20">
      <c r="A689" s="1" t="s">
        <v>285</v>
      </c>
      <c r="B689" s="1">
        <v>43</v>
      </c>
      <c r="C689" s="1" t="s">
        <v>511</v>
      </c>
      <c r="D689" s="5">
        <v>43153</v>
      </c>
      <c r="E689" s="1">
        <f t="shared" si="39"/>
        <v>2018</v>
      </c>
      <c r="F689" s="1">
        <f t="shared" si="40"/>
        <v>2</v>
      </c>
      <c r="G689" s="4">
        <f t="shared" si="41"/>
        <v>22</v>
      </c>
      <c r="H689" s="8">
        <v>0.22013888888888888</v>
      </c>
      <c r="I689" s="11">
        <v>123.28400000000001</v>
      </c>
      <c r="J689" s="11">
        <v>27.035</v>
      </c>
      <c r="K689" s="9">
        <v>5</v>
      </c>
      <c r="L689" s="9">
        <v>5</v>
      </c>
      <c r="M689" s="9">
        <v>0</v>
      </c>
      <c r="N689" s="12">
        <v>20.8138023333333</v>
      </c>
      <c r="O689" s="11">
        <v>34.639853333333299</v>
      </c>
      <c r="P689" s="31">
        <v>0.28723328000000037</v>
      </c>
      <c r="Q689" s="31">
        <v>1.6102991952941181</v>
      </c>
      <c r="R689" s="26" t="s">
        <v>280</v>
      </c>
      <c r="S689" s="26"/>
      <c r="T689" s="71" t="s">
        <v>626</v>
      </c>
    </row>
    <row r="690" spans="1:20">
      <c r="A690" s="1" t="s">
        <v>285</v>
      </c>
      <c r="B690" s="1">
        <v>44</v>
      </c>
      <c r="C690" s="1" t="s">
        <v>511</v>
      </c>
      <c r="D690" s="5">
        <v>43153</v>
      </c>
      <c r="E690" s="1">
        <f t="shared" si="39"/>
        <v>2018</v>
      </c>
      <c r="F690" s="1">
        <f t="shared" si="40"/>
        <v>2</v>
      </c>
      <c r="G690" s="4">
        <f t="shared" si="41"/>
        <v>22</v>
      </c>
      <c r="H690" s="8">
        <v>0.37986111111111115</v>
      </c>
      <c r="I690" s="11">
        <v>123.251</v>
      </c>
      <c r="J690" s="11">
        <v>26.543500000000002</v>
      </c>
      <c r="K690" s="9">
        <v>5</v>
      </c>
      <c r="L690" s="9">
        <v>5</v>
      </c>
      <c r="M690" s="9">
        <v>0</v>
      </c>
      <c r="N690" s="12">
        <v>18.470469000000001</v>
      </c>
      <c r="O690" s="11">
        <v>34.385853333333301</v>
      </c>
      <c r="P690" s="31">
        <v>0.15939520000000029</v>
      </c>
      <c r="Q690" s="31">
        <v>0.92916074117647263</v>
      </c>
      <c r="R690" s="26" t="s">
        <v>280</v>
      </c>
      <c r="S690" s="26"/>
      <c r="T690" s="71" t="s">
        <v>626</v>
      </c>
    </row>
    <row r="691" spans="1:20">
      <c r="A691" s="1" t="s">
        <v>285</v>
      </c>
      <c r="B691" s="1">
        <v>45</v>
      </c>
      <c r="C691" s="1" t="s">
        <v>511</v>
      </c>
      <c r="D691" s="5">
        <v>43153</v>
      </c>
      <c r="E691" s="1">
        <f t="shared" si="39"/>
        <v>2018</v>
      </c>
      <c r="F691" s="1">
        <f t="shared" si="40"/>
        <v>2</v>
      </c>
      <c r="G691" s="4">
        <f t="shared" si="41"/>
        <v>22</v>
      </c>
      <c r="H691" s="8">
        <v>0.5541666666666667</v>
      </c>
      <c r="I691" s="11">
        <v>123.7025</v>
      </c>
      <c r="J691" s="11">
        <v>26.501000000000001</v>
      </c>
      <c r="K691" s="9">
        <v>5</v>
      </c>
      <c r="L691" s="9">
        <v>5</v>
      </c>
      <c r="M691" s="9">
        <v>0</v>
      </c>
      <c r="N691" s="12">
        <v>21.538802333333301</v>
      </c>
      <c r="O691" s="11">
        <v>34.5551866666666</v>
      </c>
      <c r="P691" s="31">
        <v>0.27383296000000024</v>
      </c>
      <c r="Q691" s="31">
        <v>1.3685025670588242</v>
      </c>
      <c r="R691" s="26" t="s">
        <v>280</v>
      </c>
      <c r="S691" s="26"/>
      <c r="T691" s="71" t="s">
        <v>626</v>
      </c>
    </row>
    <row r="692" spans="1:20">
      <c r="A692" s="1" t="s">
        <v>285</v>
      </c>
      <c r="B692" s="1">
        <v>46</v>
      </c>
      <c r="C692" s="1" t="s">
        <v>511</v>
      </c>
      <c r="D692" s="5">
        <v>43153</v>
      </c>
      <c r="E692" s="1">
        <f t="shared" si="39"/>
        <v>2018</v>
      </c>
      <c r="F692" s="1">
        <f t="shared" si="40"/>
        <v>2</v>
      </c>
      <c r="G692" s="4">
        <f t="shared" si="41"/>
        <v>22</v>
      </c>
      <c r="H692" s="8">
        <v>0.74236111111111114</v>
      </c>
      <c r="I692" s="11">
        <v>123.7385</v>
      </c>
      <c r="J692" s="11">
        <v>26.965166666666601</v>
      </c>
      <c r="K692" s="9">
        <v>5</v>
      </c>
      <c r="L692" s="9">
        <v>5</v>
      </c>
      <c r="M692" s="9">
        <v>0</v>
      </c>
      <c r="N692" s="12">
        <v>20.622135666666601</v>
      </c>
      <c r="O692" s="11">
        <v>34.531686666666602</v>
      </c>
      <c r="P692" s="31">
        <v>0.26671936000000041</v>
      </c>
      <c r="Q692" s="31">
        <v>1.5314420729411786</v>
      </c>
      <c r="R692" s="26" t="s">
        <v>280</v>
      </c>
      <c r="S692" s="26"/>
      <c r="T692" s="71" t="s">
        <v>626</v>
      </c>
    </row>
    <row r="693" spans="1:20">
      <c r="A693" s="1" t="s">
        <v>285</v>
      </c>
      <c r="B693" s="1">
        <v>47</v>
      </c>
      <c r="C693" s="1" t="s">
        <v>511</v>
      </c>
      <c r="D693" s="5">
        <v>43153</v>
      </c>
      <c r="E693" s="1">
        <f t="shared" si="39"/>
        <v>2018</v>
      </c>
      <c r="F693" s="1">
        <f t="shared" si="40"/>
        <v>2</v>
      </c>
      <c r="G693" s="4">
        <f t="shared" si="41"/>
        <v>22</v>
      </c>
      <c r="H693" s="8">
        <v>0.90763888888888899</v>
      </c>
      <c r="I693" s="11">
        <v>124.2055</v>
      </c>
      <c r="J693" s="11">
        <v>27.001000000000001</v>
      </c>
      <c r="K693" s="9">
        <v>5</v>
      </c>
      <c r="L693" s="9">
        <v>5</v>
      </c>
      <c r="M693" s="9">
        <v>0</v>
      </c>
      <c r="N693" s="12">
        <v>18.470469000000001</v>
      </c>
      <c r="O693" s="11">
        <v>34.597186666666602</v>
      </c>
      <c r="P693" s="31">
        <v>0.32875359999999998</v>
      </c>
      <c r="Q693" s="31">
        <v>1.4853944588235315</v>
      </c>
      <c r="R693" s="26" t="s">
        <v>280</v>
      </c>
      <c r="S693" s="26"/>
      <c r="T693" s="71" t="s">
        <v>626</v>
      </c>
    </row>
    <row r="694" spans="1:20">
      <c r="A694" s="1" t="s">
        <v>285</v>
      </c>
      <c r="B694" s="1">
        <v>48</v>
      </c>
      <c r="C694" s="1" t="s">
        <v>511</v>
      </c>
      <c r="D694" s="5">
        <v>43154</v>
      </c>
      <c r="E694" s="1">
        <f t="shared" si="39"/>
        <v>2018</v>
      </c>
      <c r="F694" s="1">
        <f t="shared" si="40"/>
        <v>2</v>
      </c>
      <c r="G694" s="4">
        <f t="shared" si="41"/>
        <v>23</v>
      </c>
      <c r="H694" s="8">
        <v>5.6944444444444443E-2</v>
      </c>
      <c r="I694" s="11">
        <v>124.249</v>
      </c>
      <c r="J694" s="11">
        <v>26.5371666666666</v>
      </c>
      <c r="K694" s="9">
        <v>5</v>
      </c>
      <c r="L694" s="9">
        <v>5</v>
      </c>
      <c r="M694" s="9">
        <v>0</v>
      </c>
      <c r="N694" s="12">
        <v>20.470469000000001</v>
      </c>
      <c r="O694" s="11">
        <v>34.630519999999997</v>
      </c>
      <c r="P694" s="31">
        <v>0.29528319999999941</v>
      </c>
      <c r="Q694" s="31">
        <v>1.6275145647058835</v>
      </c>
      <c r="R694" s="26" t="s">
        <v>280</v>
      </c>
      <c r="S694" s="26"/>
      <c r="T694" s="71" t="s">
        <v>626</v>
      </c>
    </row>
    <row r="695" spans="1:20">
      <c r="A695" s="1" t="s">
        <v>285</v>
      </c>
      <c r="B695" s="1">
        <v>49</v>
      </c>
      <c r="C695" s="1" t="s">
        <v>511</v>
      </c>
      <c r="D695" s="5">
        <v>43154</v>
      </c>
      <c r="E695" s="1">
        <f t="shared" si="39"/>
        <v>2018</v>
      </c>
      <c r="F695" s="1">
        <f t="shared" si="40"/>
        <v>2</v>
      </c>
      <c r="G695" s="4">
        <f t="shared" si="41"/>
        <v>23</v>
      </c>
      <c r="H695" s="8">
        <v>0.19444444444444445</v>
      </c>
      <c r="I695" s="11">
        <v>124.700666666666</v>
      </c>
      <c r="J695" s="11">
        <v>26.5</v>
      </c>
      <c r="K695" s="9">
        <v>5</v>
      </c>
      <c r="L695" s="9">
        <v>5</v>
      </c>
      <c r="M695" s="9">
        <v>0</v>
      </c>
      <c r="N695" s="12">
        <v>20.080469000000001</v>
      </c>
      <c r="O695" s="11">
        <v>34.617019999999997</v>
      </c>
      <c r="P695" s="31">
        <v>0.35737216000000038</v>
      </c>
      <c r="Q695" s="31">
        <v>1.8499963882352937</v>
      </c>
      <c r="R695" s="26" t="s">
        <v>280</v>
      </c>
      <c r="S695" s="26"/>
      <c r="T695" s="71" t="s">
        <v>626</v>
      </c>
    </row>
    <row r="696" spans="1:20">
      <c r="A696" s="1" t="s">
        <v>285</v>
      </c>
      <c r="B696" s="1">
        <v>50</v>
      </c>
      <c r="C696" s="1" t="s">
        <v>511</v>
      </c>
      <c r="D696" s="5">
        <v>43154</v>
      </c>
      <c r="E696" s="1">
        <f t="shared" si="39"/>
        <v>2018</v>
      </c>
      <c r="F696" s="1">
        <f t="shared" si="40"/>
        <v>2</v>
      </c>
      <c r="G696" s="4">
        <f t="shared" si="41"/>
        <v>23</v>
      </c>
      <c r="H696" s="8">
        <v>0.38750000000000001</v>
      </c>
      <c r="I696" s="11">
        <v>124.73866666666601</v>
      </c>
      <c r="J696" s="11">
        <v>26.973666666666599</v>
      </c>
      <c r="K696" s="9">
        <v>5</v>
      </c>
      <c r="L696" s="9">
        <v>5</v>
      </c>
      <c r="M696" s="9">
        <v>0</v>
      </c>
      <c r="N696" s="12">
        <v>19.205469000000001</v>
      </c>
      <c r="O696" s="11">
        <v>34.603686666666597</v>
      </c>
      <c r="P696" s="31">
        <v>0.24999936000000011</v>
      </c>
      <c r="Q696" s="31">
        <v>1.5677972941176463</v>
      </c>
      <c r="R696" s="26" t="s">
        <v>280</v>
      </c>
      <c r="S696" s="26"/>
      <c r="T696" s="71" t="s">
        <v>626</v>
      </c>
    </row>
    <row r="697" spans="1:20">
      <c r="A697" s="1" t="s">
        <v>285</v>
      </c>
      <c r="B697" s="1">
        <v>51</v>
      </c>
      <c r="C697" s="1" t="s">
        <v>511</v>
      </c>
      <c r="D697" s="5">
        <v>43154</v>
      </c>
      <c r="E697" s="1">
        <f t="shared" si="39"/>
        <v>2018</v>
      </c>
      <c r="F697" s="1">
        <f t="shared" si="40"/>
        <v>2</v>
      </c>
      <c r="G697" s="4">
        <f t="shared" si="41"/>
        <v>23</v>
      </c>
      <c r="H697" s="8">
        <v>0.5395833333333333</v>
      </c>
      <c r="I697" s="11">
        <v>125.195833333333</v>
      </c>
      <c r="J697" s="11">
        <v>26.998999999999999</v>
      </c>
      <c r="K697" s="9">
        <v>5</v>
      </c>
      <c r="L697" s="9">
        <v>5</v>
      </c>
      <c r="M697" s="9">
        <v>0</v>
      </c>
      <c r="N697" s="12">
        <v>20.480468999999999</v>
      </c>
      <c r="O697" s="11">
        <v>34.580853333333302</v>
      </c>
      <c r="P697" s="31">
        <v>0.2885708800000002</v>
      </c>
      <c r="Q697" s="31">
        <v>1.7265729199999971</v>
      </c>
      <c r="R697" s="26" t="s">
        <v>280</v>
      </c>
      <c r="S697" s="26"/>
      <c r="T697" s="71" t="s">
        <v>626</v>
      </c>
    </row>
    <row r="698" spans="1:20">
      <c r="A698" s="1" t="s">
        <v>285</v>
      </c>
      <c r="B698" s="1">
        <v>39</v>
      </c>
      <c r="C698" s="1" t="s">
        <v>511</v>
      </c>
      <c r="D698" s="5">
        <v>43154</v>
      </c>
      <c r="E698" s="1">
        <f t="shared" si="39"/>
        <v>2018</v>
      </c>
      <c r="F698" s="1">
        <f t="shared" si="40"/>
        <v>2</v>
      </c>
      <c r="G698" s="4">
        <f t="shared" si="41"/>
        <v>23</v>
      </c>
      <c r="H698" s="8">
        <v>0.69444444444444453</v>
      </c>
      <c r="I698" s="11">
        <v>125.25</v>
      </c>
      <c r="J698" s="11">
        <v>27.460999999999999</v>
      </c>
      <c r="K698" s="9">
        <v>5</v>
      </c>
      <c r="L698" s="9">
        <v>5</v>
      </c>
      <c r="M698" s="9">
        <v>0</v>
      </c>
      <c r="N698" s="12">
        <v>18.340469000000002</v>
      </c>
      <c r="O698" s="11">
        <v>34.639020000000002</v>
      </c>
      <c r="P698" s="31">
        <v>0.31039807999999991</v>
      </c>
      <c r="Q698" s="31">
        <v>1.755276865882351</v>
      </c>
      <c r="R698" s="26" t="s">
        <v>280</v>
      </c>
      <c r="S698" s="26"/>
      <c r="T698" s="71" t="s">
        <v>626</v>
      </c>
    </row>
    <row r="699" spans="1:20">
      <c r="A699" s="1" t="s">
        <v>285</v>
      </c>
      <c r="B699" s="1">
        <v>38</v>
      </c>
      <c r="C699" s="1" t="s">
        <v>511</v>
      </c>
      <c r="D699" s="5">
        <v>43154</v>
      </c>
      <c r="E699" s="1">
        <f t="shared" si="39"/>
        <v>2018</v>
      </c>
      <c r="F699" s="1">
        <f t="shared" si="40"/>
        <v>2</v>
      </c>
      <c r="G699" s="4">
        <f t="shared" si="41"/>
        <v>23</v>
      </c>
      <c r="H699" s="8">
        <v>0.82638888888888884</v>
      </c>
      <c r="I699" s="11">
        <v>125.703</v>
      </c>
      <c r="J699" s="11">
        <v>27.501000000000001</v>
      </c>
      <c r="K699" s="9">
        <v>5</v>
      </c>
      <c r="L699" s="9">
        <v>5</v>
      </c>
      <c r="M699" s="9">
        <v>0</v>
      </c>
      <c r="N699" s="12">
        <v>22.1488023333333</v>
      </c>
      <c r="O699" s="11">
        <v>34.567853333333296</v>
      </c>
      <c r="P699" s="31">
        <v>0.29977024000000019</v>
      </c>
      <c r="Q699" s="31">
        <v>1.7126000117647049</v>
      </c>
      <c r="R699" s="26" t="s">
        <v>280</v>
      </c>
      <c r="S699" s="26"/>
      <c r="T699" s="71" t="s">
        <v>626</v>
      </c>
    </row>
    <row r="700" spans="1:20">
      <c r="A700" s="1" t="s">
        <v>285</v>
      </c>
      <c r="B700" s="1">
        <v>36</v>
      </c>
      <c r="C700" s="1" t="s">
        <v>511</v>
      </c>
      <c r="D700" s="5">
        <v>43154</v>
      </c>
      <c r="E700" s="1">
        <f t="shared" si="39"/>
        <v>2018</v>
      </c>
      <c r="F700" s="1">
        <f t="shared" si="40"/>
        <v>2</v>
      </c>
      <c r="G700" s="4">
        <f t="shared" si="41"/>
        <v>23</v>
      </c>
      <c r="H700" s="8">
        <v>0.97430555555555554</v>
      </c>
      <c r="I700" s="11">
        <v>125.749</v>
      </c>
      <c r="J700" s="11">
        <v>27.969333333333299</v>
      </c>
      <c r="K700" s="9">
        <v>5</v>
      </c>
      <c r="L700" s="9">
        <v>5</v>
      </c>
      <c r="M700" s="9">
        <v>0</v>
      </c>
      <c r="N700" s="12">
        <v>16.475469</v>
      </c>
      <c r="O700" s="11">
        <v>34.399353333333302</v>
      </c>
      <c r="P700" s="31">
        <v>0.21265600000000018</v>
      </c>
      <c r="Q700" s="31">
        <v>1.0100473176470608</v>
      </c>
      <c r="R700" s="26" t="s">
        <v>280</v>
      </c>
      <c r="S700" s="26"/>
      <c r="T700" s="71" t="s">
        <v>626</v>
      </c>
    </row>
    <row r="701" spans="1:20">
      <c r="A701" s="1" t="s">
        <v>285</v>
      </c>
      <c r="B701" s="1">
        <v>35</v>
      </c>
      <c r="C701" s="1" t="s">
        <v>511</v>
      </c>
      <c r="D701" s="5">
        <v>43154</v>
      </c>
      <c r="E701" s="1">
        <f t="shared" si="39"/>
        <v>2018</v>
      </c>
      <c r="F701" s="1">
        <f t="shared" si="40"/>
        <v>2</v>
      </c>
      <c r="G701" s="4">
        <f t="shared" si="41"/>
        <v>23</v>
      </c>
      <c r="H701" s="8">
        <v>0.10486111111111111</v>
      </c>
      <c r="I701" s="11">
        <v>124.258166666666</v>
      </c>
      <c r="J701" s="11">
        <v>26.509</v>
      </c>
      <c r="K701" s="9">
        <v>5</v>
      </c>
      <c r="L701" s="9">
        <v>5</v>
      </c>
      <c r="M701" s="9">
        <v>0</v>
      </c>
      <c r="N701" s="12">
        <v>20.4738023333333</v>
      </c>
      <c r="O701" s="11">
        <v>34.625353333333301</v>
      </c>
      <c r="P701" s="31">
        <v>0.28740352000000002</v>
      </c>
      <c r="Q701" s="31">
        <v>1.6327981435294099</v>
      </c>
      <c r="R701" s="26" t="s">
        <v>280</v>
      </c>
      <c r="S701" s="26"/>
      <c r="T701" s="71" t="s">
        <v>626</v>
      </c>
    </row>
    <row r="702" spans="1:20">
      <c r="A702" s="1" t="s">
        <v>285</v>
      </c>
      <c r="B702" s="1">
        <v>28</v>
      </c>
      <c r="C702" s="1" t="s">
        <v>511</v>
      </c>
      <c r="D702" s="5">
        <v>43155</v>
      </c>
      <c r="E702" s="1">
        <f t="shared" si="39"/>
        <v>2018</v>
      </c>
      <c r="F702" s="1">
        <f t="shared" si="40"/>
        <v>2</v>
      </c>
      <c r="G702" s="4">
        <f t="shared" si="41"/>
        <v>24</v>
      </c>
      <c r="H702" s="8">
        <v>0.28680555555555554</v>
      </c>
      <c r="I702" s="11">
        <v>126.71599999999999</v>
      </c>
      <c r="J702" s="11">
        <v>28.463000000000001</v>
      </c>
      <c r="K702" s="9">
        <v>5</v>
      </c>
      <c r="L702" s="9">
        <v>5</v>
      </c>
      <c r="M702" s="9">
        <v>0</v>
      </c>
      <c r="N702" s="12">
        <v>20.428802333333302</v>
      </c>
      <c r="O702" s="11">
        <v>34.654020000000003</v>
      </c>
      <c r="P702" s="31">
        <v>0.34127232000000096</v>
      </c>
      <c r="Q702" s="31">
        <v>1.742796889411764</v>
      </c>
      <c r="R702" s="26" t="s">
        <v>280</v>
      </c>
      <c r="S702" s="26"/>
      <c r="T702" s="71" t="s">
        <v>626</v>
      </c>
    </row>
    <row r="703" spans="1:20">
      <c r="A703" s="1" t="s">
        <v>285</v>
      </c>
      <c r="B703" s="1">
        <v>29</v>
      </c>
      <c r="C703" s="1" t="s">
        <v>511</v>
      </c>
      <c r="D703" s="5">
        <v>43155</v>
      </c>
      <c r="E703" s="1">
        <f t="shared" si="39"/>
        <v>2018</v>
      </c>
      <c r="F703" s="1">
        <f t="shared" si="40"/>
        <v>2</v>
      </c>
      <c r="G703" s="4">
        <f t="shared" si="41"/>
        <v>24</v>
      </c>
      <c r="H703" s="8">
        <v>0.43611111111111112</v>
      </c>
      <c r="I703" s="11">
        <v>127.20050000000001</v>
      </c>
      <c r="J703" s="11">
        <v>28.2745</v>
      </c>
      <c r="K703" s="9">
        <v>5</v>
      </c>
      <c r="L703" s="9">
        <v>5</v>
      </c>
      <c r="M703" s="9">
        <v>0</v>
      </c>
      <c r="N703" s="12">
        <v>22.620469</v>
      </c>
      <c r="O703" s="11">
        <v>34.533519999999903</v>
      </c>
      <c r="P703" s="31">
        <v>0.20879404705882321</v>
      </c>
      <c r="Q703" s="31">
        <v>1.205103832941175</v>
      </c>
      <c r="R703" s="26" t="s">
        <v>280</v>
      </c>
      <c r="S703" s="26"/>
      <c r="T703" s="71" t="s">
        <v>626</v>
      </c>
    </row>
    <row r="704" spans="1:20">
      <c r="A704" s="1" t="s">
        <v>285</v>
      </c>
      <c r="B704" s="1">
        <v>30</v>
      </c>
      <c r="C704" s="1" t="s">
        <v>511</v>
      </c>
      <c r="D704" s="5">
        <v>43155</v>
      </c>
      <c r="E704" s="1">
        <f t="shared" si="39"/>
        <v>2018</v>
      </c>
      <c r="F704" s="1">
        <f t="shared" si="40"/>
        <v>2</v>
      </c>
      <c r="G704" s="4">
        <f t="shared" si="41"/>
        <v>24</v>
      </c>
      <c r="H704" s="8">
        <v>0.56874999999999998</v>
      </c>
      <c r="I704" s="11">
        <v>127.708333333333</v>
      </c>
      <c r="J704" s="11">
        <v>28.251000000000001</v>
      </c>
      <c r="K704" s="9">
        <v>5</v>
      </c>
      <c r="L704" s="9">
        <v>5</v>
      </c>
      <c r="M704" s="9">
        <v>0</v>
      </c>
      <c r="N704" s="12">
        <v>21.910469000000003</v>
      </c>
      <c r="O704" s="11">
        <v>34.630186666666603</v>
      </c>
      <c r="P704" s="31">
        <v>0.32574597647058834</v>
      </c>
      <c r="Q704" s="31">
        <v>1.5771990435294114</v>
      </c>
      <c r="R704" s="26" t="s">
        <v>280</v>
      </c>
      <c r="S704" s="26"/>
      <c r="T704" s="71" t="s">
        <v>626</v>
      </c>
    </row>
    <row r="705" spans="1:20">
      <c r="A705" s="1" t="s">
        <v>285</v>
      </c>
      <c r="B705" s="1">
        <v>31</v>
      </c>
      <c r="C705" s="1" t="s">
        <v>511</v>
      </c>
      <c r="D705" s="5">
        <v>43155</v>
      </c>
      <c r="E705" s="1">
        <f t="shared" si="39"/>
        <v>2018</v>
      </c>
      <c r="F705" s="1">
        <f t="shared" si="40"/>
        <v>2</v>
      </c>
      <c r="G705" s="4">
        <f t="shared" si="41"/>
        <v>24</v>
      </c>
      <c r="H705" s="8">
        <v>0.70347222222222217</v>
      </c>
      <c r="I705" s="11">
        <v>128.198833333333</v>
      </c>
      <c r="J705" s="11">
        <v>28.25</v>
      </c>
      <c r="K705" s="9">
        <v>5</v>
      </c>
      <c r="L705" s="9">
        <v>5</v>
      </c>
      <c r="M705" s="9">
        <v>0</v>
      </c>
      <c r="N705" s="12">
        <v>21.048802333333303</v>
      </c>
      <c r="O705" s="11">
        <v>34.806519999999999</v>
      </c>
      <c r="P705" s="31">
        <v>0.31732070588235306</v>
      </c>
      <c r="Q705" s="31">
        <v>1.8512747341176468</v>
      </c>
      <c r="R705" s="26" t="s">
        <v>280</v>
      </c>
      <c r="S705" s="26"/>
      <c r="T705" s="71" t="s">
        <v>626</v>
      </c>
    </row>
    <row r="706" spans="1:20">
      <c r="A706" s="1" t="s">
        <v>285</v>
      </c>
      <c r="B706" s="1">
        <v>32</v>
      </c>
      <c r="C706" s="1" t="s">
        <v>511</v>
      </c>
      <c r="D706" s="5">
        <v>43155</v>
      </c>
      <c r="E706" s="1">
        <f t="shared" si="39"/>
        <v>2018</v>
      </c>
      <c r="F706" s="1">
        <f t="shared" si="40"/>
        <v>2</v>
      </c>
      <c r="G706" s="4">
        <f t="shared" si="41"/>
        <v>24</v>
      </c>
      <c r="H706" s="8">
        <v>0.8881944444444444</v>
      </c>
      <c r="I706" s="11">
        <v>127.787333333333</v>
      </c>
      <c r="J706" s="11">
        <v>27.7871666666666</v>
      </c>
      <c r="K706" s="9">
        <v>5</v>
      </c>
      <c r="L706" s="9">
        <v>5</v>
      </c>
      <c r="M706" s="9">
        <v>0</v>
      </c>
      <c r="N706" s="12">
        <v>22.180469000000002</v>
      </c>
      <c r="O706" s="11">
        <v>34.561353333333301</v>
      </c>
      <c r="P706" s="31">
        <v>0.2953522352941178</v>
      </c>
      <c r="Q706" s="31">
        <v>1.6283361247058803</v>
      </c>
      <c r="R706" s="26" t="s">
        <v>280</v>
      </c>
      <c r="S706" s="26"/>
      <c r="T706" s="71" t="s">
        <v>626</v>
      </c>
    </row>
    <row r="707" spans="1:20">
      <c r="A707" s="1" t="s">
        <v>285</v>
      </c>
      <c r="B707" s="1">
        <v>33</v>
      </c>
      <c r="C707" s="1" t="s">
        <v>511</v>
      </c>
      <c r="D707" s="5">
        <v>43156</v>
      </c>
      <c r="E707" s="1">
        <f t="shared" ref="E707:E770" si="42">YEAR(D707)</f>
        <v>2018</v>
      </c>
      <c r="F707" s="1">
        <f t="shared" ref="F707:F770" si="43">MONTH(D707)</f>
        <v>2</v>
      </c>
      <c r="G707" s="4">
        <f t="shared" ref="G707:G770" si="44">DAY(D707)</f>
        <v>25</v>
      </c>
      <c r="H707" s="8">
        <v>3.6111111111111115E-2</v>
      </c>
      <c r="I707" s="11">
        <v>127.29600000000001</v>
      </c>
      <c r="J707" s="11">
        <v>27.751000000000001</v>
      </c>
      <c r="K707" s="9">
        <v>5</v>
      </c>
      <c r="L707" s="9">
        <v>5</v>
      </c>
      <c r="M707" s="9">
        <v>0</v>
      </c>
      <c r="N707" s="12">
        <v>21.245469</v>
      </c>
      <c r="O707" s="11">
        <v>34.817520000000002</v>
      </c>
      <c r="P707" s="31">
        <v>0.35546376470588292</v>
      </c>
      <c r="Q707" s="31">
        <v>2.0575435152941157</v>
      </c>
      <c r="R707" s="26" t="s">
        <v>280</v>
      </c>
      <c r="S707" s="26"/>
      <c r="T707" s="71" t="s">
        <v>626</v>
      </c>
    </row>
    <row r="708" spans="1:20">
      <c r="A708" s="1" t="s">
        <v>285</v>
      </c>
      <c r="B708" s="1">
        <v>34</v>
      </c>
      <c r="C708" s="1" t="s">
        <v>511</v>
      </c>
      <c r="D708" s="5">
        <v>43156</v>
      </c>
      <c r="E708" s="1">
        <f t="shared" si="42"/>
        <v>2018</v>
      </c>
      <c r="F708" s="1">
        <f t="shared" si="43"/>
        <v>2</v>
      </c>
      <c r="G708" s="4">
        <f t="shared" si="44"/>
        <v>25</v>
      </c>
      <c r="H708" s="8">
        <v>0.19930555555555554</v>
      </c>
      <c r="I708" s="11">
        <v>126.797333333333</v>
      </c>
      <c r="J708" s="11">
        <v>27.751000000000001</v>
      </c>
      <c r="K708" s="9">
        <v>5</v>
      </c>
      <c r="L708" s="9">
        <v>5</v>
      </c>
      <c r="M708" s="9">
        <v>0</v>
      </c>
      <c r="N708" s="12">
        <v>22.477135666666602</v>
      </c>
      <c r="O708" s="11">
        <v>34.595186666666599</v>
      </c>
      <c r="P708" s="31">
        <v>0.30579329411764711</v>
      </c>
      <c r="Q708" s="31">
        <v>1.4134766858823529</v>
      </c>
      <c r="R708" s="26" t="s">
        <v>280</v>
      </c>
      <c r="S708" s="26"/>
      <c r="T708" s="71" t="s">
        <v>626</v>
      </c>
    </row>
    <row r="709" spans="1:20">
      <c r="A709" s="1" t="s">
        <v>285</v>
      </c>
      <c r="B709" s="1">
        <v>58</v>
      </c>
      <c r="C709" s="1" t="s">
        <v>511</v>
      </c>
      <c r="D709" s="5">
        <v>43156</v>
      </c>
      <c r="E709" s="1">
        <f t="shared" si="42"/>
        <v>2018</v>
      </c>
      <c r="F709" s="1">
        <f t="shared" si="43"/>
        <v>2</v>
      </c>
      <c r="G709" s="4">
        <f t="shared" si="44"/>
        <v>25</v>
      </c>
      <c r="H709" s="8">
        <v>0.4069444444444445</v>
      </c>
      <c r="I709" s="11">
        <v>126.75</v>
      </c>
      <c r="J709" s="11">
        <v>27.287500000000001</v>
      </c>
      <c r="K709" s="9">
        <v>5</v>
      </c>
      <c r="L709" s="9">
        <v>5</v>
      </c>
      <c r="M709" s="9">
        <v>0</v>
      </c>
      <c r="N709" s="12">
        <v>22.480468999999999</v>
      </c>
      <c r="O709" s="11">
        <v>34.607686666666602</v>
      </c>
      <c r="P709" s="31">
        <v>0.33491962352941229</v>
      </c>
      <c r="Q709" s="31">
        <v>1.8418935964705874</v>
      </c>
      <c r="R709" s="26" t="s">
        <v>280</v>
      </c>
      <c r="S709" s="26"/>
      <c r="T709" s="71" t="s">
        <v>626</v>
      </c>
    </row>
    <row r="710" spans="1:20">
      <c r="A710" s="1" t="s">
        <v>285</v>
      </c>
      <c r="B710" s="1">
        <v>57</v>
      </c>
      <c r="C710" s="1" t="s">
        <v>511</v>
      </c>
      <c r="D710" s="5">
        <v>43156</v>
      </c>
      <c r="E710" s="1">
        <f t="shared" si="42"/>
        <v>2018</v>
      </c>
      <c r="F710" s="1">
        <f t="shared" si="43"/>
        <v>2</v>
      </c>
      <c r="G710" s="4">
        <f t="shared" si="44"/>
        <v>25</v>
      </c>
      <c r="H710" s="8">
        <v>0.57500000000000007</v>
      </c>
      <c r="I710" s="11">
        <v>126.2975</v>
      </c>
      <c r="J710" s="11">
        <v>27.25</v>
      </c>
      <c r="K710" s="9">
        <v>5</v>
      </c>
      <c r="L710" s="9">
        <v>5</v>
      </c>
      <c r="M710" s="9">
        <v>0</v>
      </c>
      <c r="N710" s="12">
        <v>23.060469000000001</v>
      </c>
      <c r="O710" s="11">
        <v>34.455353333333299</v>
      </c>
      <c r="P710" s="31">
        <v>0.19225734117647075</v>
      </c>
      <c r="Q710" s="31">
        <v>1.1821450388235295</v>
      </c>
      <c r="R710" s="26" t="s">
        <v>280</v>
      </c>
      <c r="S710" s="26"/>
      <c r="T710" s="71" t="s">
        <v>626</v>
      </c>
    </row>
    <row r="711" spans="1:20">
      <c r="A711" s="1" t="s">
        <v>285</v>
      </c>
      <c r="B711" s="1">
        <v>56</v>
      </c>
      <c r="C711" s="1" t="s">
        <v>511</v>
      </c>
      <c r="D711" s="5">
        <v>43156</v>
      </c>
      <c r="E711" s="1">
        <f t="shared" si="42"/>
        <v>2018</v>
      </c>
      <c r="F711" s="1">
        <f t="shared" si="43"/>
        <v>2</v>
      </c>
      <c r="G711" s="4">
        <f t="shared" si="44"/>
        <v>25</v>
      </c>
      <c r="H711" s="8">
        <v>0.74930555555555556</v>
      </c>
      <c r="I711" s="11">
        <v>126.25</v>
      </c>
      <c r="J711" s="11">
        <v>26.792999999999999</v>
      </c>
      <c r="K711" s="9">
        <v>5</v>
      </c>
      <c r="L711" s="9">
        <v>5</v>
      </c>
      <c r="M711" s="9">
        <v>0</v>
      </c>
      <c r="N711" s="12">
        <v>23.400469000000001</v>
      </c>
      <c r="O711" s="11">
        <v>34.423686666666597</v>
      </c>
      <c r="P711" s="31">
        <v>0.21974207058823536</v>
      </c>
      <c r="Q711" s="31">
        <v>1.1099904894117625</v>
      </c>
      <c r="R711" s="26" t="s">
        <v>280</v>
      </c>
      <c r="S711" s="26"/>
      <c r="T711" s="71" t="s">
        <v>626</v>
      </c>
    </row>
    <row r="712" spans="1:20">
      <c r="A712" s="1" t="s">
        <v>285</v>
      </c>
      <c r="B712" s="1">
        <v>59</v>
      </c>
      <c r="C712" s="1" t="s">
        <v>511</v>
      </c>
      <c r="D712" s="5">
        <v>43156</v>
      </c>
      <c r="E712" s="1">
        <f t="shared" si="42"/>
        <v>2018</v>
      </c>
      <c r="F712" s="1">
        <f t="shared" si="43"/>
        <v>2</v>
      </c>
      <c r="G712" s="4">
        <f t="shared" si="44"/>
        <v>25</v>
      </c>
      <c r="H712" s="8">
        <v>0.90416666666666667</v>
      </c>
      <c r="I712" s="11">
        <v>126.716166666666</v>
      </c>
      <c r="J712" s="11">
        <v>26.748999999999999</v>
      </c>
      <c r="K712" s="9">
        <v>5</v>
      </c>
      <c r="L712" s="9">
        <v>5</v>
      </c>
      <c r="M712" s="9">
        <v>0</v>
      </c>
      <c r="N712" s="12">
        <v>22.310469000000001</v>
      </c>
      <c r="O712" s="11">
        <v>34.6116866666666</v>
      </c>
      <c r="P712" s="31">
        <v>0.24763719999999978</v>
      </c>
      <c r="Q712" s="31">
        <v>1.3783351999999969</v>
      </c>
      <c r="R712" s="26" t="s">
        <v>280</v>
      </c>
      <c r="S712" s="26"/>
      <c r="T712" s="71" t="s">
        <v>626</v>
      </c>
    </row>
    <row r="713" spans="1:20">
      <c r="A713" s="1" t="s">
        <v>285</v>
      </c>
      <c r="B713" s="1">
        <v>55</v>
      </c>
      <c r="C713" s="1" t="s">
        <v>511</v>
      </c>
      <c r="D713" s="5">
        <v>43157</v>
      </c>
      <c r="E713" s="1">
        <f t="shared" si="42"/>
        <v>2018</v>
      </c>
      <c r="F713" s="1">
        <f t="shared" si="43"/>
        <v>2</v>
      </c>
      <c r="G713" s="4">
        <f t="shared" si="44"/>
        <v>26</v>
      </c>
      <c r="H713" s="8">
        <v>8.5416666666666655E-2</v>
      </c>
      <c r="I713" s="11">
        <v>126.284714285714</v>
      </c>
      <c r="J713" s="11">
        <v>26.276714285714199</v>
      </c>
      <c r="K713" s="9">
        <v>5</v>
      </c>
      <c r="L713" s="9">
        <v>5</v>
      </c>
      <c r="M713" s="9">
        <v>0</v>
      </c>
      <c r="N713" s="12">
        <v>22.9518975714285</v>
      </c>
      <c r="O713" s="11">
        <v>34.535734285714199</v>
      </c>
      <c r="P713" s="31">
        <v>0.1930419294117649</v>
      </c>
      <c r="Q713" s="31">
        <v>1.1704157105882356</v>
      </c>
      <c r="R713" s="26" t="s">
        <v>280</v>
      </c>
      <c r="S713" s="26"/>
      <c r="T713" s="71" t="s">
        <v>626</v>
      </c>
    </row>
    <row r="714" spans="1:20">
      <c r="A714" s="1" t="s">
        <v>285</v>
      </c>
      <c r="B714" s="1">
        <v>54</v>
      </c>
      <c r="C714" s="1" t="s">
        <v>511</v>
      </c>
      <c r="D714" s="5">
        <v>43157</v>
      </c>
      <c r="E714" s="1">
        <f t="shared" si="42"/>
        <v>2018</v>
      </c>
      <c r="F714" s="1">
        <f t="shared" si="43"/>
        <v>2</v>
      </c>
      <c r="G714" s="4">
        <f t="shared" si="44"/>
        <v>26</v>
      </c>
      <c r="H714" s="8">
        <v>0.2388888888888889</v>
      </c>
      <c r="I714" s="11">
        <v>125.7885</v>
      </c>
      <c r="J714" s="11">
        <v>26.25</v>
      </c>
      <c r="K714" s="9">
        <v>5</v>
      </c>
      <c r="L714" s="9">
        <v>5</v>
      </c>
      <c r="M714" s="9">
        <v>0</v>
      </c>
      <c r="N714" s="12">
        <v>22.132135666666603</v>
      </c>
      <c r="O714" s="11">
        <v>34.674853333333303</v>
      </c>
      <c r="P714" s="31">
        <v>0.35493265882352976</v>
      </c>
      <c r="Q714" s="31">
        <v>1.66661628117647</v>
      </c>
      <c r="R714" s="26" t="s">
        <v>280</v>
      </c>
      <c r="S714" s="26"/>
      <c r="T714" s="71" t="s">
        <v>626</v>
      </c>
    </row>
    <row r="715" spans="1:20">
      <c r="A715" s="1" t="s">
        <v>285</v>
      </c>
      <c r="B715" s="1">
        <v>53</v>
      </c>
      <c r="C715" s="1" t="s">
        <v>511</v>
      </c>
      <c r="D715" s="5">
        <v>43157</v>
      </c>
      <c r="E715" s="1">
        <f t="shared" si="42"/>
        <v>2018</v>
      </c>
      <c r="F715" s="1">
        <f t="shared" si="43"/>
        <v>2</v>
      </c>
      <c r="G715" s="4">
        <f t="shared" si="44"/>
        <v>26</v>
      </c>
      <c r="H715" s="8">
        <v>0.45</v>
      </c>
      <c r="I715" s="11">
        <v>125.2775</v>
      </c>
      <c r="J715" s="11">
        <v>26.219333333333299</v>
      </c>
      <c r="K715" s="9">
        <v>5</v>
      </c>
      <c r="L715" s="9">
        <v>5</v>
      </c>
      <c r="M715" s="9">
        <v>0</v>
      </c>
      <c r="N715" s="12">
        <v>23.4321356666666</v>
      </c>
      <c r="O715" s="11">
        <v>34.447853333333299</v>
      </c>
      <c r="P715" s="31">
        <v>0.21456378823529398</v>
      </c>
      <c r="Q715" s="31">
        <v>1.1227427917647042</v>
      </c>
      <c r="R715" s="26" t="s">
        <v>280</v>
      </c>
      <c r="S715" s="26"/>
      <c r="T715" s="71" t="s">
        <v>626</v>
      </c>
    </row>
    <row r="716" spans="1:20">
      <c r="A716" s="1" t="s">
        <v>285</v>
      </c>
      <c r="B716" s="1">
        <v>52</v>
      </c>
      <c r="C716" s="1" t="s">
        <v>511</v>
      </c>
      <c r="D716" s="5">
        <v>43157</v>
      </c>
      <c r="E716" s="1">
        <f t="shared" si="42"/>
        <v>2018</v>
      </c>
      <c r="F716" s="1">
        <f t="shared" si="43"/>
        <v>2</v>
      </c>
      <c r="G716" s="4">
        <f t="shared" si="44"/>
        <v>26</v>
      </c>
      <c r="H716" s="8">
        <v>0.66041666666666665</v>
      </c>
      <c r="I716" s="11">
        <v>125.73033333333299</v>
      </c>
      <c r="J716" s="11">
        <v>26.719833333333298</v>
      </c>
      <c r="K716" s="9">
        <v>5</v>
      </c>
      <c r="L716" s="9">
        <v>5</v>
      </c>
      <c r="M716" s="9">
        <v>0</v>
      </c>
      <c r="N716" s="12">
        <v>22.725469</v>
      </c>
      <c r="O716" s="11">
        <v>34.5551866666666</v>
      </c>
      <c r="P716" s="31">
        <v>0.34505891764705865</v>
      </c>
      <c r="Q716" s="31">
        <v>1.4061066223529401</v>
      </c>
      <c r="R716" s="26" t="s">
        <v>280</v>
      </c>
      <c r="S716" s="26"/>
      <c r="T716" s="71" t="s">
        <v>626</v>
      </c>
    </row>
    <row r="717" spans="1:20">
      <c r="A717" s="1" t="s">
        <v>288</v>
      </c>
      <c r="B717" s="1">
        <v>32</v>
      </c>
      <c r="C717" s="1" t="s">
        <v>511</v>
      </c>
      <c r="D717" s="5">
        <v>43205</v>
      </c>
      <c r="E717" s="1">
        <f t="shared" si="42"/>
        <v>2018</v>
      </c>
      <c r="F717" s="1">
        <f t="shared" si="43"/>
        <v>4</v>
      </c>
      <c r="G717" s="4">
        <f t="shared" si="44"/>
        <v>15</v>
      </c>
      <c r="H717" s="8">
        <v>0.77222222222222225</v>
      </c>
      <c r="I717" s="11">
        <v>126.752</v>
      </c>
      <c r="J717" s="11">
        <v>30.298833333333299</v>
      </c>
      <c r="K717" s="9">
        <v>5</v>
      </c>
      <c r="L717" s="9">
        <v>5</v>
      </c>
      <c r="M717" s="9">
        <v>0</v>
      </c>
      <c r="N717" s="12">
        <v>15.2533333333333</v>
      </c>
      <c r="O717" s="11">
        <v>34.288519999999998</v>
      </c>
      <c r="P717" s="31">
        <v>0.15029697058823488</v>
      </c>
      <c r="Q717" s="31">
        <v>1.0246466447058822</v>
      </c>
      <c r="R717" s="26" t="s">
        <v>280</v>
      </c>
      <c r="S717" s="26"/>
      <c r="T717" s="71" t="s">
        <v>626</v>
      </c>
    </row>
    <row r="718" spans="1:20">
      <c r="A718" s="1" t="s">
        <v>288</v>
      </c>
      <c r="B718" s="1">
        <v>33</v>
      </c>
      <c r="C718" s="1" t="s">
        <v>510</v>
      </c>
      <c r="D718" s="5">
        <v>43205</v>
      </c>
      <c r="E718" s="1">
        <f t="shared" si="42"/>
        <v>2018</v>
      </c>
      <c r="F718" s="1">
        <f t="shared" si="43"/>
        <v>4</v>
      </c>
      <c r="G718" s="4">
        <f t="shared" si="44"/>
        <v>15</v>
      </c>
      <c r="H718" s="8">
        <v>0.92222222222222217</v>
      </c>
      <c r="I718" s="11">
        <v>127.199</v>
      </c>
      <c r="J718" s="11">
        <v>30.248000000000001</v>
      </c>
      <c r="K718" s="9">
        <v>5</v>
      </c>
      <c r="L718" s="9">
        <v>5</v>
      </c>
      <c r="M718" s="9">
        <v>0</v>
      </c>
      <c r="N718" s="12">
        <v>16.9233333333333</v>
      </c>
      <c r="O718" s="11">
        <v>34.308853333333303</v>
      </c>
      <c r="P718" s="31">
        <v>0.16072118235294108</v>
      </c>
      <c r="Q718" s="31">
        <v>1.0279430588235297</v>
      </c>
      <c r="R718" s="26" t="s">
        <v>280</v>
      </c>
      <c r="S718" s="26"/>
      <c r="T718" s="71" t="s">
        <v>626</v>
      </c>
    </row>
    <row r="719" spans="1:20">
      <c r="A719" s="1" t="s">
        <v>288</v>
      </c>
      <c r="B719" s="1">
        <v>34</v>
      </c>
      <c r="C719" s="1" t="s">
        <v>510</v>
      </c>
      <c r="D719" s="5">
        <v>43206</v>
      </c>
      <c r="E719" s="1">
        <f t="shared" si="42"/>
        <v>2018</v>
      </c>
      <c r="F719" s="1">
        <f t="shared" si="43"/>
        <v>4</v>
      </c>
      <c r="G719" s="4">
        <f t="shared" si="44"/>
        <v>16</v>
      </c>
      <c r="H719" s="8">
        <v>5.9027777777777783E-2</v>
      </c>
      <c r="I719" s="11">
        <v>127.699666666666</v>
      </c>
      <c r="J719" s="11">
        <v>30.247</v>
      </c>
      <c r="K719" s="9">
        <v>5</v>
      </c>
      <c r="L719" s="9">
        <v>5</v>
      </c>
      <c r="M719" s="9">
        <v>0</v>
      </c>
      <c r="N719" s="12">
        <v>20.4583333333333</v>
      </c>
      <c r="O719" s="11">
        <v>34.424019999999999</v>
      </c>
      <c r="P719" s="31">
        <v>0.2537754541176469</v>
      </c>
      <c r="Q719" s="31">
        <v>1.4489489129411801</v>
      </c>
      <c r="R719" s="26" t="s">
        <v>280</v>
      </c>
      <c r="S719" s="26"/>
      <c r="T719" s="71" t="s">
        <v>626</v>
      </c>
    </row>
    <row r="720" spans="1:20">
      <c r="A720" s="1" t="s">
        <v>288</v>
      </c>
      <c r="B720" s="1">
        <v>35</v>
      </c>
      <c r="C720" s="1" t="s">
        <v>510</v>
      </c>
      <c r="D720" s="5">
        <v>43206</v>
      </c>
      <c r="E720" s="1">
        <f t="shared" si="42"/>
        <v>2018</v>
      </c>
      <c r="F720" s="1">
        <f t="shared" si="43"/>
        <v>4</v>
      </c>
      <c r="G720" s="4">
        <f t="shared" si="44"/>
        <v>16</v>
      </c>
      <c r="H720" s="8">
        <v>0.20972222222222223</v>
      </c>
      <c r="I720" s="11">
        <v>128.206666666666</v>
      </c>
      <c r="J720" s="11">
        <v>30.248999999999999</v>
      </c>
      <c r="K720" s="9">
        <v>5</v>
      </c>
      <c r="L720" s="9">
        <v>5</v>
      </c>
      <c r="M720" s="9">
        <v>0</v>
      </c>
      <c r="N720" s="12">
        <v>21.021666666666601</v>
      </c>
      <c r="O720" s="11">
        <v>34.243686666666598</v>
      </c>
      <c r="P720" s="31">
        <v>0.15210302588235325</v>
      </c>
      <c r="Q720" s="31">
        <v>0.98048404705882497</v>
      </c>
      <c r="R720" s="26" t="s">
        <v>280</v>
      </c>
      <c r="S720" s="26"/>
      <c r="T720" s="71" t="s">
        <v>626</v>
      </c>
    </row>
    <row r="721" spans="1:20">
      <c r="A721" s="1" t="s">
        <v>288</v>
      </c>
      <c r="B721" s="1">
        <v>36</v>
      </c>
      <c r="C721" s="1" t="s">
        <v>510</v>
      </c>
      <c r="D721" s="5">
        <v>43206</v>
      </c>
      <c r="E721" s="1">
        <f t="shared" si="42"/>
        <v>2018</v>
      </c>
      <c r="F721" s="1">
        <f t="shared" si="43"/>
        <v>4</v>
      </c>
      <c r="G721" s="4">
        <f t="shared" si="44"/>
        <v>16</v>
      </c>
      <c r="H721" s="8">
        <v>0.3520833333333333</v>
      </c>
      <c r="I721" s="11">
        <v>128.690666666666</v>
      </c>
      <c r="J721" s="11">
        <v>30.25</v>
      </c>
      <c r="K721" s="9">
        <v>5</v>
      </c>
      <c r="L721" s="9">
        <v>5</v>
      </c>
      <c r="M721" s="9">
        <v>0</v>
      </c>
      <c r="N721" s="12">
        <v>23.523333333333301</v>
      </c>
      <c r="O721" s="11">
        <v>34.5283533333333</v>
      </c>
      <c r="P721" s="31">
        <v>0.23073309764705896</v>
      </c>
      <c r="Q721" s="31">
        <v>1.5386067011764712</v>
      </c>
      <c r="R721" s="26" t="s">
        <v>280</v>
      </c>
      <c r="S721" s="26"/>
      <c r="T721" s="71" t="s">
        <v>626</v>
      </c>
    </row>
    <row r="722" spans="1:20">
      <c r="A722" s="1" t="s">
        <v>288</v>
      </c>
      <c r="B722" s="1">
        <v>37</v>
      </c>
      <c r="C722" s="1" t="s">
        <v>510</v>
      </c>
      <c r="D722" s="5">
        <v>43206</v>
      </c>
      <c r="E722" s="1">
        <f t="shared" si="42"/>
        <v>2018</v>
      </c>
      <c r="F722" s="1">
        <f t="shared" si="43"/>
        <v>4</v>
      </c>
      <c r="G722" s="4">
        <f t="shared" si="44"/>
        <v>16</v>
      </c>
      <c r="H722" s="8">
        <v>0.57013888888888886</v>
      </c>
      <c r="I722" s="11">
        <v>128.28483333333301</v>
      </c>
      <c r="J722" s="11">
        <v>29.781333333333301</v>
      </c>
      <c r="K722" s="9">
        <v>5</v>
      </c>
      <c r="L722" s="9">
        <v>5</v>
      </c>
      <c r="M722" s="9">
        <v>0</v>
      </c>
      <c r="N722" s="12">
        <v>20.691666666666599</v>
      </c>
      <c r="O722" s="11">
        <v>34.411686666666597</v>
      </c>
      <c r="P722" s="31">
        <v>0.25826028941176493</v>
      </c>
      <c r="Q722" s="31">
        <v>1.5401146352941204</v>
      </c>
      <c r="R722" s="26" t="s">
        <v>280</v>
      </c>
      <c r="S722" s="26"/>
      <c r="T722" s="71" t="s">
        <v>626</v>
      </c>
    </row>
    <row r="723" spans="1:20">
      <c r="A723" s="1" t="s">
        <v>288</v>
      </c>
      <c r="B723" s="1">
        <v>38</v>
      </c>
      <c r="C723" s="1" t="s">
        <v>510</v>
      </c>
      <c r="D723" s="5">
        <v>43206</v>
      </c>
      <c r="E723" s="1">
        <f t="shared" si="42"/>
        <v>2018</v>
      </c>
      <c r="F723" s="1">
        <f t="shared" si="43"/>
        <v>4</v>
      </c>
      <c r="G723" s="4">
        <f t="shared" si="44"/>
        <v>16</v>
      </c>
      <c r="H723" s="8">
        <v>0.72430555555555554</v>
      </c>
      <c r="I723" s="11">
        <v>127.791666666666</v>
      </c>
      <c r="J723" s="11">
        <v>29.75</v>
      </c>
      <c r="K723" s="9">
        <v>5</v>
      </c>
      <c r="L723" s="9">
        <v>5</v>
      </c>
      <c r="M723" s="9">
        <v>0</v>
      </c>
      <c r="N723" s="12">
        <v>17.531666666666599</v>
      </c>
      <c r="O723" s="11">
        <v>33.819020000000002</v>
      </c>
      <c r="P723" s="31">
        <v>9.63698564705886E-2</v>
      </c>
      <c r="Q723" s="31">
        <v>0.20399149176470921</v>
      </c>
      <c r="R723" s="26" t="s">
        <v>280</v>
      </c>
      <c r="S723" s="26"/>
      <c r="T723" s="71" t="s">
        <v>626</v>
      </c>
    </row>
    <row r="724" spans="1:20">
      <c r="A724" s="1" t="s">
        <v>288</v>
      </c>
      <c r="B724" s="1">
        <v>39</v>
      </c>
      <c r="C724" s="1" t="s">
        <v>510</v>
      </c>
      <c r="D724" s="5">
        <v>43206</v>
      </c>
      <c r="E724" s="1">
        <f t="shared" si="42"/>
        <v>2018</v>
      </c>
      <c r="F724" s="1">
        <f t="shared" si="43"/>
        <v>4</v>
      </c>
      <c r="G724" s="4">
        <f t="shared" si="44"/>
        <v>16</v>
      </c>
      <c r="H724" s="8">
        <v>0.87986111111111109</v>
      </c>
      <c r="I724" s="11">
        <v>127.28616666666601</v>
      </c>
      <c r="J724" s="11">
        <v>29.751333333333299</v>
      </c>
      <c r="K724" s="9">
        <v>5</v>
      </c>
      <c r="L724" s="9">
        <v>5</v>
      </c>
      <c r="M724" s="9">
        <v>0</v>
      </c>
      <c r="N724" s="12">
        <v>17.761666666666599</v>
      </c>
      <c r="O724" s="11">
        <v>34.312519999999999</v>
      </c>
      <c r="P724" s="31">
        <v>0.17953324823529448</v>
      </c>
      <c r="Q724" s="31">
        <v>1.1629323858823533</v>
      </c>
      <c r="R724" s="26" t="s">
        <v>280</v>
      </c>
      <c r="S724" s="26"/>
      <c r="T724" s="71" t="s">
        <v>626</v>
      </c>
    </row>
    <row r="725" spans="1:20">
      <c r="A725" s="1" t="s">
        <v>288</v>
      </c>
      <c r="B725" s="1">
        <v>40</v>
      </c>
      <c r="C725" s="1" t="s">
        <v>510</v>
      </c>
      <c r="D725" s="5">
        <v>43207</v>
      </c>
      <c r="E725" s="1">
        <f t="shared" si="42"/>
        <v>2018</v>
      </c>
      <c r="F725" s="1">
        <f t="shared" si="43"/>
        <v>4</v>
      </c>
      <c r="G725" s="4">
        <f t="shared" si="44"/>
        <v>17</v>
      </c>
      <c r="H725" s="8">
        <v>2.7083333333333334E-2</v>
      </c>
      <c r="I725" s="11">
        <v>126.794666666666</v>
      </c>
      <c r="J725" s="11">
        <v>29.75</v>
      </c>
      <c r="K725" s="9">
        <v>5</v>
      </c>
      <c r="L725" s="9">
        <v>5</v>
      </c>
      <c r="M725" s="9">
        <v>0</v>
      </c>
      <c r="N725" s="12">
        <v>16.309999999999999</v>
      </c>
      <c r="O725" s="11">
        <v>34.038186666666597</v>
      </c>
      <c r="P725" s="31">
        <v>6.1582079999999761E-2</v>
      </c>
      <c r="Q725" s="31">
        <v>0.39857344000000161</v>
      </c>
      <c r="R725" s="26" t="s">
        <v>280</v>
      </c>
      <c r="S725" s="26"/>
      <c r="T725" s="71" t="s">
        <v>626</v>
      </c>
    </row>
    <row r="726" spans="1:20">
      <c r="A726" s="1" t="s">
        <v>288</v>
      </c>
      <c r="B726" s="1">
        <v>41</v>
      </c>
      <c r="C726" s="1" t="s">
        <v>510</v>
      </c>
      <c r="D726" s="5">
        <v>43207</v>
      </c>
      <c r="E726" s="1">
        <f t="shared" si="42"/>
        <v>2018</v>
      </c>
      <c r="F726" s="1">
        <f t="shared" si="43"/>
        <v>4</v>
      </c>
      <c r="G726" s="4">
        <f t="shared" si="44"/>
        <v>17</v>
      </c>
      <c r="H726" s="8">
        <v>0.17083333333333331</v>
      </c>
      <c r="I726" s="11">
        <v>126.751</v>
      </c>
      <c r="J726" s="11">
        <v>29.294499999999999</v>
      </c>
      <c r="K726" s="9">
        <v>5</v>
      </c>
      <c r="L726" s="9">
        <v>5</v>
      </c>
      <c r="M726" s="9">
        <v>0</v>
      </c>
      <c r="N726" s="12">
        <v>21.274999999999999</v>
      </c>
      <c r="O726" s="11">
        <v>34.458353333333299</v>
      </c>
      <c r="P726" s="31">
        <v>0.21356951176470607</v>
      </c>
      <c r="Q726" s="31">
        <v>1.409777694117647</v>
      </c>
      <c r="R726" s="26" t="s">
        <v>280</v>
      </c>
      <c r="S726" s="26"/>
      <c r="T726" s="71" t="s">
        <v>626</v>
      </c>
    </row>
    <row r="727" spans="1:20">
      <c r="A727" s="1" t="s">
        <v>288</v>
      </c>
      <c r="B727" s="1">
        <v>42</v>
      </c>
      <c r="C727" s="1" t="s">
        <v>510</v>
      </c>
      <c r="D727" s="5">
        <v>43207</v>
      </c>
      <c r="E727" s="1">
        <f t="shared" si="42"/>
        <v>2018</v>
      </c>
      <c r="F727" s="1">
        <f t="shared" si="43"/>
        <v>4</v>
      </c>
      <c r="G727" s="4">
        <f t="shared" si="44"/>
        <v>17</v>
      </c>
      <c r="H727" s="8">
        <v>0.30763888888888891</v>
      </c>
      <c r="I727" s="11">
        <v>127.196666666666</v>
      </c>
      <c r="J727" s="11">
        <v>29.251000000000001</v>
      </c>
      <c r="K727" s="9">
        <v>5</v>
      </c>
      <c r="L727" s="9">
        <v>5</v>
      </c>
      <c r="M727" s="9">
        <v>0</v>
      </c>
      <c r="N727" s="12">
        <v>23.015000000000001</v>
      </c>
      <c r="O727" s="11">
        <v>34.477519999999998</v>
      </c>
      <c r="P727" s="31">
        <v>0.27200570352941189</v>
      </c>
      <c r="Q727" s="31">
        <v>1.6737947482352933</v>
      </c>
      <c r="R727" s="26" t="s">
        <v>280</v>
      </c>
      <c r="S727" s="26"/>
      <c r="T727" s="71" t="s">
        <v>626</v>
      </c>
    </row>
    <row r="728" spans="1:20">
      <c r="A728" s="1" t="s">
        <v>288</v>
      </c>
      <c r="B728" s="1">
        <v>43</v>
      </c>
      <c r="C728" s="1" t="s">
        <v>510</v>
      </c>
      <c r="D728" s="5">
        <v>43207</v>
      </c>
      <c r="E728" s="1">
        <f t="shared" si="42"/>
        <v>2018</v>
      </c>
      <c r="F728" s="1">
        <f t="shared" si="43"/>
        <v>4</v>
      </c>
      <c r="G728" s="4">
        <f t="shared" si="44"/>
        <v>17</v>
      </c>
      <c r="H728" s="8">
        <v>0.44791666666666669</v>
      </c>
      <c r="I728" s="11">
        <v>127.6815</v>
      </c>
      <c r="J728" s="11">
        <v>29.248000000000001</v>
      </c>
      <c r="K728" s="9">
        <v>5</v>
      </c>
      <c r="L728" s="9">
        <v>5</v>
      </c>
      <c r="M728" s="9">
        <v>0</v>
      </c>
      <c r="N728" s="12">
        <v>24.731666666666602</v>
      </c>
      <c r="O728" s="11">
        <v>34.423353333333303</v>
      </c>
      <c r="P728" s="31">
        <v>0.28428445529411772</v>
      </c>
      <c r="Q728" s="31">
        <v>1.6472831623529434</v>
      </c>
      <c r="R728" s="26" t="s">
        <v>280</v>
      </c>
      <c r="S728" s="26"/>
      <c r="T728" s="71" t="s">
        <v>626</v>
      </c>
    </row>
    <row r="729" spans="1:20">
      <c r="A729" s="1" t="s">
        <v>288</v>
      </c>
      <c r="B729" s="1">
        <v>44</v>
      </c>
      <c r="C729" s="1" t="s">
        <v>510</v>
      </c>
      <c r="D729" s="5">
        <v>43207</v>
      </c>
      <c r="E729" s="1">
        <f t="shared" si="42"/>
        <v>2018</v>
      </c>
      <c r="F729" s="1">
        <f t="shared" si="43"/>
        <v>4</v>
      </c>
      <c r="G729" s="4">
        <f t="shared" si="44"/>
        <v>17</v>
      </c>
      <c r="H729" s="8">
        <v>0.67847222222222225</v>
      </c>
      <c r="I729" s="11">
        <v>127.28083333333301</v>
      </c>
      <c r="J729" s="11">
        <v>28.779166666666601</v>
      </c>
      <c r="K729" s="9">
        <v>5</v>
      </c>
      <c r="L729" s="9">
        <v>5</v>
      </c>
      <c r="M729" s="9">
        <v>0</v>
      </c>
      <c r="N729" s="12">
        <v>22.875</v>
      </c>
      <c r="O729" s="11">
        <v>34.437019999999997</v>
      </c>
      <c r="P729" s="31">
        <v>0.23515732705882342</v>
      </c>
      <c r="Q729" s="31">
        <v>1.5174371764705903</v>
      </c>
      <c r="R729" s="26" t="s">
        <v>280</v>
      </c>
      <c r="S729" s="26"/>
      <c r="T729" s="71" t="s">
        <v>626</v>
      </c>
    </row>
    <row r="730" spans="1:20">
      <c r="A730" s="1" t="s">
        <v>288</v>
      </c>
      <c r="B730" s="1">
        <v>45</v>
      </c>
      <c r="C730" s="1" t="s">
        <v>510</v>
      </c>
      <c r="D730" s="5">
        <v>43207</v>
      </c>
      <c r="E730" s="1">
        <f t="shared" si="42"/>
        <v>2018</v>
      </c>
      <c r="F730" s="1">
        <f t="shared" si="43"/>
        <v>4</v>
      </c>
      <c r="G730" s="4">
        <f t="shared" si="44"/>
        <v>17</v>
      </c>
      <c r="H730" s="8">
        <v>0.83819444444444446</v>
      </c>
      <c r="I730" s="11">
        <v>126.78966666666599</v>
      </c>
      <c r="J730" s="11">
        <v>28.75</v>
      </c>
      <c r="K730" s="9">
        <v>5</v>
      </c>
      <c r="L730" s="9">
        <v>5</v>
      </c>
      <c r="M730" s="9">
        <v>0</v>
      </c>
      <c r="N730" s="12">
        <v>23.81</v>
      </c>
      <c r="O730" s="11">
        <v>34.516019999999997</v>
      </c>
      <c r="P730" s="31">
        <v>0.24681789882352967</v>
      </c>
      <c r="Q730" s="31">
        <v>1.4778100705882355</v>
      </c>
      <c r="R730" s="26" t="s">
        <v>280</v>
      </c>
      <c r="S730" s="26"/>
      <c r="T730" s="71" t="s">
        <v>626</v>
      </c>
    </row>
    <row r="731" spans="1:20">
      <c r="A731" s="1" t="s">
        <v>288</v>
      </c>
      <c r="B731" s="1">
        <v>46</v>
      </c>
      <c r="C731" s="1" t="s">
        <v>510</v>
      </c>
      <c r="D731" s="5">
        <v>43208</v>
      </c>
      <c r="E731" s="1">
        <f t="shared" si="42"/>
        <v>2018</v>
      </c>
      <c r="F731" s="1">
        <f t="shared" si="43"/>
        <v>4</v>
      </c>
      <c r="G731" s="4">
        <f t="shared" si="44"/>
        <v>18</v>
      </c>
      <c r="H731" s="8">
        <v>3.472222222222222E-3</v>
      </c>
      <c r="I731" s="11">
        <v>126.75</v>
      </c>
      <c r="J731" s="11">
        <v>28.291333333333299</v>
      </c>
      <c r="K731" s="9">
        <v>5</v>
      </c>
      <c r="L731" s="9">
        <v>5</v>
      </c>
      <c r="M731" s="9">
        <v>0</v>
      </c>
      <c r="N731" s="12">
        <v>24.483333333333299</v>
      </c>
      <c r="O731" s="11">
        <v>34.499020000000002</v>
      </c>
      <c r="P731" s="31">
        <v>0.2532290447058827</v>
      </c>
      <c r="Q731" s="31">
        <v>1.4725070694117637</v>
      </c>
      <c r="R731" s="26" t="s">
        <v>280</v>
      </c>
      <c r="S731" s="26"/>
      <c r="T731" s="71" t="s">
        <v>626</v>
      </c>
    </row>
    <row r="732" spans="1:20">
      <c r="A732" s="1" t="s">
        <v>288</v>
      </c>
      <c r="B732" s="1">
        <v>47</v>
      </c>
      <c r="C732" s="1" t="s">
        <v>510</v>
      </c>
      <c r="D732" s="5">
        <v>43208</v>
      </c>
      <c r="E732" s="1">
        <f t="shared" si="42"/>
        <v>2018</v>
      </c>
      <c r="F732" s="1">
        <f t="shared" si="43"/>
        <v>4</v>
      </c>
      <c r="G732" s="4">
        <f t="shared" si="44"/>
        <v>18</v>
      </c>
      <c r="H732" s="8">
        <v>0.15555555555555556</v>
      </c>
      <c r="I732" s="11">
        <v>126.294</v>
      </c>
      <c r="J732" s="11">
        <v>28.245000000000001</v>
      </c>
      <c r="K732" s="9">
        <v>5</v>
      </c>
      <c r="L732" s="9">
        <v>5</v>
      </c>
      <c r="M732" s="9">
        <v>0</v>
      </c>
      <c r="N732" s="12">
        <v>21.8666666666666</v>
      </c>
      <c r="O732" s="11">
        <v>34.475020000000001</v>
      </c>
      <c r="P732" s="31">
        <v>0.29358467764705898</v>
      </c>
      <c r="Q732" s="31">
        <v>1.6203334952941191</v>
      </c>
      <c r="R732" s="26" t="s">
        <v>280</v>
      </c>
      <c r="S732" s="26"/>
      <c r="T732" s="71" t="s">
        <v>626</v>
      </c>
    </row>
    <row r="733" spans="1:20">
      <c r="A733" s="1" t="s">
        <v>288</v>
      </c>
      <c r="B733" s="1">
        <v>48</v>
      </c>
      <c r="C733" s="1" t="s">
        <v>510</v>
      </c>
      <c r="D733" s="5">
        <v>43208</v>
      </c>
      <c r="E733" s="1">
        <f t="shared" si="42"/>
        <v>2018</v>
      </c>
      <c r="F733" s="1">
        <f t="shared" si="43"/>
        <v>4</v>
      </c>
      <c r="G733" s="4">
        <f t="shared" si="44"/>
        <v>18</v>
      </c>
      <c r="H733" s="8">
        <v>0.31736111111111115</v>
      </c>
      <c r="I733" s="11">
        <v>126.251</v>
      </c>
      <c r="J733" s="11">
        <v>27.7925</v>
      </c>
      <c r="K733" s="9">
        <v>5</v>
      </c>
      <c r="L733" s="9">
        <v>5</v>
      </c>
      <c r="M733" s="9">
        <v>0</v>
      </c>
      <c r="N733" s="12">
        <v>23.72</v>
      </c>
      <c r="O733" s="11">
        <v>34.393353333333302</v>
      </c>
      <c r="P733" s="31">
        <v>0.20153471058823547</v>
      </c>
      <c r="Q733" s="31">
        <v>1.2987174211764714</v>
      </c>
      <c r="R733" s="26" t="s">
        <v>280</v>
      </c>
      <c r="S733" s="26"/>
      <c r="T733" s="71" t="s">
        <v>626</v>
      </c>
    </row>
    <row r="734" spans="1:20">
      <c r="A734" s="1" t="s">
        <v>288</v>
      </c>
      <c r="B734" s="1">
        <v>61</v>
      </c>
      <c r="C734" s="1" t="s">
        <v>510</v>
      </c>
      <c r="D734" s="5">
        <v>43208</v>
      </c>
      <c r="E734" s="1">
        <f t="shared" si="42"/>
        <v>2018</v>
      </c>
      <c r="F734" s="1">
        <f t="shared" si="43"/>
        <v>4</v>
      </c>
      <c r="G734" s="4">
        <f t="shared" si="44"/>
        <v>18</v>
      </c>
      <c r="H734" s="8">
        <v>0.47500000000000003</v>
      </c>
      <c r="I734" s="11">
        <v>125.796833333333</v>
      </c>
      <c r="J734" s="11">
        <v>27.7596666666666</v>
      </c>
      <c r="K734" s="9">
        <v>5</v>
      </c>
      <c r="L734" s="9">
        <v>5</v>
      </c>
      <c r="M734" s="9">
        <v>0</v>
      </c>
      <c r="N734" s="12">
        <v>22.4516666666666</v>
      </c>
      <c r="O734" s="11">
        <v>34.491686666666602</v>
      </c>
      <c r="P734" s="31">
        <v>0.26223872352941191</v>
      </c>
      <c r="Q734" s="31">
        <v>1.5257313845588243</v>
      </c>
      <c r="R734" s="26" t="s">
        <v>280</v>
      </c>
      <c r="S734" s="26"/>
      <c r="T734" s="71" t="s">
        <v>626</v>
      </c>
    </row>
    <row r="735" spans="1:20">
      <c r="A735" s="1" t="s">
        <v>288</v>
      </c>
      <c r="B735" s="1">
        <v>60</v>
      </c>
      <c r="C735" s="1" t="s">
        <v>510</v>
      </c>
      <c r="D735" s="5">
        <v>43208</v>
      </c>
      <c r="E735" s="1">
        <f t="shared" si="42"/>
        <v>2018</v>
      </c>
      <c r="F735" s="1">
        <f t="shared" si="43"/>
        <v>4</v>
      </c>
      <c r="G735" s="4">
        <f t="shared" si="44"/>
        <v>18</v>
      </c>
      <c r="H735" s="8">
        <v>0.62569444444444444</v>
      </c>
      <c r="I735" s="11">
        <v>125.749</v>
      </c>
      <c r="J735" s="11">
        <v>27.302</v>
      </c>
      <c r="K735" s="9">
        <v>5</v>
      </c>
      <c r="L735" s="9">
        <v>5</v>
      </c>
      <c r="M735" s="9">
        <v>0</v>
      </c>
      <c r="N735" s="12">
        <v>23.9016666666666</v>
      </c>
      <c r="O735" s="11">
        <v>34.404519999999998</v>
      </c>
      <c r="P735" s="31">
        <v>0.20116037647058826</v>
      </c>
      <c r="Q735" s="31">
        <v>1.3060090404411753</v>
      </c>
      <c r="R735" s="26" t="s">
        <v>280</v>
      </c>
      <c r="S735" s="26"/>
      <c r="T735" s="71" t="s">
        <v>626</v>
      </c>
    </row>
    <row r="736" spans="1:20">
      <c r="A736" s="1" t="s">
        <v>288</v>
      </c>
      <c r="B736" s="1">
        <v>49</v>
      </c>
      <c r="C736" s="1" t="s">
        <v>510</v>
      </c>
      <c r="D736" s="5">
        <v>43212</v>
      </c>
      <c r="E736" s="1">
        <f t="shared" si="42"/>
        <v>2018</v>
      </c>
      <c r="F736" s="1">
        <f t="shared" si="43"/>
        <v>4</v>
      </c>
      <c r="G736" s="4">
        <f t="shared" si="44"/>
        <v>22</v>
      </c>
      <c r="H736" s="8">
        <v>0.94027777777777777</v>
      </c>
      <c r="I736" s="11">
        <v>126.255</v>
      </c>
      <c r="J736" s="11">
        <v>27.259</v>
      </c>
      <c r="K736" s="9">
        <v>5</v>
      </c>
      <c r="L736" s="9">
        <v>5</v>
      </c>
      <c r="M736" s="9">
        <v>0</v>
      </c>
      <c r="N736" s="12">
        <v>25.26</v>
      </c>
      <c r="O736" s="11">
        <v>34.284019999999998</v>
      </c>
      <c r="P736" s="31">
        <v>0.2209110294117651</v>
      </c>
      <c r="Q736" s="31">
        <v>1.0907340463235293</v>
      </c>
      <c r="R736" s="26" t="s">
        <v>280</v>
      </c>
      <c r="S736" s="26"/>
      <c r="T736" s="71" t="s">
        <v>626</v>
      </c>
    </row>
    <row r="737" spans="1:20">
      <c r="A737" s="1" t="s">
        <v>288</v>
      </c>
      <c r="B737" s="1">
        <v>59</v>
      </c>
      <c r="C737" s="1" t="s">
        <v>510</v>
      </c>
      <c r="D737" s="5">
        <v>43213</v>
      </c>
      <c r="E737" s="1">
        <f t="shared" si="42"/>
        <v>2018</v>
      </c>
      <c r="F737" s="1">
        <f t="shared" si="43"/>
        <v>4</v>
      </c>
      <c r="G737" s="4">
        <f t="shared" si="44"/>
        <v>23</v>
      </c>
      <c r="H737" s="8">
        <v>0.45347222222222222</v>
      </c>
      <c r="I737" s="11">
        <v>125.2985</v>
      </c>
      <c r="J737" s="11">
        <v>27.257999999999999</v>
      </c>
      <c r="K737" s="9">
        <v>5</v>
      </c>
      <c r="L737" s="9">
        <v>5</v>
      </c>
      <c r="M737" s="9">
        <v>0</v>
      </c>
      <c r="N737" s="12">
        <v>23.398333333333301</v>
      </c>
      <c r="O737" s="11">
        <v>34.491353333333301</v>
      </c>
      <c r="P737" s="31">
        <v>0.25210604235294065</v>
      </c>
      <c r="Q737" s="31">
        <v>1.4037795247058842</v>
      </c>
      <c r="R737" s="26" t="s">
        <v>280</v>
      </c>
      <c r="S737" s="26"/>
      <c r="T737" s="71" t="s">
        <v>626</v>
      </c>
    </row>
    <row r="738" spans="1:20">
      <c r="A738" s="1" t="s">
        <v>288</v>
      </c>
      <c r="B738" s="1">
        <v>50</v>
      </c>
      <c r="C738" s="1" t="s">
        <v>510</v>
      </c>
      <c r="D738" s="5">
        <v>43213</v>
      </c>
      <c r="E738" s="1">
        <f t="shared" si="42"/>
        <v>2018</v>
      </c>
      <c r="F738" s="1">
        <f t="shared" si="43"/>
        <v>4</v>
      </c>
      <c r="G738" s="4">
        <f t="shared" si="44"/>
        <v>23</v>
      </c>
      <c r="H738" s="8">
        <v>0.64027777777777783</v>
      </c>
      <c r="I738" s="11">
        <v>125.251</v>
      </c>
      <c r="J738" s="11">
        <v>26.792000000000002</v>
      </c>
      <c r="K738" s="9">
        <v>5</v>
      </c>
      <c r="L738" s="9">
        <v>5</v>
      </c>
      <c r="M738" s="9">
        <v>0</v>
      </c>
      <c r="N738" s="12">
        <v>25.178333333333299</v>
      </c>
      <c r="O738" s="11">
        <v>34.288519999999998</v>
      </c>
      <c r="P738" s="31">
        <v>0.2185125741176468</v>
      </c>
      <c r="Q738" s="31">
        <v>1.0573861882352933</v>
      </c>
      <c r="R738" s="26" t="s">
        <v>280</v>
      </c>
      <c r="S738" s="26"/>
      <c r="T738" s="71" t="s">
        <v>626</v>
      </c>
    </row>
    <row r="739" spans="1:20">
      <c r="A739" s="1" t="s">
        <v>288</v>
      </c>
      <c r="B739" s="1">
        <v>51</v>
      </c>
      <c r="C739" s="1" t="s">
        <v>510</v>
      </c>
      <c r="D739" s="5">
        <v>43213</v>
      </c>
      <c r="E739" s="1">
        <f t="shared" si="42"/>
        <v>2018</v>
      </c>
      <c r="F739" s="1">
        <f t="shared" si="43"/>
        <v>4</v>
      </c>
      <c r="G739" s="4">
        <f t="shared" si="44"/>
        <v>23</v>
      </c>
      <c r="H739" s="8">
        <v>0.82500000000000007</v>
      </c>
      <c r="I739" s="11">
        <v>124.755</v>
      </c>
      <c r="J739" s="11">
        <v>26.728000000000002</v>
      </c>
      <c r="K739" s="9">
        <v>5</v>
      </c>
      <c r="L739" s="9">
        <v>5</v>
      </c>
      <c r="M739" s="9">
        <v>0</v>
      </c>
      <c r="N739" s="12">
        <v>24.6033333333333</v>
      </c>
      <c r="O739" s="11">
        <v>34.361353333333298</v>
      </c>
      <c r="P739" s="31">
        <v>0.16402884705882359</v>
      </c>
      <c r="Q739" s="31">
        <v>0.99766961411764754</v>
      </c>
      <c r="R739" s="26" t="s">
        <v>280</v>
      </c>
      <c r="S739" s="26"/>
      <c r="T739" s="71" t="s">
        <v>626</v>
      </c>
    </row>
    <row r="740" spans="1:20">
      <c r="A740" s="1" t="s">
        <v>288</v>
      </c>
      <c r="B740" s="1">
        <v>52</v>
      </c>
      <c r="C740" s="1" t="s">
        <v>510</v>
      </c>
      <c r="D740" s="5">
        <v>43213</v>
      </c>
      <c r="E740" s="1">
        <f t="shared" si="42"/>
        <v>2018</v>
      </c>
      <c r="F740" s="1">
        <f t="shared" si="43"/>
        <v>4</v>
      </c>
      <c r="G740" s="4">
        <f t="shared" si="44"/>
        <v>23</v>
      </c>
      <c r="H740" s="8">
        <v>0.97291666666666676</v>
      </c>
      <c r="I740" s="11">
        <v>124.2985</v>
      </c>
      <c r="J740" s="11">
        <v>26.745000000000001</v>
      </c>
      <c r="K740" s="9">
        <v>5</v>
      </c>
      <c r="L740" s="9">
        <v>5</v>
      </c>
      <c r="M740" s="9">
        <v>0</v>
      </c>
      <c r="N740" s="12">
        <v>24.723333333333301</v>
      </c>
      <c r="O740" s="11">
        <v>34.318686666666601</v>
      </c>
      <c r="P740" s="31">
        <v>0.24338767999999966</v>
      </c>
      <c r="Q740" s="31">
        <v>1.1725754600000009</v>
      </c>
      <c r="R740" s="26" t="s">
        <v>280</v>
      </c>
      <c r="S740" s="26"/>
      <c r="T740" s="71" t="s">
        <v>626</v>
      </c>
    </row>
    <row r="741" spans="1:20">
      <c r="A741" s="1" t="s">
        <v>288</v>
      </c>
      <c r="B741" s="1">
        <v>53</v>
      </c>
      <c r="C741" s="1" t="s">
        <v>510</v>
      </c>
      <c r="D741" s="5">
        <v>43214</v>
      </c>
      <c r="E741" s="1">
        <f t="shared" si="42"/>
        <v>2018</v>
      </c>
      <c r="F741" s="1">
        <f t="shared" si="43"/>
        <v>4</v>
      </c>
      <c r="G741" s="4">
        <f t="shared" si="44"/>
        <v>24</v>
      </c>
      <c r="H741" s="8">
        <v>0.13472222222222222</v>
      </c>
      <c r="I741" s="11">
        <v>123.7655</v>
      </c>
      <c r="J741" s="11">
        <v>26.733166666666602</v>
      </c>
      <c r="K741" s="9">
        <v>5</v>
      </c>
      <c r="L741" s="9">
        <v>5</v>
      </c>
      <c r="M741" s="9">
        <v>0</v>
      </c>
      <c r="N741" s="12">
        <v>24.51</v>
      </c>
      <c r="O741" s="11">
        <v>34.319020000000002</v>
      </c>
      <c r="P741" s="31">
        <v>0.20163131294117598</v>
      </c>
      <c r="Q741" s="31">
        <v>1.1527862058823537</v>
      </c>
      <c r="R741" s="26" t="s">
        <v>280</v>
      </c>
      <c r="S741" s="26"/>
      <c r="T741" s="71" t="s">
        <v>626</v>
      </c>
    </row>
    <row r="742" spans="1:20">
      <c r="A742" s="1" t="s">
        <v>288</v>
      </c>
      <c r="B742" s="1">
        <v>55</v>
      </c>
      <c r="C742" s="1" t="s">
        <v>510</v>
      </c>
      <c r="D742" s="5">
        <v>43214</v>
      </c>
      <c r="E742" s="1">
        <f t="shared" si="42"/>
        <v>2018</v>
      </c>
      <c r="F742" s="1">
        <f t="shared" si="43"/>
        <v>4</v>
      </c>
      <c r="G742" s="4">
        <f t="shared" si="44"/>
        <v>24</v>
      </c>
      <c r="H742" s="8">
        <v>0.52638888888888891</v>
      </c>
      <c r="I742" s="11">
        <v>123.2345</v>
      </c>
      <c r="J742" s="11">
        <v>27.2201666666666</v>
      </c>
      <c r="K742" s="9">
        <v>5</v>
      </c>
      <c r="L742" s="9">
        <v>5</v>
      </c>
      <c r="M742" s="9">
        <v>0</v>
      </c>
      <c r="N742" s="12">
        <v>22.726666666666599</v>
      </c>
      <c r="O742" s="11">
        <v>34.374853333333299</v>
      </c>
      <c r="P742" s="31">
        <v>0.38424598588235259</v>
      </c>
      <c r="Q742" s="31">
        <v>1.3695959717647046</v>
      </c>
      <c r="R742" s="26" t="s">
        <v>280</v>
      </c>
      <c r="S742" s="26"/>
      <c r="T742" s="71" t="s">
        <v>626</v>
      </c>
    </row>
    <row r="743" spans="1:20">
      <c r="A743" s="1" t="s">
        <v>288</v>
      </c>
      <c r="B743" s="1">
        <v>56</v>
      </c>
      <c r="C743" s="1" t="s">
        <v>510</v>
      </c>
      <c r="D743" s="5">
        <v>43214</v>
      </c>
      <c r="E743" s="1">
        <f t="shared" si="42"/>
        <v>2018</v>
      </c>
      <c r="F743" s="1">
        <f t="shared" si="43"/>
        <v>4</v>
      </c>
      <c r="G743" s="4">
        <f t="shared" si="44"/>
        <v>24</v>
      </c>
      <c r="H743" s="8">
        <v>0.7909722222222223</v>
      </c>
      <c r="I743" s="11">
        <v>123.74299999999999</v>
      </c>
      <c r="J743" s="11">
        <v>27.256</v>
      </c>
      <c r="K743" s="9">
        <v>5</v>
      </c>
      <c r="L743" s="9">
        <v>5</v>
      </c>
      <c r="M743" s="9">
        <v>0</v>
      </c>
      <c r="N743" s="12">
        <v>22.19</v>
      </c>
      <c r="O743" s="11">
        <v>34.249591428571399</v>
      </c>
      <c r="P743" s="31">
        <v>0.1236611388235298</v>
      </c>
      <c r="Q743" s="31">
        <v>0.88510805764705935</v>
      </c>
      <c r="R743" s="26" t="s">
        <v>280</v>
      </c>
      <c r="S743" s="26"/>
      <c r="T743" s="71" t="s">
        <v>626</v>
      </c>
    </row>
    <row r="744" spans="1:20">
      <c r="A744" s="1" t="s">
        <v>288</v>
      </c>
      <c r="B744" s="1">
        <v>57</v>
      </c>
      <c r="C744" s="1" t="s">
        <v>510</v>
      </c>
      <c r="D744" s="5">
        <v>43214</v>
      </c>
      <c r="E744" s="1">
        <f t="shared" si="42"/>
        <v>2018</v>
      </c>
      <c r="F744" s="1">
        <f t="shared" si="43"/>
        <v>4</v>
      </c>
      <c r="G744" s="4">
        <f t="shared" si="44"/>
        <v>24</v>
      </c>
      <c r="H744" s="8">
        <v>0.98055555555555562</v>
      </c>
      <c r="I744" s="11">
        <v>124.1985</v>
      </c>
      <c r="J744" s="11">
        <v>27.271999999999998</v>
      </c>
      <c r="K744" s="9">
        <v>5</v>
      </c>
      <c r="L744" s="9">
        <v>5</v>
      </c>
      <c r="M744" s="9">
        <v>0</v>
      </c>
      <c r="N744" s="12">
        <v>22.203333333333301</v>
      </c>
      <c r="O744" s="11">
        <v>34.3513533333333</v>
      </c>
      <c r="P744" s="31">
        <v>0.17181741176470577</v>
      </c>
      <c r="Q744" s="31">
        <v>1.2505334360294125</v>
      </c>
      <c r="R744" s="26" t="s">
        <v>280</v>
      </c>
      <c r="S744" s="26"/>
      <c r="T744" s="71" t="s">
        <v>626</v>
      </c>
    </row>
    <row r="745" spans="1:20">
      <c r="A745" s="1" t="s">
        <v>288</v>
      </c>
      <c r="B745" s="1">
        <v>58</v>
      </c>
      <c r="C745" s="1" t="s">
        <v>510</v>
      </c>
      <c r="D745" s="5">
        <v>43215</v>
      </c>
      <c r="E745" s="1">
        <f t="shared" si="42"/>
        <v>2018</v>
      </c>
      <c r="F745" s="1">
        <f t="shared" si="43"/>
        <v>4</v>
      </c>
      <c r="G745" s="4">
        <f t="shared" si="44"/>
        <v>25</v>
      </c>
      <c r="H745" s="8">
        <v>0.17708333333333334</v>
      </c>
      <c r="I745" s="11">
        <v>124.702666666666</v>
      </c>
      <c r="J745" s="11">
        <v>27.24</v>
      </c>
      <c r="K745" s="9">
        <v>5</v>
      </c>
      <c r="L745" s="9">
        <v>5</v>
      </c>
      <c r="M745" s="9">
        <v>0</v>
      </c>
      <c r="N745" s="12">
        <v>20.781666666666599</v>
      </c>
      <c r="O745" s="11">
        <v>34.185519999999997</v>
      </c>
      <c r="P745" s="31">
        <v>0.40534152470588225</v>
      </c>
      <c r="Q745" s="31">
        <v>1.123241849411766</v>
      </c>
      <c r="R745" s="26" t="s">
        <v>280</v>
      </c>
      <c r="S745" s="26"/>
      <c r="T745" s="71" t="s">
        <v>626</v>
      </c>
    </row>
    <row r="746" spans="1:20">
      <c r="A746" s="1" t="s">
        <v>288</v>
      </c>
      <c r="B746" s="1">
        <v>64</v>
      </c>
      <c r="C746" s="1" t="s">
        <v>510</v>
      </c>
      <c r="D746" s="5">
        <v>43215</v>
      </c>
      <c r="E746" s="1">
        <f t="shared" si="42"/>
        <v>2018</v>
      </c>
      <c r="F746" s="1">
        <f t="shared" si="43"/>
        <v>4</v>
      </c>
      <c r="G746" s="4">
        <f t="shared" si="44"/>
        <v>25</v>
      </c>
      <c r="H746" s="8">
        <v>0.41388888888888892</v>
      </c>
      <c r="I746" s="11">
        <v>124.3045</v>
      </c>
      <c r="J746" s="11">
        <v>27.698166666666602</v>
      </c>
      <c r="K746" s="9">
        <v>5</v>
      </c>
      <c r="L746" s="9">
        <v>5</v>
      </c>
      <c r="M746" s="9">
        <v>0</v>
      </c>
      <c r="N746" s="12">
        <v>21.574999999999999</v>
      </c>
      <c r="O746" s="11">
        <v>34.225186666666602</v>
      </c>
      <c r="P746" s="31">
        <v>0.17702141294117646</v>
      </c>
      <c r="Q746" s="31">
        <v>1.0529677647058815</v>
      </c>
      <c r="R746" s="26" t="s">
        <v>280</v>
      </c>
      <c r="S746" s="26"/>
      <c r="T746" s="71" t="s">
        <v>626</v>
      </c>
    </row>
    <row r="747" spans="1:20">
      <c r="A747" s="1" t="s">
        <v>288</v>
      </c>
      <c r="B747" s="1">
        <v>63</v>
      </c>
      <c r="C747" s="1" t="s">
        <v>510</v>
      </c>
      <c r="D747" s="5">
        <v>43215</v>
      </c>
      <c r="E747" s="1">
        <f t="shared" si="42"/>
        <v>2018</v>
      </c>
      <c r="F747" s="1">
        <f t="shared" si="43"/>
        <v>4</v>
      </c>
      <c r="G747" s="4">
        <f t="shared" si="44"/>
        <v>25</v>
      </c>
      <c r="H747" s="8">
        <v>0.57361111111111118</v>
      </c>
      <c r="I747" s="11">
        <v>124.690833333333</v>
      </c>
      <c r="J747" s="11">
        <v>27.75</v>
      </c>
      <c r="K747" s="9">
        <v>5</v>
      </c>
      <c r="L747" s="9">
        <v>5</v>
      </c>
      <c r="M747" s="9">
        <v>0</v>
      </c>
      <c r="N747" s="12">
        <v>20.428333333333299</v>
      </c>
      <c r="O747" s="11">
        <v>34.005853333333299</v>
      </c>
      <c r="P747" s="31">
        <v>0.16987408352941169</v>
      </c>
      <c r="Q747" s="31">
        <v>0.7609061176470604</v>
      </c>
      <c r="R747" s="26" t="s">
        <v>280</v>
      </c>
      <c r="S747" s="26"/>
      <c r="T747" s="71" t="s">
        <v>626</v>
      </c>
    </row>
    <row r="748" spans="1:20">
      <c r="A748" s="1" t="s">
        <v>288</v>
      </c>
      <c r="B748" s="1">
        <v>62</v>
      </c>
      <c r="C748" s="1" t="s">
        <v>510</v>
      </c>
      <c r="D748" s="5">
        <v>43215</v>
      </c>
      <c r="E748" s="1">
        <f t="shared" si="42"/>
        <v>2018</v>
      </c>
      <c r="F748" s="1">
        <f t="shared" si="43"/>
        <v>4</v>
      </c>
      <c r="G748" s="4">
        <f t="shared" si="44"/>
        <v>25</v>
      </c>
      <c r="H748" s="8">
        <v>0.81944444444444453</v>
      </c>
      <c r="I748" s="11">
        <v>125.238</v>
      </c>
      <c r="J748" s="11">
        <v>27.75</v>
      </c>
      <c r="K748" s="9">
        <v>5</v>
      </c>
      <c r="L748" s="9">
        <v>5</v>
      </c>
      <c r="M748" s="9">
        <v>0</v>
      </c>
      <c r="N748" s="12">
        <v>21.733333333333299</v>
      </c>
      <c r="O748" s="11">
        <v>34.371020000000001</v>
      </c>
      <c r="P748" s="31">
        <v>0.2741402941176474</v>
      </c>
      <c r="Q748" s="31">
        <v>1.2050084705882362</v>
      </c>
      <c r="R748" s="26" t="s">
        <v>280</v>
      </c>
      <c r="S748" s="26"/>
      <c r="T748" s="71" t="s">
        <v>626</v>
      </c>
    </row>
    <row r="749" spans="1:20">
      <c r="A749" s="1" t="s">
        <v>288</v>
      </c>
      <c r="B749" s="1">
        <v>65</v>
      </c>
      <c r="C749" s="1" t="s">
        <v>510</v>
      </c>
      <c r="D749" s="5">
        <v>43215</v>
      </c>
      <c r="E749" s="1">
        <f t="shared" si="42"/>
        <v>2018</v>
      </c>
      <c r="F749" s="1">
        <f t="shared" si="43"/>
        <v>4</v>
      </c>
      <c r="G749" s="4">
        <f t="shared" si="44"/>
        <v>25</v>
      </c>
      <c r="H749" s="8">
        <v>0.98125000000000007</v>
      </c>
      <c r="I749" s="11">
        <v>125.28016666666601</v>
      </c>
      <c r="J749" s="11">
        <v>28.215</v>
      </c>
      <c r="K749" s="9">
        <v>5</v>
      </c>
      <c r="L749" s="9">
        <v>5</v>
      </c>
      <c r="M749" s="9">
        <v>0</v>
      </c>
      <c r="N749" s="12">
        <v>20.984999999999999</v>
      </c>
      <c r="O749" s="11">
        <v>34.368853333333298</v>
      </c>
      <c r="P749" s="31">
        <v>0.37964214470588264</v>
      </c>
      <c r="Q749" s="31">
        <v>1.545160823529411</v>
      </c>
      <c r="R749" s="26" t="s">
        <v>280</v>
      </c>
      <c r="S749" s="26"/>
      <c r="T749" s="71" t="s">
        <v>626</v>
      </c>
    </row>
    <row r="750" spans="1:20">
      <c r="A750" s="1" t="s">
        <v>288</v>
      </c>
      <c r="B750" s="1">
        <v>66</v>
      </c>
      <c r="C750" s="1" t="s">
        <v>510</v>
      </c>
      <c r="D750" s="5">
        <v>43216</v>
      </c>
      <c r="E750" s="1">
        <f t="shared" si="42"/>
        <v>2018</v>
      </c>
      <c r="F750" s="1">
        <f t="shared" si="43"/>
        <v>4</v>
      </c>
      <c r="G750" s="4">
        <f t="shared" si="44"/>
        <v>26</v>
      </c>
      <c r="H750" s="8">
        <v>0.10902777777777778</v>
      </c>
      <c r="I750" s="11">
        <v>125.59633333333301</v>
      </c>
      <c r="J750" s="11">
        <v>28.254999999999999</v>
      </c>
      <c r="K750" s="9">
        <v>5</v>
      </c>
      <c r="L750" s="9">
        <v>5</v>
      </c>
      <c r="M750" s="9">
        <v>0</v>
      </c>
      <c r="N750" s="12">
        <v>21.8666666666666</v>
      </c>
      <c r="O750" s="11">
        <v>34.45552</v>
      </c>
      <c r="P750" s="31">
        <v>0.44725103529411814</v>
      </c>
      <c r="Q750" s="31">
        <v>1.7124591764705919</v>
      </c>
      <c r="R750" s="26" t="s">
        <v>280</v>
      </c>
      <c r="S750" s="26"/>
      <c r="T750" s="71" t="s">
        <v>626</v>
      </c>
    </row>
    <row r="751" spans="1:20">
      <c r="A751" s="1" t="s">
        <v>288</v>
      </c>
      <c r="B751" s="1">
        <v>67</v>
      </c>
      <c r="C751" s="1" t="s">
        <v>510</v>
      </c>
      <c r="D751" s="5">
        <v>43216</v>
      </c>
      <c r="E751" s="1">
        <f t="shared" si="42"/>
        <v>2018</v>
      </c>
      <c r="F751" s="1">
        <f t="shared" si="43"/>
        <v>4</v>
      </c>
      <c r="G751" s="4">
        <f t="shared" si="44"/>
        <v>26</v>
      </c>
      <c r="H751" s="8">
        <v>0.3444444444444445</v>
      </c>
      <c r="I751" s="11">
        <v>125.792333333333</v>
      </c>
      <c r="J751" s="11">
        <v>28.774166666666599</v>
      </c>
      <c r="K751" s="9">
        <v>5</v>
      </c>
      <c r="L751" s="9">
        <v>5</v>
      </c>
      <c r="M751" s="9">
        <v>0</v>
      </c>
      <c r="N751" s="12">
        <v>17.571666666666601</v>
      </c>
      <c r="O751" s="11">
        <v>33.278019999999998</v>
      </c>
      <c r="P751" s="31">
        <v>6.6000058823534324E-3</v>
      </c>
      <c r="Q751" s="31">
        <v>-0.59286647058823583</v>
      </c>
      <c r="R751" s="26" t="s">
        <v>280</v>
      </c>
      <c r="S751" s="26"/>
      <c r="T751" s="71" t="s">
        <v>626</v>
      </c>
    </row>
    <row r="752" spans="1:20">
      <c r="A752" s="1" t="s">
        <v>288</v>
      </c>
      <c r="B752" s="1">
        <v>68</v>
      </c>
      <c r="C752" s="1" t="s">
        <v>510</v>
      </c>
      <c r="D752" s="5">
        <v>43216</v>
      </c>
      <c r="E752" s="1">
        <f t="shared" si="42"/>
        <v>2018</v>
      </c>
      <c r="F752" s="1">
        <f t="shared" si="43"/>
        <v>4</v>
      </c>
      <c r="G752" s="4">
        <f t="shared" si="44"/>
        <v>26</v>
      </c>
      <c r="H752" s="8">
        <v>0.41388888888888892</v>
      </c>
      <c r="I752" s="11">
        <v>126.196333333333</v>
      </c>
      <c r="J752" s="11">
        <v>28.754166666666599</v>
      </c>
      <c r="K752" s="9">
        <v>5</v>
      </c>
      <c r="L752" s="9">
        <v>5</v>
      </c>
      <c r="M752" s="9">
        <v>0</v>
      </c>
      <c r="N752" s="12">
        <v>20.055</v>
      </c>
      <c r="O752" s="11">
        <v>34.01802</v>
      </c>
      <c r="P752" s="31">
        <v>0.20127387647058792</v>
      </c>
      <c r="Q752" s="31">
        <v>0.79767588235294085</v>
      </c>
      <c r="R752" s="26" t="s">
        <v>280</v>
      </c>
      <c r="S752" s="26"/>
      <c r="T752" s="71" t="s">
        <v>626</v>
      </c>
    </row>
    <row r="753" spans="1:20">
      <c r="A753" s="1" t="s">
        <v>288</v>
      </c>
      <c r="B753" s="1">
        <v>69</v>
      </c>
      <c r="C753" s="1" t="s">
        <v>510</v>
      </c>
      <c r="D753" s="5">
        <v>43216</v>
      </c>
      <c r="E753" s="1">
        <f t="shared" si="42"/>
        <v>2018</v>
      </c>
      <c r="F753" s="1">
        <f t="shared" si="43"/>
        <v>4</v>
      </c>
      <c r="G753" s="4">
        <f t="shared" si="44"/>
        <v>26</v>
      </c>
      <c r="H753" s="8">
        <v>0.58263888888888882</v>
      </c>
      <c r="I753" s="11">
        <v>126.243333333333</v>
      </c>
      <c r="J753" s="11">
        <v>29.212499999999999</v>
      </c>
      <c r="K753" s="9">
        <v>5</v>
      </c>
      <c r="L753" s="9">
        <v>5</v>
      </c>
      <c r="M753" s="9">
        <v>0</v>
      </c>
      <c r="N753" s="12">
        <v>16.871666666666599</v>
      </c>
      <c r="O753" s="11">
        <v>32.445686666666603</v>
      </c>
      <c r="P753" s="31">
        <v>-0.18441540117647048</v>
      </c>
      <c r="Q753" s="31">
        <v>-1.9537787058823524</v>
      </c>
      <c r="R753" s="26" t="s">
        <v>280</v>
      </c>
      <c r="S753" s="26"/>
      <c r="T753" s="71" t="s">
        <v>626</v>
      </c>
    </row>
    <row r="754" spans="1:20">
      <c r="A754" s="1" t="s">
        <v>288</v>
      </c>
      <c r="B754" s="1">
        <v>70</v>
      </c>
      <c r="C754" s="1" t="s">
        <v>510</v>
      </c>
      <c r="D754" s="5">
        <v>43216</v>
      </c>
      <c r="E754" s="1">
        <f t="shared" si="42"/>
        <v>2018</v>
      </c>
      <c r="F754" s="1">
        <f t="shared" si="43"/>
        <v>4</v>
      </c>
      <c r="G754" s="4">
        <f t="shared" si="44"/>
        <v>26</v>
      </c>
      <c r="H754" s="8">
        <v>0.76944444444444438</v>
      </c>
      <c r="I754" s="11">
        <v>126.25</v>
      </c>
      <c r="J754" s="11">
        <v>29.754999999999999</v>
      </c>
      <c r="K754" s="9">
        <v>5</v>
      </c>
      <c r="L754" s="9">
        <v>5</v>
      </c>
      <c r="M754" s="9">
        <v>0</v>
      </c>
      <c r="N754" s="12">
        <v>16.6316666666666</v>
      </c>
      <c r="O754" s="11">
        <v>32.150019999999998</v>
      </c>
      <c r="P754" s="31">
        <v>-0.30215251058823545</v>
      </c>
      <c r="Q754" s="31">
        <v>-2.5978843529411755</v>
      </c>
      <c r="R754" s="26" t="s">
        <v>280</v>
      </c>
      <c r="S754" s="26"/>
      <c r="T754" s="71" t="s">
        <v>626</v>
      </c>
    </row>
    <row r="755" spans="1:20">
      <c r="A755" s="1" t="s">
        <v>288</v>
      </c>
      <c r="B755" s="1">
        <v>71</v>
      </c>
      <c r="C755" s="1" t="s">
        <v>510</v>
      </c>
      <c r="D755" s="5">
        <v>43217</v>
      </c>
      <c r="E755" s="1">
        <f t="shared" si="42"/>
        <v>2018</v>
      </c>
      <c r="F755" s="1">
        <f t="shared" si="43"/>
        <v>4</v>
      </c>
      <c r="G755" s="4">
        <f t="shared" si="44"/>
        <v>27</v>
      </c>
      <c r="H755" s="8">
        <v>2.2916666666666669E-2</v>
      </c>
      <c r="I755" s="11">
        <v>126.252</v>
      </c>
      <c r="J755" s="11">
        <v>30.203166666666601</v>
      </c>
      <c r="K755" s="9">
        <v>5</v>
      </c>
      <c r="L755" s="9">
        <v>5</v>
      </c>
      <c r="M755" s="9">
        <v>0</v>
      </c>
      <c r="N755" s="12">
        <v>14.97</v>
      </c>
      <c r="O755" s="11">
        <v>33.899353333333302</v>
      </c>
      <c r="P755" s="31">
        <v>0.19669473999999965</v>
      </c>
      <c r="Q755" s="31">
        <v>0.52238600000000091</v>
      </c>
      <c r="R755" s="26" t="s">
        <v>280</v>
      </c>
      <c r="S755" s="26"/>
      <c r="T755" s="71" t="s">
        <v>626</v>
      </c>
    </row>
    <row r="756" spans="1:20">
      <c r="A756" s="1" t="s">
        <v>288</v>
      </c>
      <c r="B756" s="1">
        <v>63</v>
      </c>
      <c r="C756" s="1" t="s">
        <v>511</v>
      </c>
      <c r="D756" s="5">
        <v>43215</v>
      </c>
      <c r="E756" s="1">
        <f t="shared" si="42"/>
        <v>2018</v>
      </c>
      <c r="F756" s="1">
        <f t="shared" si="43"/>
        <v>4</v>
      </c>
      <c r="G756" s="4">
        <f t="shared" si="44"/>
        <v>25</v>
      </c>
      <c r="H756" s="8">
        <v>0.59097222222222223</v>
      </c>
      <c r="I756" s="11">
        <f t="shared" ref="I756:I762" si="45">124+44.96/60</f>
        <v>124.74933333333334</v>
      </c>
      <c r="J756" s="11">
        <f t="shared" ref="J756:J762" si="46">27+44.99/60</f>
        <v>27.749833333333335</v>
      </c>
      <c r="K756" s="9">
        <v>0</v>
      </c>
      <c r="L756" s="9">
        <v>0</v>
      </c>
      <c r="M756" s="27">
        <v>0</v>
      </c>
      <c r="N756" s="12">
        <v>19.8</v>
      </c>
      <c r="O756" s="11">
        <v>33.97858849666693</v>
      </c>
      <c r="P756" s="31">
        <v>5.1528820000000142E-2</v>
      </c>
      <c r="Q756" s="31">
        <v>0.43640239999999864</v>
      </c>
      <c r="R756" s="26" t="s">
        <v>280</v>
      </c>
      <c r="S756" s="26">
        <v>1</v>
      </c>
      <c r="T756" s="71" t="s">
        <v>626</v>
      </c>
    </row>
    <row r="757" spans="1:20">
      <c r="A757" s="1" t="s">
        <v>288</v>
      </c>
      <c r="B757" s="1">
        <v>63</v>
      </c>
      <c r="C757" s="1" t="s">
        <v>511</v>
      </c>
      <c r="D757" s="5">
        <v>43215</v>
      </c>
      <c r="E757" s="1">
        <f t="shared" si="42"/>
        <v>2018</v>
      </c>
      <c r="F757" s="1">
        <f t="shared" si="43"/>
        <v>4</v>
      </c>
      <c r="G757" s="4">
        <f t="shared" si="44"/>
        <v>25</v>
      </c>
      <c r="H757" s="8">
        <v>0.59097222222222223</v>
      </c>
      <c r="I757" s="11">
        <f t="shared" si="45"/>
        <v>124.74933333333334</v>
      </c>
      <c r="J757" s="11">
        <f t="shared" si="46"/>
        <v>27.749833333333335</v>
      </c>
      <c r="K757" s="9">
        <v>90.335999999999999</v>
      </c>
      <c r="L757" s="9">
        <v>90</v>
      </c>
      <c r="M757" s="9">
        <v>0</v>
      </c>
      <c r="N757" s="12">
        <v>18.703499999999998</v>
      </c>
      <c r="O757" s="11">
        <v>34.482300000000002</v>
      </c>
      <c r="P757" s="31">
        <v>0.16137976235294116</v>
      </c>
      <c r="Q757" s="31">
        <v>1.0862165294117627</v>
      </c>
      <c r="R757" s="26" t="s">
        <v>280</v>
      </c>
      <c r="S757" s="26">
        <v>1</v>
      </c>
      <c r="T757" s="71" t="s">
        <v>626</v>
      </c>
    </row>
    <row r="758" spans="1:20">
      <c r="A758" s="1" t="s">
        <v>288</v>
      </c>
      <c r="B758" s="1">
        <v>63</v>
      </c>
      <c r="C758" s="1" t="s">
        <v>511</v>
      </c>
      <c r="D758" s="5">
        <v>43215</v>
      </c>
      <c r="E758" s="1">
        <f t="shared" si="42"/>
        <v>2018</v>
      </c>
      <c r="F758" s="1">
        <f t="shared" si="43"/>
        <v>4</v>
      </c>
      <c r="G758" s="4">
        <f t="shared" si="44"/>
        <v>25</v>
      </c>
      <c r="H758" s="8">
        <v>0.59097222222222223</v>
      </c>
      <c r="I758" s="11">
        <f t="shared" si="45"/>
        <v>124.74933333333334</v>
      </c>
      <c r="J758" s="11">
        <f t="shared" si="46"/>
        <v>27.749833333333335</v>
      </c>
      <c r="K758" s="9">
        <v>75.091999999999999</v>
      </c>
      <c r="L758" s="9">
        <v>75</v>
      </c>
      <c r="M758" s="9">
        <v>0</v>
      </c>
      <c r="N758" s="12">
        <v>18.681699999999999</v>
      </c>
      <c r="O758" s="11">
        <v>34.424700000000001</v>
      </c>
      <c r="P758" s="31">
        <v>0.27128148970588239</v>
      </c>
      <c r="Q758" s="31">
        <v>1.0295353088235295</v>
      </c>
      <c r="R758" s="26" t="s">
        <v>280</v>
      </c>
      <c r="S758" s="26">
        <v>1</v>
      </c>
      <c r="T758" s="71" t="s">
        <v>626</v>
      </c>
    </row>
    <row r="759" spans="1:20">
      <c r="A759" s="1" t="s">
        <v>288</v>
      </c>
      <c r="B759" s="1">
        <v>63</v>
      </c>
      <c r="C759" s="1" t="s">
        <v>511</v>
      </c>
      <c r="D759" s="5">
        <v>43215</v>
      </c>
      <c r="E759" s="1">
        <f t="shared" si="42"/>
        <v>2018</v>
      </c>
      <c r="F759" s="1">
        <f t="shared" si="43"/>
        <v>4</v>
      </c>
      <c r="G759" s="4">
        <f t="shared" si="44"/>
        <v>25</v>
      </c>
      <c r="H759" s="8">
        <v>0.59097222222222223</v>
      </c>
      <c r="I759" s="11">
        <f t="shared" si="45"/>
        <v>124.74933333333334</v>
      </c>
      <c r="J759" s="11">
        <f t="shared" si="46"/>
        <v>27.749833333333335</v>
      </c>
      <c r="K759" s="9">
        <v>50.104999999999997</v>
      </c>
      <c r="L759" s="9">
        <v>50</v>
      </c>
      <c r="M759" s="9">
        <v>0</v>
      </c>
      <c r="N759" s="12">
        <v>19.893899999999999</v>
      </c>
      <c r="O759" s="11">
        <v>34.099400000000003</v>
      </c>
      <c r="P759" s="31">
        <v>0.14289999705882384</v>
      </c>
      <c r="Q759" s="31">
        <v>0.75576083823529494</v>
      </c>
      <c r="R759" s="26" t="s">
        <v>280</v>
      </c>
      <c r="S759" s="26">
        <v>1</v>
      </c>
      <c r="T759" s="71" t="s">
        <v>626</v>
      </c>
    </row>
    <row r="760" spans="1:20">
      <c r="A760" s="1" t="s">
        <v>288</v>
      </c>
      <c r="B760" s="1">
        <v>63</v>
      </c>
      <c r="C760" s="1" t="s">
        <v>511</v>
      </c>
      <c r="D760" s="5">
        <v>43215</v>
      </c>
      <c r="E760" s="1">
        <f t="shared" si="42"/>
        <v>2018</v>
      </c>
      <c r="F760" s="1">
        <f t="shared" si="43"/>
        <v>4</v>
      </c>
      <c r="G760" s="4">
        <f t="shared" si="44"/>
        <v>25</v>
      </c>
      <c r="H760" s="8">
        <v>0.59097222222222223</v>
      </c>
      <c r="I760" s="11">
        <f t="shared" si="45"/>
        <v>124.74933333333334</v>
      </c>
      <c r="J760" s="11">
        <f t="shared" si="46"/>
        <v>27.749833333333335</v>
      </c>
      <c r="K760" s="9">
        <v>29.885000000000002</v>
      </c>
      <c r="L760" s="9">
        <v>30</v>
      </c>
      <c r="M760" s="9">
        <v>0</v>
      </c>
      <c r="N760" s="12">
        <v>20.108899999999998</v>
      </c>
      <c r="O760" s="11">
        <v>33.9925</v>
      </c>
      <c r="P760" s="31">
        <v>0.22679980441176473</v>
      </c>
      <c r="Q760" s="31">
        <v>0.72306511764705839</v>
      </c>
      <c r="R760" s="26" t="s">
        <v>280</v>
      </c>
      <c r="S760" s="26">
        <v>1</v>
      </c>
      <c r="T760" s="71" t="s">
        <v>626</v>
      </c>
    </row>
    <row r="761" spans="1:20">
      <c r="A761" s="1" t="s">
        <v>288</v>
      </c>
      <c r="B761" s="1">
        <v>63</v>
      </c>
      <c r="C761" s="1" t="s">
        <v>511</v>
      </c>
      <c r="D761" s="5">
        <v>43215</v>
      </c>
      <c r="E761" s="1">
        <f t="shared" si="42"/>
        <v>2018</v>
      </c>
      <c r="F761" s="1">
        <f t="shared" si="43"/>
        <v>4</v>
      </c>
      <c r="G761" s="4">
        <f t="shared" si="44"/>
        <v>25</v>
      </c>
      <c r="H761" s="8">
        <v>0.59097222222222223</v>
      </c>
      <c r="I761" s="11">
        <f t="shared" si="45"/>
        <v>124.74933333333334</v>
      </c>
      <c r="J761" s="11">
        <f t="shared" si="46"/>
        <v>27.749833333333335</v>
      </c>
      <c r="K761" s="9">
        <v>19.670000000000002</v>
      </c>
      <c r="L761" s="9">
        <v>20</v>
      </c>
      <c r="M761" s="9">
        <v>0</v>
      </c>
      <c r="N761" s="12">
        <v>20.104900000000001</v>
      </c>
      <c r="O761" s="11">
        <v>33.981499999999997</v>
      </c>
      <c r="P761" s="31">
        <v>0.20892647176470569</v>
      </c>
      <c r="Q761" s="31">
        <v>0.70833404705882153</v>
      </c>
      <c r="R761" s="26" t="s">
        <v>280</v>
      </c>
      <c r="S761" s="26">
        <v>1</v>
      </c>
      <c r="T761" s="71" t="s">
        <v>626</v>
      </c>
    </row>
    <row r="762" spans="1:20">
      <c r="A762" s="1" t="s">
        <v>288</v>
      </c>
      <c r="B762" s="1">
        <v>63</v>
      </c>
      <c r="C762" s="1" t="s">
        <v>511</v>
      </c>
      <c r="D762" s="5">
        <v>43215</v>
      </c>
      <c r="E762" s="1">
        <f t="shared" si="42"/>
        <v>2018</v>
      </c>
      <c r="F762" s="1">
        <f t="shared" si="43"/>
        <v>4</v>
      </c>
      <c r="G762" s="4">
        <f t="shared" si="44"/>
        <v>25</v>
      </c>
      <c r="H762" s="8">
        <v>0.59097222222222223</v>
      </c>
      <c r="I762" s="11">
        <f t="shared" si="45"/>
        <v>124.74933333333334</v>
      </c>
      <c r="J762" s="11">
        <f t="shared" si="46"/>
        <v>27.749833333333335</v>
      </c>
      <c r="K762" s="9">
        <v>10.007999999999999</v>
      </c>
      <c r="L762" s="9">
        <v>10</v>
      </c>
      <c r="M762" s="9">
        <v>0</v>
      </c>
      <c r="N762" s="12">
        <v>20.1007</v>
      </c>
      <c r="O762" s="11">
        <v>33.976199999999999</v>
      </c>
      <c r="P762" s="31">
        <v>4.0771576470588267E-2</v>
      </c>
      <c r="Q762" s="31">
        <v>0.39101502352941253</v>
      </c>
      <c r="R762" s="26" t="s">
        <v>280</v>
      </c>
      <c r="S762" s="26">
        <v>1</v>
      </c>
      <c r="T762" s="71" t="s">
        <v>626</v>
      </c>
    </row>
    <row r="763" spans="1:20">
      <c r="A763" s="1" t="s">
        <v>288</v>
      </c>
      <c r="B763" s="1">
        <v>49</v>
      </c>
      <c r="C763" s="1" t="s">
        <v>511</v>
      </c>
      <c r="D763" s="5">
        <v>43212</v>
      </c>
      <c r="E763" s="1">
        <f t="shared" si="42"/>
        <v>2018</v>
      </c>
      <c r="F763" s="1">
        <f t="shared" si="43"/>
        <v>4</v>
      </c>
      <c r="G763" s="4">
        <f t="shared" si="44"/>
        <v>22</v>
      </c>
      <c r="H763" s="8">
        <v>0.9375</v>
      </c>
      <c r="I763" s="11">
        <f t="shared" ref="I763:I774" si="47">126+15.23/60</f>
        <v>126.25383333333333</v>
      </c>
      <c r="J763" s="11">
        <f t="shared" ref="J763:J774" si="48">27+15.43/60</f>
        <v>27.257166666666667</v>
      </c>
      <c r="K763" s="9">
        <v>0</v>
      </c>
      <c r="L763" s="9">
        <v>0</v>
      </c>
      <c r="M763" s="27">
        <v>0</v>
      </c>
      <c r="N763" s="12">
        <v>25.3</v>
      </c>
      <c r="O763" s="11">
        <v>34.292081199029667</v>
      </c>
      <c r="P763" s="31">
        <v>0.19926317176470576</v>
      </c>
      <c r="Q763" s="31">
        <v>1.0638367882352942</v>
      </c>
      <c r="R763" s="26" t="s">
        <v>280</v>
      </c>
      <c r="S763" s="26">
        <v>1</v>
      </c>
      <c r="T763" s="71" t="s">
        <v>626</v>
      </c>
    </row>
    <row r="764" spans="1:20">
      <c r="A764" s="1" t="s">
        <v>288</v>
      </c>
      <c r="B764" s="1">
        <v>49</v>
      </c>
      <c r="C764" s="1" t="s">
        <v>511</v>
      </c>
      <c r="D764" s="5">
        <v>43212</v>
      </c>
      <c r="E764" s="1">
        <f t="shared" si="42"/>
        <v>2018</v>
      </c>
      <c r="F764" s="1">
        <f t="shared" si="43"/>
        <v>4</v>
      </c>
      <c r="G764" s="4">
        <f t="shared" si="44"/>
        <v>22</v>
      </c>
      <c r="H764" s="8">
        <v>0.9375</v>
      </c>
      <c r="I764" s="11">
        <f t="shared" si="47"/>
        <v>126.25383333333333</v>
      </c>
      <c r="J764" s="11">
        <f t="shared" si="48"/>
        <v>27.257166666666667</v>
      </c>
      <c r="K764" s="9">
        <v>501.01499999999999</v>
      </c>
      <c r="L764" s="9">
        <v>500</v>
      </c>
      <c r="M764" s="9">
        <v>0</v>
      </c>
      <c r="N764" s="12">
        <v>7.4931999999999999</v>
      </c>
      <c r="O764" s="11">
        <v>34.3249</v>
      </c>
      <c r="P764" s="31">
        <v>-1.3208552941176066E-2</v>
      </c>
      <c r="Q764" s="31">
        <v>-0.68544204705882272</v>
      </c>
      <c r="R764" s="26" t="s">
        <v>280</v>
      </c>
      <c r="S764" s="26">
        <v>1</v>
      </c>
      <c r="T764" s="71" t="s">
        <v>626</v>
      </c>
    </row>
    <row r="765" spans="1:20">
      <c r="A765" s="1" t="s">
        <v>288</v>
      </c>
      <c r="B765" s="1">
        <v>49</v>
      </c>
      <c r="C765" s="1" t="s">
        <v>511</v>
      </c>
      <c r="D765" s="5">
        <v>43212</v>
      </c>
      <c r="E765" s="1">
        <f t="shared" si="42"/>
        <v>2018</v>
      </c>
      <c r="F765" s="1">
        <f t="shared" si="43"/>
        <v>4</v>
      </c>
      <c r="G765" s="4">
        <f t="shared" si="44"/>
        <v>22</v>
      </c>
      <c r="H765" s="8">
        <v>0.9375</v>
      </c>
      <c r="I765" s="11">
        <f t="shared" si="47"/>
        <v>126.25383333333333</v>
      </c>
      <c r="J765" s="11">
        <f t="shared" si="48"/>
        <v>27.257166666666667</v>
      </c>
      <c r="K765" s="9">
        <v>299.149</v>
      </c>
      <c r="L765" s="9">
        <v>300</v>
      </c>
      <c r="M765" s="9">
        <v>0</v>
      </c>
      <c r="N765" s="12">
        <v>11.543699999999999</v>
      </c>
      <c r="O765" s="11">
        <v>34.395000000000003</v>
      </c>
      <c r="P765" s="31">
        <v>6.942908235294154E-2</v>
      </c>
      <c r="Q765" s="31">
        <v>-7.8597242352941521E-2</v>
      </c>
      <c r="R765" s="26" t="s">
        <v>280</v>
      </c>
      <c r="S765" s="26">
        <v>1</v>
      </c>
      <c r="T765" s="71" t="s">
        <v>626</v>
      </c>
    </row>
    <row r="766" spans="1:20">
      <c r="A766" s="1" t="s">
        <v>288</v>
      </c>
      <c r="B766" s="1">
        <v>49</v>
      </c>
      <c r="C766" s="1" t="s">
        <v>511</v>
      </c>
      <c r="D766" s="5">
        <v>43212</v>
      </c>
      <c r="E766" s="1">
        <f t="shared" si="42"/>
        <v>2018</v>
      </c>
      <c r="F766" s="1">
        <f t="shared" si="43"/>
        <v>4</v>
      </c>
      <c r="G766" s="4">
        <f t="shared" si="44"/>
        <v>22</v>
      </c>
      <c r="H766" s="8">
        <v>0.9375</v>
      </c>
      <c r="I766" s="11">
        <f t="shared" si="47"/>
        <v>126.25383333333333</v>
      </c>
      <c r="J766" s="11">
        <f t="shared" si="48"/>
        <v>27.257166666666667</v>
      </c>
      <c r="K766" s="9">
        <v>202.43100000000001</v>
      </c>
      <c r="L766" s="9">
        <v>200</v>
      </c>
      <c r="M766" s="9">
        <v>0</v>
      </c>
      <c r="N766" s="12">
        <v>17.605599999999999</v>
      </c>
      <c r="O766" s="11">
        <v>34.691099999999999</v>
      </c>
      <c r="P766" s="31">
        <v>0.27398851764705823</v>
      </c>
      <c r="Q766" s="31">
        <v>1.5192764823529412</v>
      </c>
      <c r="R766" s="26" t="s">
        <v>280</v>
      </c>
      <c r="S766" s="26">
        <v>1</v>
      </c>
      <c r="T766" s="71" t="s">
        <v>626</v>
      </c>
    </row>
    <row r="767" spans="1:20">
      <c r="A767" s="1" t="s">
        <v>288</v>
      </c>
      <c r="B767" s="1">
        <v>49</v>
      </c>
      <c r="C767" s="1" t="s">
        <v>511</v>
      </c>
      <c r="D767" s="5">
        <v>43212</v>
      </c>
      <c r="E767" s="1">
        <f t="shared" si="42"/>
        <v>2018</v>
      </c>
      <c r="F767" s="1">
        <f t="shared" si="43"/>
        <v>4</v>
      </c>
      <c r="G767" s="4">
        <f t="shared" si="44"/>
        <v>22</v>
      </c>
      <c r="H767" s="8">
        <v>0.9375</v>
      </c>
      <c r="I767" s="11">
        <f t="shared" si="47"/>
        <v>126.25383333333333</v>
      </c>
      <c r="J767" s="11">
        <f t="shared" si="48"/>
        <v>27.257166666666667</v>
      </c>
      <c r="K767" s="9">
        <v>150.226</v>
      </c>
      <c r="L767" s="9">
        <v>150</v>
      </c>
      <c r="M767" s="9">
        <v>0</v>
      </c>
      <c r="N767" s="12">
        <v>18.811399999999999</v>
      </c>
      <c r="O767" s="11">
        <v>34.691299999999998</v>
      </c>
      <c r="P767" s="31">
        <v>0.25167403294117596</v>
      </c>
      <c r="Q767" s="31">
        <v>1.3499102070588229</v>
      </c>
      <c r="R767" s="26" t="s">
        <v>280</v>
      </c>
      <c r="S767" s="26">
        <v>1</v>
      </c>
      <c r="T767" s="71" t="s">
        <v>626</v>
      </c>
    </row>
    <row r="768" spans="1:20">
      <c r="A768" s="1" t="s">
        <v>288</v>
      </c>
      <c r="B768" s="1">
        <v>49</v>
      </c>
      <c r="C768" s="1" t="s">
        <v>511</v>
      </c>
      <c r="D768" s="5">
        <v>43212</v>
      </c>
      <c r="E768" s="1">
        <f t="shared" si="42"/>
        <v>2018</v>
      </c>
      <c r="F768" s="1">
        <f t="shared" si="43"/>
        <v>4</v>
      </c>
      <c r="G768" s="4">
        <f t="shared" si="44"/>
        <v>22</v>
      </c>
      <c r="H768" s="8">
        <v>0.9375</v>
      </c>
      <c r="I768" s="11">
        <f t="shared" si="47"/>
        <v>126.25383333333333</v>
      </c>
      <c r="J768" s="11">
        <f t="shared" si="48"/>
        <v>27.257166666666667</v>
      </c>
      <c r="K768" s="9">
        <v>123.42100000000001</v>
      </c>
      <c r="L768" s="9">
        <v>125</v>
      </c>
      <c r="M768" s="9">
        <v>0</v>
      </c>
      <c r="N768" s="12">
        <v>20.0474</v>
      </c>
      <c r="O768" s="11">
        <v>34.765900000000002</v>
      </c>
      <c r="P768" s="31">
        <v>0.32455282823529386</v>
      </c>
      <c r="Q768" s="31">
        <v>1.8039869317647064</v>
      </c>
      <c r="R768" s="26" t="s">
        <v>280</v>
      </c>
      <c r="S768" s="26">
        <v>1</v>
      </c>
      <c r="T768" s="71" t="s">
        <v>626</v>
      </c>
    </row>
    <row r="769" spans="1:20">
      <c r="A769" s="1" t="s">
        <v>288</v>
      </c>
      <c r="B769" s="1">
        <v>49</v>
      </c>
      <c r="C769" s="1" t="s">
        <v>511</v>
      </c>
      <c r="D769" s="5">
        <v>43212</v>
      </c>
      <c r="E769" s="1">
        <f t="shared" si="42"/>
        <v>2018</v>
      </c>
      <c r="F769" s="1">
        <f t="shared" si="43"/>
        <v>4</v>
      </c>
      <c r="G769" s="4">
        <f t="shared" si="44"/>
        <v>22</v>
      </c>
      <c r="H769" s="8">
        <v>0.9375</v>
      </c>
      <c r="I769" s="11">
        <f t="shared" si="47"/>
        <v>126.25383333333333</v>
      </c>
      <c r="J769" s="11">
        <f t="shared" si="48"/>
        <v>27.257166666666667</v>
      </c>
      <c r="K769" s="9">
        <v>100.996</v>
      </c>
      <c r="L769" s="9">
        <v>100</v>
      </c>
      <c r="M769" s="9">
        <v>0</v>
      </c>
      <c r="N769" s="12">
        <v>21.297699999999999</v>
      </c>
      <c r="O769" s="11">
        <v>34.944800000000001</v>
      </c>
      <c r="P769" s="31">
        <v>0.32478064941176532</v>
      </c>
      <c r="Q769" s="31">
        <v>2.1921675505882359</v>
      </c>
      <c r="R769" s="26" t="s">
        <v>280</v>
      </c>
      <c r="S769" s="26">
        <v>1</v>
      </c>
      <c r="T769" s="71" t="s">
        <v>626</v>
      </c>
    </row>
    <row r="770" spans="1:20">
      <c r="A770" s="1" t="s">
        <v>288</v>
      </c>
      <c r="B770" s="1">
        <v>49</v>
      </c>
      <c r="C770" s="1" t="s">
        <v>511</v>
      </c>
      <c r="D770" s="5">
        <v>43212</v>
      </c>
      <c r="E770" s="1">
        <f t="shared" si="42"/>
        <v>2018</v>
      </c>
      <c r="F770" s="1">
        <f t="shared" si="43"/>
        <v>4</v>
      </c>
      <c r="G770" s="4">
        <f t="shared" si="44"/>
        <v>22</v>
      </c>
      <c r="H770" s="8">
        <v>0.9375</v>
      </c>
      <c r="I770" s="11">
        <f t="shared" si="47"/>
        <v>126.25383333333333</v>
      </c>
      <c r="J770" s="11">
        <f t="shared" si="48"/>
        <v>27.257166666666667</v>
      </c>
      <c r="K770" s="9">
        <v>75.289000000000001</v>
      </c>
      <c r="L770" s="9">
        <v>75</v>
      </c>
      <c r="M770" s="9">
        <v>0</v>
      </c>
      <c r="N770" s="12">
        <v>23.590399999999999</v>
      </c>
      <c r="O770" s="11">
        <v>34.711599999999997</v>
      </c>
      <c r="P770" s="31">
        <v>0.26903640470588286</v>
      </c>
      <c r="Q770" s="31">
        <v>1.7763694752941177</v>
      </c>
      <c r="R770" s="26" t="s">
        <v>280</v>
      </c>
      <c r="S770" s="26">
        <v>1</v>
      </c>
      <c r="T770" s="71" t="s">
        <v>626</v>
      </c>
    </row>
    <row r="771" spans="1:20">
      <c r="A771" s="1" t="s">
        <v>288</v>
      </c>
      <c r="B771" s="1">
        <v>49</v>
      </c>
      <c r="C771" s="1" t="s">
        <v>511</v>
      </c>
      <c r="D771" s="5">
        <v>43212</v>
      </c>
      <c r="E771" s="1">
        <f t="shared" ref="E771:E834" si="49">YEAR(D771)</f>
        <v>2018</v>
      </c>
      <c r="F771" s="1">
        <f t="shared" ref="F771:F834" si="50">MONTH(D771)</f>
        <v>4</v>
      </c>
      <c r="G771" s="4">
        <f t="shared" ref="G771:G834" si="51">DAY(D771)</f>
        <v>22</v>
      </c>
      <c r="H771" s="8">
        <v>0.9375</v>
      </c>
      <c r="I771" s="11">
        <f t="shared" si="47"/>
        <v>126.25383333333333</v>
      </c>
      <c r="J771" s="11">
        <f t="shared" si="48"/>
        <v>27.257166666666667</v>
      </c>
      <c r="K771" s="9">
        <v>50.476999999999997</v>
      </c>
      <c r="L771" s="9">
        <v>50</v>
      </c>
      <c r="M771" s="9">
        <v>0</v>
      </c>
      <c r="N771" s="12">
        <v>24.288</v>
      </c>
      <c r="O771" s="11">
        <v>34.310200000000002</v>
      </c>
      <c r="P771" s="31">
        <v>0.13236767999999977</v>
      </c>
      <c r="Q771" s="31">
        <v>1.0289193600000015</v>
      </c>
      <c r="R771" s="26" t="s">
        <v>280</v>
      </c>
      <c r="S771" s="26">
        <v>1</v>
      </c>
      <c r="T771" s="71" t="s">
        <v>626</v>
      </c>
    </row>
    <row r="772" spans="1:20">
      <c r="A772" s="1" t="s">
        <v>288</v>
      </c>
      <c r="B772" s="1">
        <v>49</v>
      </c>
      <c r="C772" s="1" t="s">
        <v>511</v>
      </c>
      <c r="D772" s="5">
        <v>43212</v>
      </c>
      <c r="E772" s="1">
        <f t="shared" si="49"/>
        <v>2018</v>
      </c>
      <c r="F772" s="1">
        <f t="shared" si="50"/>
        <v>4</v>
      </c>
      <c r="G772" s="4">
        <f t="shared" si="51"/>
        <v>22</v>
      </c>
      <c r="H772" s="8">
        <v>0.9375</v>
      </c>
      <c r="I772" s="11">
        <f t="shared" si="47"/>
        <v>126.25383333333333</v>
      </c>
      <c r="J772" s="11">
        <f t="shared" si="48"/>
        <v>27.257166666666667</v>
      </c>
      <c r="K772" s="9">
        <v>29.707000000000001</v>
      </c>
      <c r="L772" s="9">
        <v>30</v>
      </c>
      <c r="M772" s="9">
        <v>0</v>
      </c>
      <c r="N772" s="12">
        <v>25.256900000000002</v>
      </c>
      <c r="O772" s="11">
        <v>34.296700000000001</v>
      </c>
      <c r="P772" s="31">
        <v>0.15571335529411767</v>
      </c>
      <c r="Q772" s="31">
        <v>1.0207646447058814</v>
      </c>
      <c r="R772" s="26" t="s">
        <v>280</v>
      </c>
      <c r="S772" s="26">
        <v>1</v>
      </c>
      <c r="T772" s="71" t="s">
        <v>626</v>
      </c>
    </row>
    <row r="773" spans="1:20">
      <c r="A773" s="1" t="s">
        <v>288</v>
      </c>
      <c r="B773" s="1">
        <v>49</v>
      </c>
      <c r="C773" s="1" t="s">
        <v>511</v>
      </c>
      <c r="D773" s="5">
        <v>43212</v>
      </c>
      <c r="E773" s="1">
        <f t="shared" si="49"/>
        <v>2018</v>
      </c>
      <c r="F773" s="1">
        <f t="shared" si="50"/>
        <v>4</v>
      </c>
      <c r="G773" s="4">
        <f t="shared" si="51"/>
        <v>22</v>
      </c>
      <c r="H773" s="8">
        <v>0.9375</v>
      </c>
      <c r="I773" s="11">
        <f t="shared" si="47"/>
        <v>126.25383333333333</v>
      </c>
      <c r="J773" s="11">
        <f t="shared" si="48"/>
        <v>27.257166666666667</v>
      </c>
      <c r="K773" s="9">
        <v>19.152999999999999</v>
      </c>
      <c r="L773" s="9">
        <v>20</v>
      </c>
      <c r="M773" s="9">
        <v>0</v>
      </c>
      <c r="N773" s="12">
        <v>25.2925</v>
      </c>
      <c r="O773" s="11">
        <v>34.297499999999999</v>
      </c>
      <c r="P773" s="31">
        <v>0.12381839058823552</v>
      </c>
      <c r="Q773" s="31">
        <v>0.79838116941176551</v>
      </c>
      <c r="R773" s="26" t="s">
        <v>280</v>
      </c>
      <c r="S773" s="26">
        <v>1</v>
      </c>
      <c r="T773" s="71" t="s">
        <v>626</v>
      </c>
    </row>
    <row r="774" spans="1:20">
      <c r="A774" s="1" t="s">
        <v>288</v>
      </c>
      <c r="B774" s="1">
        <v>49</v>
      </c>
      <c r="C774" s="1" t="s">
        <v>511</v>
      </c>
      <c r="D774" s="5">
        <v>43212</v>
      </c>
      <c r="E774" s="1">
        <f t="shared" si="49"/>
        <v>2018</v>
      </c>
      <c r="F774" s="1">
        <f t="shared" si="50"/>
        <v>4</v>
      </c>
      <c r="G774" s="4">
        <f t="shared" si="51"/>
        <v>22</v>
      </c>
      <c r="H774" s="8">
        <v>0.9375</v>
      </c>
      <c r="I774" s="11">
        <f t="shared" si="47"/>
        <v>126.25383333333333</v>
      </c>
      <c r="J774" s="11">
        <f t="shared" si="48"/>
        <v>27.257166666666667</v>
      </c>
      <c r="K774" s="9">
        <v>9.923</v>
      </c>
      <c r="L774" s="9">
        <v>10</v>
      </c>
      <c r="M774" s="9">
        <v>0</v>
      </c>
      <c r="N774" s="12">
        <v>25.296500000000002</v>
      </c>
      <c r="O774" s="11">
        <v>34.2971</v>
      </c>
      <c r="P774" s="31">
        <v>0.17325558588235301</v>
      </c>
      <c r="Q774" s="31">
        <v>0.96714681411764758</v>
      </c>
      <c r="R774" s="26" t="s">
        <v>280</v>
      </c>
      <c r="S774" s="26">
        <v>1</v>
      </c>
      <c r="T774" s="71" t="s">
        <v>626</v>
      </c>
    </row>
    <row r="775" spans="1:20">
      <c r="A775" s="1" t="s">
        <v>285</v>
      </c>
      <c r="B775" s="1" t="s">
        <v>289</v>
      </c>
      <c r="C775" s="1" t="s">
        <v>511</v>
      </c>
      <c r="D775" s="5">
        <v>43163</v>
      </c>
      <c r="E775" s="1">
        <f t="shared" si="49"/>
        <v>2018</v>
      </c>
      <c r="F775" s="1">
        <f t="shared" si="50"/>
        <v>3</v>
      </c>
      <c r="G775" s="4">
        <f t="shared" si="51"/>
        <v>4</v>
      </c>
      <c r="H775" s="8">
        <v>0.58472222222222225</v>
      </c>
      <c r="I775" s="11">
        <f t="shared" ref="I775:I787" si="52">126+15.11/60</f>
        <v>126.25183333333334</v>
      </c>
      <c r="J775" s="11">
        <f t="shared" ref="J775:J787" si="53">27+15.13/60</f>
        <v>27.252166666666668</v>
      </c>
      <c r="K775" s="9">
        <v>0</v>
      </c>
      <c r="L775" s="9">
        <v>0</v>
      </c>
      <c r="M775" s="27">
        <v>0</v>
      </c>
      <c r="N775" s="12">
        <v>24</v>
      </c>
      <c r="O775" s="11">
        <v>34.727415113292814</v>
      </c>
      <c r="P775" s="31">
        <v>0.19515091999999967</v>
      </c>
      <c r="Q775" s="31">
        <v>1.1769639341176479</v>
      </c>
      <c r="R775" s="26" t="s">
        <v>280</v>
      </c>
      <c r="S775" s="26">
        <v>1</v>
      </c>
      <c r="T775" s="71" t="s">
        <v>626</v>
      </c>
    </row>
    <row r="776" spans="1:20">
      <c r="A776" s="1" t="s">
        <v>285</v>
      </c>
      <c r="B776" s="1" t="s">
        <v>289</v>
      </c>
      <c r="C776" s="1" t="s">
        <v>511</v>
      </c>
      <c r="D776" s="5">
        <v>43163</v>
      </c>
      <c r="E776" s="1">
        <f t="shared" si="49"/>
        <v>2018</v>
      </c>
      <c r="F776" s="1">
        <f t="shared" si="50"/>
        <v>3</v>
      </c>
      <c r="G776" s="4">
        <f t="shared" si="51"/>
        <v>4</v>
      </c>
      <c r="H776" s="8">
        <v>0.58472222222222225</v>
      </c>
      <c r="I776" s="11">
        <f t="shared" si="52"/>
        <v>126.25183333333334</v>
      </c>
      <c r="J776" s="11">
        <f t="shared" si="53"/>
        <v>27.252166666666668</v>
      </c>
      <c r="K776" s="9">
        <v>496.79599999999999</v>
      </c>
      <c r="L776" s="9">
        <v>500</v>
      </c>
      <c r="M776" s="9">
        <v>0</v>
      </c>
      <c r="N776" s="12">
        <v>8.1043000000000003</v>
      </c>
      <c r="O776" s="11">
        <v>34.34330169995355</v>
      </c>
      <c r="P776" s="31">
        <v>-3.0354879999999751E-2</v>
      </c>
      <c r="Q776" s="31">
        <v>-0.66989640705882358</v>
      </c>
      <c r="R776" s="26" t="s">
        <v>280</v>
      </c>
      <c r="S776" s="26">
        <v>1</v>
      </c>
      <c r="T776" s="71" t="s">
        <v>626</v>
      </c>
    </row>
    <row r="777" spans="1:20">
      <c r="A777" s="1" t="s">
        <v>285</v>
      </c>
      <c r="B777" s="1" t="s">
        <v>289</v>
      </c>
      <c r="C777" s="1" t="s">
        <v>511</v>
      </c>
      <c r="D777" s="5">
        <v>43163</v>
      </c>
      <c r="E777" s="1">
        <f t="shared" si="49"/>
        <v>2018</v>
      </c>
      <c r="F777" s="1">
        <f t="shared" si="50"/>
        <v>3</v>
      </c>
      <c r="G777" s="4">
        <f t="shared" si="51"/>
        <v>4</v>
      </c>
      <c r="H777" s="8">
        <v>0.58472222222222225</v>
      </c>
      <c r="I777" s="11">
        <f t="shared" si="52"/>
        <v>126.25183333333334</v>
      </c>
      <c r="J777" s="11">
        <f t="shared" si="53"/>
        <v>27.252166666666668</v>
      </c>
      <c r="K777" s="9">
        <v>297.62099999999998</v>
      </c>
      <c r="L777" s="9">
        <v>300</v>
      </c>
      <c r="M777" s="9">
        <v>0</v>
      </c>
      <c r="N777" s="12">
        <v>16.0717</v>
      </c>
      <c r="O777" s="11">
        <v>34.405783367344952</v>
      </c>
      <c r="P777" s="31">
        <v>0.19794955999999964</v>
      </c>
      <c r="Q777" s="31">
        <v>1.1687254517647059</v>
      </c>
      <c r="R777" s="26" t="s">
        <v>280</v>
      </c>
      <c r="S777" s="26">
        <v>1</v>
      </c>
      <c r="T777" s="71" t="s">
        <v>626</v>
      </c>
    </row>
    <row r="778" spans="1:20">
      <c r="A778" s="1" t="s">
        <v>285</v>
      </c>
      <c r="B778" s="1" t="s">
        <v>289</v>
      </c>
      <c r="C778" s="1" t="s">
        <v>511</v>
      </c>
      <c r="D778" s="5">
        <v>43163</v>
      </c>
      <c r="E778" s="1">
        <f t="shared" si="49"/>
        <v>2018</v>
      </c>
      <c r="F778" s="1">
        <f t="shared" si="50"/>
        <v>3</v>
      </c>
      <c r="G778" s="4">
        <f t="shared" si="51"/>
        <v>4</v>
      </c>
      <c r="H778" s="8">
        <v>0.58472222222222225</v>
      </c>
      <c r="I778" s="11">
        <f t="shared" si="52"/>
        <v>126.25183333333334</v>
      </c>
      <c r="J778" s="11">
        <f t="shared" si="53"/>
        <v>27.252166666666668</v>
      </c>
      <c r="K778" s="9">
        <v>198.61199999999999</v>
      </c>
      <c r="L778" s="9">
        <v>200</v>
      </c>
      <c r="M778" s="9">
        <v>0</v>
      </c>
      <c r="N778" s="12">
        <v>19.902899999999999</v>
      </c>
      <c r="O778" s="11">
        <v>34.650874602854145</v>
      </c>
      <c r="P778" s="31">
        <v>0.37806716000000007</v>
      </c>
      <c r="Q778" s="31">
        <v>2.1584033905882354</v>
      </c>
      <c r="R778" s="26" t="s">
        <v>280</v>
      </c>
      <c r="S778" s="26">
        <v>1</v>
      </c>
      <c r="T778" s="71" t="s">
        <v>626</v>
      </c>
    </row>
    <row r="779" spans="1:20">
      <c r="A779" s="1" t="s">
        <v>285</v>
      </c>
      <c r="B779" s="1" t="s">
        <v>289</v>
      </c>
      <c r="C779" s="1" t="s">
        <v>511</v>
      </c>
      <c r="D779" s="5">
        <v>43163</v>
      </c>
      <c r="E779" s="1">
        <f t="shared" si="49"/>
        <v>2018</v>
      </c>
      <c r="F779" s="1">
        <f t="shared" si="50"/>
        <v>3</v>
      </c>
      <c r="G779" s="4">
        <f t="shared" si="51"/>
        <v>4</v>
      </c>
      <c r="H779" s="8">
        <v>0.58472222222222225</v>
      </c>
      <c r="I779" s="11">
        <f t="shared" si="52"/>
        <v>126.25183333333334</v>
      </c>
      <c r="J779" s="11">
        <f t="shared" si="53"/>
        <v>27.252166666666668</v>
      </c>
      <c r="K779" s="9">
        <v>148.392</v>
      </c>
      <c r="L779" s="9">
        <v>150</v>
      </c>
      <c r="M779" s="9">
        <v>0</v>
      </c>
      <c r="N779" s="12">
        <v>21.537700000000001</v>
      </c>
      <c r="O779" s="11">
        <v>34.680100282236843</v>
      </c>
      <c r="P779" s="31">
        <v>0.19871499999999953</v>
      </c>
      <c r="Q779" s="31">
        <v>1.3283561294117625</v>
      </c>
      <c r="R779" s="26" t="s">
        <v>280</v>
      </c>
      <c r="S779" s="26">
        <v>1</v>
      </c>
      <c r="T779" s="71" t="s">
        <v>626</v>
      </c>
    </row>
    <row r="780" spans="1:20">
      <c r="A780" s="1" t="s">
        <v>285</v>
      </c>
      <c r="B780" s="1" t="s">
        <v>289</v>
      </c>
      <c r="C780" s="1" t="s">
        <v>511</v>
      </c>
      <c r="D780" s="5">
        <v>43163</v>
      </c>
      <c r="E780" s="1">
        <f t="shared" si="49"/>
        <v>2018</v>
      </c>
      <c r="F780" s="1">
        <f t="shared" si="50"/>
        <v>3</v>
      </c>
      <c r="G780" s="4">
        <f t="shared" si="51"/>
        <v>4</v>
      </c>
      <c r="H780" s="8">
        <v>0.58472222222222225</v>
      </c>
      <c r="I780" s="11">
        <f t="shared" si="52"/>
        <v>126.25183333333334</v>
      </c>
      <c r="J780" s="11">
        <f t="shared" si="53"/>
        <v>27.252166666666668</v>
      </c>
      <c r="K780" s="9">
        <v>123.803</v>
      </c>
      <c r="L780" s="9">
        <v>125</v>
      </c>
      <c r="M780" s="9">
        <v>0</v>
      </c>
      <c r="N780" s="12">
        <v>22.267099999999999</v>
      </c>
      <c r="O780" s="11">
        <v>34.663147756936503</v>
      </c>
      <c r="P780" s="31">
        <v>0.22593596000000016</v>
      </c>
      <c r="Q780" s="31">
        <v>1.4379452282352929</v>
      </c>
      <c r="R780" s="26" t="s">
        <v>280</v>
      </c>
      <c r="S780" s="26">
        <v>1</v>
      </c>
      <c r="T780" s="71" t="s">
        <v>626</v>
      </c>
    </row>
    <row r="781" spans="1:20">
      <c r="A781" s="1" t="s">
        <v>285</v>
      </c>
      <c r="B781" s="1" t="s">
        <v>289</v>
      </c>
      <c r="C781" s="1" t="s">
        <v>511</v>
      </c>
      <c r="D781" s="5">
        <v>43163</v>
      </c>
      <c r="E781" s="1">
        <f t="shared" si="49"/>
        <v>2018</v>
      </c>
      <c r="F781" s="1">
        <f t="shared" si="50"/>
        <v>3</v>
      </c>
      <c r="G781" s="4">
        <f t="shared" si="51"/>
        <v>4</v>
      </c>
      <c r="H781" s="8">
        <v>0.58472222222222225</v>
      </c>
      <c r="I781" s="11">
        <f t="shared" si="52"/>
        <v>126.25183333333334</v>
      </c>
      <c r="J781" s="11">
        <f t="shared" si="53"/>
        <v>27.252166666666668</v>
      </c>
      <c r="K781" s="9">
        <v>99.013000000000005</v>
      </c>
      <c r="L781" s="9">
        <v>100</v>
      </c>
      <c r="M781" s="9">
        <v>0</v>
      </c>
      <c r="N781" s="12">
        <v>22.8903</v>
      </c>
      <c r="O781" s="11">
        <v>34.666697303705384</v>
      </c>
      <c r="P781" s="31">
        <v>0.18321483999999977</v>
      </c>
      <c r="Q781" s="31">
        <v>1.2327551670588228</v>
      </c>
      <c r="R781" s="26" t="s">
        <v>280</v>
      </c>
      <c r="S781" s="26">
        <v>1</v>
      </c>
      <c r="T781" s="71" t="s">
        <v>626</v>
      </c>
    </row>
    <row r="782" spans="1:20">
      <c r="A782" s="1" t="s">
        <v>285</v>
      </c>
      <c r="B782" s="1" t="s">
        <v>289</v>
      </c>
      <c r="C782" s="1" t="s">
        <v>511</v>
      </c>
      <c r="D782" s="5">
        <v>43163</v>
      </c>
      <c r="E782" s="1">
        <f t="shared" si="49"/>
        <v>2018</v>
      </c>
      <c r="F782" s="1">
        <f t="shared" si="50"/>
        <v>3</v>
      </c>
      <c r="G782" s="4">
        <f t="shared" si="51"/>
        <v>4</v>
      </c>
      <c r="H782" s="8">
        <v>0.58472222222222225</v>
      </c>
      <c r="I782" s="11">
        <f t="shared" si="52"/>
        <v>126.25183333333334</v>
      </c>
      <c r="J782" s="11">
        <f t="shared" si="53"/>
        <v>27.252166666666668</v>
      </c>
      <c r="K782" s="9">
        <v>74.037000000000006</v>
      </c>
      <c r="L782" s="9">
        <v>75</v>
      </c>
      <c r="M782" s="9">
        <v>0</v>
      </c>
      <c r="N782" s="12">
        <v>23.563500000000001</v>
      </c>
      <c r="O782" s="11">
        <v>34.667561352548788</v>
      </c>
      <c r="P782" s="31">
        <v>0.13106923999999975</v>
      </c>
      <c r="Q782" s="31">
        <v>1.1725969623529391</v>
      </c>
      <c r="R782" s="26" t="s">
        <v>280</v>
      </c>
      <c r="S782" s="26">
        <v>1</v>
      </c>
      <c r="T782" s="71" t="s">
        <v>626</v>
      </c>
    </row>
    <row r="783" spans="1:20">
      <c r="A783" s="1" t="s">
        <v>285</v>
      </c>
      <c r="B783" s="1" t="s">
        <v>289</v>
      </c>
      <c r="C783" s="1" t="s">
        <v>511</v>
      </c>
      <c r="D783" s="5">
        <v>43163</v>
      </c>
      <c r="E783" s="1">
        <f t="shared" si="49"/>
        <v>2018</v>
      </c>
      <c r="F783" s="1">
        <f t="shared" si="50"/>
        <v>3</v>
      </c>
      <c r="G783" s="4">
        <f t="shared" si="51"/>
        <v>4</v>
      </c>
      <c r="H783" s="8">
        <v>0.58472222222222225</v>
      </c>
      <c r="I783" s="11">
        <f t="shared" si="52"/>
        <v>126.25183333333334</v>
      </c>
      <c r="J783" s="11">
        <f t="shared" si="53"/>
        <v>27.252166666666668</v>
      </c>
      <c r="K783" s="9">
        <v>49.930999999999997</v>
      </c>
      <c r="L783" s="9">
        <v>50</v>
      </c>
      <c r="M783" s="9">
        <v>0</v>
      </c>
      <c r="N783" s="12">
        <v>23.666799999999999</v>
      </c>
      <c r="O783" s="11">
        <v>34.711136418331755</v>
      </c>
      <c r="P783" s="31">
        <v>0.15951011999999976</v>
      </c>
      <c r="Q783" s="31">
        <v>1.1538846611764715</v>
      </c>
      <c r="R783" s="26" t="s">
        <v>280</v>
      </c>
      <c r="S783" s="26">
        <v>1</v>
      </c>
      <c r="T783" s="71" t="s">
        <v>626</v>
      </c>
    </row>
    <row r="784" spans="1:20">
      <c r="A784" s="1" t="s">
        <v>285</v>
      </c>
      <c r="B784" s="1" t="s">
        <v>289</v>
      </c>
      <c r="C784" s="1" t="s">
        <v>511</v>
      </c>
      <c r="D784" s="5">
        <v>43163</v>
      </c>
      <c r="E784" s="1">
        <f t="shared" si="49"/>
        <v>2018</v>
      </c>
      <c r="F784" s="1">
        <f t="shared" si="50"/>
        <v>3</v>
      </c>
      <c r="G784" s="4">
        <f t="shared" si="51"/>
        <v>4</v>
      </c>
      <c r="H784" s="8">
        <v>0.58472222222222225</v>
      </c>
      <c r="I784" s="11">
        <f t="shared" si="52"/>
        <v>126.25183333333334</v>
      </c>
      <c r="J784" s="11">
        <f t="shared" si="53"/>
        <v>27.252166666666668</v>
      </c>
      <c r="K784" s="9">
        <v>29.608000000000001</v>
      </c>
      <c r="L784" s="9">
        <v>30</v>
      </c>
      <c r="M784" s="9">
        <v>0</v>
      </c>
      <c r="N784" s="12">
        <v>23.8429</v>
      </c>
      <c r="O784" s="11">
        <v>34.692740277409229</v>
      </c>
      <c r="P784" s="31">
        <v>0.23308804000000016</v>
      </c>
      <c r="Q784" s="31">
        <v>1.3210624800000019</v>
      </c>
      <c r="R784" s="26" t="s">
        <v>280</v>
      </c>
      <c r="S784" s="26">
        <v>1</v>
      </c>
      <c r="T784" s="71" t="s">
        <v>626</v>
      </c>
    </row>
    <row r="785" spans="1:20">
      <c r="A785" s="1" t="s">
        <v>285</v>
      </c>
      <c r="B785" s="1" t="s">
        <v>289</v>
      </c>
      <c r="C785" s="1" t="s">
        <v>511</v>
      </c>
      <c r="D785" s="5">
        <v>43163</v>
      </c>
      <c r="E785" s="1">
        <f t="shared" si="49"/>
        <v>2018</v>
      </c>
      <c r="F785" s="1">
        <f t="shared" si="50"/>
        <v>3</v>
      </c>
      <c r="G785" s="4">
        <f t="shared" si="51"/>
        <v>4</v>
      </c>
      <c r="H785" s="8">
        <v>0.58472222222222225</v>
      </c>
      <c r="I785" s="11">
        <f t="shared" si="52"/>
        <v>126.25183333333334</v>
      </c>
      <c r="J785" s="11">
        <f t="shared" si="53"/>
        <v>27.252166666666668</v>
      </c>
      <c r="K785" s="9">
        <v>20.007999999999999</v>
      </c>
      <c r="L785" s="9">
        <v>20</v>
      </c>
      <c r="M785" s="9">
        <v>0</v>
      </c>
      <c r="N785" s="12">
        <v>23.886299999999999</v>
      </c>
      <c r="O785" s="11">
        <v>34.690263509701062</v>
      </c>
      <c r="P785" s="31">
        <v>0.20785244000000036</v>
      </c>
      <c r="Q785" s="31">
        <v>1.2672876588235304</v>
      </c>
      <c r="R785" s="26" t="s">
        <v>280</v>
      </c>
      <c r="S785" s="26">
        <v>1</v>
      </c>
      <c r="T785" s="71" t="s">
        <v>626</v>
      </c>
    </row>
    <row r="786" spans="1:20">
      <c r="A786" s="1" t="s">
        <v>285</v>
      </c>
      <c r="B786" s="1" t="s">
        <v>289</v>
      </c>
      <c r="C786" s="1" t="s">
        <v>511</v>
      </c>
      <c r="D786" s="5">
        <v>43163</v>
      </c>
      <c r="E786" s="1">
        <f t="shared" si="49"/>
        <v>2018</v>
      </c>
      <c r="F786" s="1">
        <f t="shared" si="50"/>
        <v>3</v>
      </c>
      <c r="G786" s="4">
        <f t="shared" si="51"/>
        <v>4</v>
      </c>
      <c r="H786" s="8">
        <v>0.58472222222222225</v>
      </c>
      <c r="I786" s="11">
        <f t="shared" si="52"/>
        <v>126.25183333333334</v>
      </c>
      <c r="J786" s="11">
        <f t="shared" si="53"/>
        <v>27.252166666666668</v>
      </c>
      <c r="K786" s="9">
        <v>9.8049999999999997</v>
      </c>
      <c r="L786" s="9">
        <v>10</v>
      </c>
      <c r="M786" s="9">
        <v>0</v>
      </c>
      <c r="N786" s="12">
        <v>23.8475</v>
      </c>
      <c r="O786" s="11">
        <v>34.70914314153729</v>
      </c>
      <c r="P786" s="31">
        <v>0.20416875999999995</v>
      </c>
      <c r="Q786" s="31">
        <v>1.3038135176470593</v>
      </c>
      <c r="R786" s="26" t="s">
        <v>280</v>
      </c>
      <c r="S786" s="26">
        <v>1</v>
      </c>
      <c r="T786" s="71" t="s">
        <v>626</v>
      </c>
    </row>
    <row r="787" spans="1:20">
      <c r="A787" s="1" t="s">
        <v>285</v>
      </c>
      <c r="B787" s="1" t="s">
        <v>289</v>
      </c>
      <c r="C787" s="1" t="s">
        <v>511</v>
      </c>
      <c r="D787" s="5">
        <v>43163</v>
      </c>
      <c r="E787" s="1">
        <f t="shared" si="49"/>
        <v>2018</v>
      </c>
      <c r="F787" s="1">
        <f t="shared" si="50"/>
        <v>3</v>
      </c>
      <c r="G787" s="4">
        <f t="shared" si="51"/>
        <v>4</v>
      </c>
      <c r="H787" s="8">
        <v>0.58472222222222225</v>
      </c>
      <c r="I787" s="11">
        <f t="shared" si="52"/>
        <v>126.25183333333334</v>
      </c>
      <c r="J787" s="11">
        <f t="shared" si="53"/>
        <v>27.252166666666668</v>
      </c>
      <c r="K787" s="9">
        <v>60</v>
      </c>
      <c r="L787" s="9">
        <v>60</v>
      </c>
      <c r="M787" s="9">
        <v>0</v>
      </c>
      <c r="N787" s="12">
        <v>23.63</v>
      </c>
      <c r="O787" s="11">
        <v>34.462600000000002</v>
      </c>
      <c r="P787" s="31">
        <v>0.19357220000000019</v>
      </c>
      <c r="Q787" s="31">
        <v>1.3612985364705885</v>
      </c>
      <c r="R787" s="26" t="s">
        <v>280</v>
      </c>
      <c r="S787" s="26">
        <v>1</v>
      </c>
      <c r="T787" s="71" t="s">
        <v>626</v>
      </c>
    </row>
    <row r="788" spans="1:20">
      <c r="A788" s="1" t="s">
        <v>285</v>
      </c>
      <c r="B788" s="1">
        <v>67</v>
      </c>
      <c r="C788" s="1" t="s">
        <v>511</v>
      </c>
      <c r="D788" s="5">
        <v>43165</v>
      </c>
      <c r="E788" s="1">
        <f t="shared" si="49"/>
        <v>2018</v>
      </c>
      <c r="F788" s="1">
        <f t="shared" si="50"/>
        <v>3</v>
      </c>
      <c r="G788" s="4">
        <f t="shared" si="51"/>
        <v>6</v>
      </c>
      <c r="H788" s="8">
        <v>0.63958333333333328</v>
      </c>
      <c r="I788" s="11">
        <f t="shared" ref="I788:I795" si="54">124+45.13/610</f>
        <v>124.07398360655738</v>
      </c>
      <c r="J788" s="11">
        <f t="shared" ref="J788:J795" si="55">27+30.14/60</f>
        <v>27.502333333333333</v>
      </c>
      <c r="K788" s="9">
        <v>0</v>
      </c>
      <c r="L788" s="9">
        <v>0</v>
      </c>
      <c r="M788" s="27">
        <v>0</v>
      </c>
      <c r="N788" s="12">
        <v>19.3</v>
      </c>
      <c r="O788" s="11">
        <v>34.596634986241845</v>
      </c>
      <c r="P788" s="31">
        <v>0.2937850399999995</v>
      </c>
      <c r="Q788" s="31">
        <v>1.6524683952941182</v>
      </c>
      <c r="R788" s="26" t="s">
        <v>280</v>
      </c>
      <c r="S788" s="26">
        <v>1</v>
      </c>
      <c r="T788" s="71" t="s">
        <v>626</v>
      </c>
    </row>
    <row r="789" spans="1:20">
      <c r="A789" s="1" t="s">
        <v>285</v>
      </c>
      <c r="B789" s="1">
        <v>67</v>
      </c>
      <c r="C789" s="1" t="s">
        <v>511</v>
      </c>
      <c r="D789" s="5">
        <v>43165</v>
      </c>
      <c r="E789" s="1">
        <f t="shared" si="49"/>
        <v>2018</v>
      </c>
      <c r="F789" s="1">
        <f t="shared" si="50"/>
        <v>3</v>
      </c>
      <c r="G789" s="4">
        <f t="shared" si="51"/>
        <v>6</v>
      </c>
      <c r="H789" s="8">
        <v>0.63958333333333328</v>
      </c>
      <c r="I789" s="11">
        <f t="shared" si="54"/>
        <v>124.07398360655738</v>
      </c>
      <c r="J789" s="11">
        <f t="shared" si="55"/>
        <v>27.502333333333333</v>
      </c>
      <c r="K789" s="9">
        <v>95.447000000000003</v>
      </c>
      <c r="L789" s="9">
        <v>95</v>
      </c>
      <c r="M789" s="9">
        <v>0</v>
      </c>
      <c r="N789" s="12">
        <v>17.9679</v>
      </c>
      <c r="O789" s="11">
        <v>34.473799999999997</v>
      </c>
      <c r="P789" s="31">
        <v>0.18681479999999961</v>
      </c>
      <c r="Q789" s="31">
        <v>1.3011518541176468</v>
      </c>
      <c r="R789" s="26" t="s">
        <v>280</v>
      </c>
      <c r="S789" s="26">
        <v>1</v>
      </c>
      <c r="T789" s="71" t="s">
        <v>626</v>
      </c>
    </row>
    <row r="790" spans="1:20">
      <c r="A790" s="1" t="s">
        <v>285</v>
      </c>
      <c r="B790" s="1">
        <v>67</v>
      </c>
      <c r="C790" s="1" t="s">
        <v>511</v>
      </c>
      <c r="D790" s="5">
        <v>43165</v>
      </c>
      <c r="E790" s="1">
        <f t="shared" si="49"/>
        <v>2018</v>
      </c>
      <c r="F790" s="1">
        <f t="shared" si="50"/>
        <v>3</v>
      </c>
      <c r="G790" s="4">
        <f t="shared" si="51"/>
        <v>6</v>
      </c>
      <c r="H790" s="8">
        <v>0.63958333333333328</v>
      </c>
      <c r="I790" s="11">
        <f t="shared" si="54"/>
        <v>124.07398360655738</v>
      </c>
      <c r="J790" s="11">
        <f t="shared" si="55"/>
        <v>27.502333333333333</v>
      </c>
      <c r="K790" s="9">
        <v>74.209999999999994</v>
      </c>
      <c r="L790" s="9">
        <v>75</v>
      </c>
      <c r="M790" s="9">
        <v>0</v>
      </c>
      <c r="N790" s="12">
        <v>18.437000000000001</v>
      </c>
      <c r="O790" s="11">
        <v>34.539200000000001</v>
      </c>
      <c r="P790" s="31">
        <v>0.24072778823529406</v>
      </c>
      <c r="Q790" s="31">
        <v>1.2651655932773078</v>
      </c>
      <c r="R790" s="26" t="s">
        <v>280</v>
      </c>
      <c r="S790" s="26">
        <v>1</v>
      </c>
      <c r="T790" s="71" t="s">
        <v>626</v>
      </c>
    </row>
    <row r="791" spans="1:20">
      <c r="A791" s="1" t="s">
        <v>285</v>
      </c>
      <c r="B791" s="1">
        <v>67</v>
      </c>
      <c r="C791" s="1" t="s">
        <v>511</v>
      </c>
      <c r="D791" s="5">
        <v>43165</v>
      </c>
      <c r="E791" s="1">
        <f t="shared" si="49"/>
        <v>2018</v>
      </c>
      <c r="F791" s="1">
        <f t="shared" si="50"/>
        <v>3</v>
      </c>
      <c r="G791" s="4">
        <f t="shared" si="51"/>
        <v>6</v>
      </c>
      <c r="H791" s="8">
        <v>0.63958333333333328</v>
      </c>
      <c r="I791" s="11">
        <f t="shared" si="54"/>
        <v>124.07398360655738</v>
      </c>
      <c r="J791" s="11">
        <f t="shared" si="55"/>
        <v>27.502333333333333</v>
      </c>
      <c r="K791" s="9">
        <v>49.530999999999999</v>
      </c>
      <c r="L791" s="9">
        <v>50</v>
      </c>
      <c r="M791" s="9">
        <v>0</v>
      </c>
      <c r="N791" s="12">
        <v>18.9772</v>
      </c>
      <c r="O791" s="11">
        <v>34.586599999999997</v>
      </c>
      <c r="P791" s="31">
        <v>0.25914216588235295</v>
      </c>
      <c r="Q791" s="31">
        <v>1.377311397647059</v>
      </c>
      <c r="R791" s="26" t="s">
        <v>280</v>
      </c>
      <c r="S791" s="26">
        <v>1</v>
      </c>
      <c r="T791" s="71" t="s">
        <v>626</v>
      </c>
    </row>
    <row r="792" spans="1:20">
      <c r="A792" s="1" t="s">
        <v>285</v>
      </c>
      <c r="B792" s="1">
        <v>67</v>
      </c>
      <c r="C792" s="1" t="s">
        <v>511</v>
      </c>
      <c r="D792" s="5">
        <v>43165</v>
      </c>
      <c r="E792" s="1">
        <f t="shared" si="49"/>
        <v>2018</v>
      </c>
      <c r="F792" s="1">
        <f t="shared" si="50"/>
        <v>3</v>
      </c>
      <c r="G792" s="4">
        <f t="shared" si="51"/>
        <v>6</v>
      </c>
      <c r="H792" s="8">
        <v>0.63958333333333328</v>
      </c>
      <c r="I792" s="11">
        <f t="shared" si="54"/>
        <v>124.07398360655738</v>
      </c>
      <c r="J792" s="11">
        <f t="shared" si="55"/>
        <v>27.502333333333333</v>
      </c>
      <c r="K792" s="9">
        <v>39.707000000000001</v>
      </c>
      <c r="L792" s="9">
        <v>40</v>
      </c>
      <c r="M792" s="9">
        <v>0</v>
      </c>
      <c r="N792" s="12">
        <v>19.201000000000001</v>
      </c>
      <c r="O792" s="11">
        <v>34.590699999999998</v>
      </c>
      <c r="P792" s="31">
        <v>0.25576724352941183</v>
      </c>
      <c r="Q792" s="31">
        <v>1.4888139905882358</v>
      </c>
      <c r="R792" s="26" t="s">
        <v>280</v>
      </c>
      <c r="S792" s="26">
        <v>1</v>
      </c>
      <c r="T792" s="71" t="s">
        <v>626</v>
      </c>
    </row>
    <row r="793" spans="1:20">
      <c r="A793" s="1" t="s">
        <v>285</v>
      </c>
      <c r="B793" s="1">
        <v>67</v>
      </c>
      <c r="C793" s="1" t="s">
        <v>511</v>
      </c>
      <c r="D793" s="5">
        <v>43165</v>
      </c>
      <c r="E793" s="1">
        <f t="shared" si="49"/>
        <v>2018</v>
      </c>
      <c r="F793" s="1">
        <f t="shared" si="50"/>
        <v>3</v>
      </c>
      <c r="G793" s="4">
        <f t="shared" si="51"/>
        <v>6</v>
      </c>
      <c r="H793" s="8">
        <v>0.63958333333333328</v>
      </c>
      <c r="I793" s="11">
        <f t="shared" si="54"/>
        <v>124.07398360655738</v>
      </c>
      <c r="J793" s="11">
        <f t="shared" si="55"/>
        <v>27.502333333333333</v>
      </c>
      <c r="K793" s="9">
        <v>29.521000000000001</v>
      </c>
      <c r="L793" s="9">
        <v>30</v>
      </c>
      <c r="M793" s="9">
        <v>0</v>
      </c>
      <c r="N793" s="12">
        <v>19.234300000000001</v>
      </c>
      <c r="O793" s="11">
        <v>34.5914</v>
      </c>
      <c r="P793" s="31">
        <v>0.2532004011764708</v>
      </c>
      <c r="Q793" s="31">
        <v>1.5374776235294103</v>
      </c>
      <c r="R793" s="26" t="s">
        <v>280</v>
      </c>
      <c r="S793" s="26">
        <v>1</v>
      </c>
      <c r="T793" s="71" t="s">
        <v>626</v>
      </c>
    </row>
    <row r="794" spans="1:20">
      <c r="A794" s="1" t="s">
        <v>285</v>
      </c>
      <c r="B794" s="1">
        <v>67</v>
      </c>
      <c r="C794" s="1" t="s">
        <v>511</v>
      </c>
      <c r="D794" s="5">
        <v>43165</v>
      </c>
      <c r="E794" s="1">
        <f t="shared" si="49"/>
        <v>2018</v>
      </c>
      <c r="F794" s="1">
        <f t="shared" si="50"/>
        <v>3</v>
      </c>
      <c r="G794" s="4">
        <f t="shared" si="51"/>
        <v>6</v>
      </c>
      <c r="H794" s="8">
        <v>0.63958333333333328</v>
      </c>
      <c r="I794" s="11">
        <f t="shared" si="54"/>
        <v>124.07398360655738</v>
      </c>
      <c r="J794" s="11">
        <f t="shared" si="55"/>
        <v>27.502333333333333</v>
      </c>
      <c r="K794" s="9">
        <v>20.747</v>
      </c>
      <c r="L794" s="9">
        <v>20</v>
      </c>
      <c r="M794" s="9">
        <v>0</v>
      </c>
      <c r="N794" s="12">
        <v>19.229399999999998</v>
      </c>
      <c r="O794" s="11">
        <v>34.591299999999997</v>
      </c>
      <c r="P794" s="31">
        <v>0.26841131882352975</v>
      </c>
      <c r="Q794" s="31">
        <v>1.5640203764705856</v>
      </c>
      <c r="R794" s="26" t="s">
        <v>280</v>
      </c>
      <c r="S794" s="26">
        <v>1</v>
      </c>
      <c r="T794" s="71" t="s">
        <v>626</v>
      </c>
    </row>
    <row r="795" spans="1:20">
      <c r="A795" s="1" t="s">
        <v>285</v>
      </c>
      <c r="B795" s="1">
        <v>67</v>
      </c>
      <c r="C795" s="1" t="s">
        <v>511</v>
      </c>
      <c r="D795" s="5">
        <v>43165</v>
      </c>
      <c r="E795" s="1">
        <f t="shared" si="49"/>
        <v>2018</v>
      </c>
      <c r="F795" s="1">
        <f t="shared" si="50"/>
        <v>3</v>
      </c>
      <c r="G795" s="4">
        <f t="shared" si="51"/>
        <v>6</v>
      </c>
      <c r="H795" s="8">
        <v>0.63958333333333328</v>
      </c>
      <c r="I795" s="11">
        <f t="shared" si="54"/>
        <v>124.07398360655738</v>
      </c>
      <c r="J795" s="11">
        <f t="shared" si="55"/>
        <v>27.502333333333333</v>
      </c>
      <c r="K795" s="9">
        <v>9.0380000000000003</v>
      </c>
      <c r="L795" s="9">
        <v>10</v>
      </c>
      <c r="M795" s="9">
        <v>0</v>
      </c>
      <c r="N795" s="12">
        <v>19.221399999999999</v>
      </c>
      <c r="O795" s="11">
        <v>34.591700000000003</v>
      </c>
      <c r="P795" s="31">
        <v>0.23574349647058801</v>
      </c>
      <c r="Q795" s="31">
        <v>1.4881806494117633</v>
      </c>
      <c r="R795" s="26" t="s">
        <v>280</v>
      </c>
      <c r="S795" s="26">
        <v>1</v>
      </c>
      <c r="T795" s="71" t="s">
        <v>626</v>
      </c>
    </row>
    <row r="796" spans="1:20">
      <c r="A796" s="1" t="s">
        <v>469</v>
      </c>
      <c r="B796" s="1">
        <v>1</v>
      </c>
      <c r="C796" s="1" t="s">
        <v>511</v>
      </c>
      <c r="D796" s="5">
        <v>43512</v>
      </c>
      <c r="E796" s="1">
        <f t="shared" si="49"/>
        <v>2019</v>
      </c>
      <c r="F796" s="1">
        <f t="shared" si="50"/>
        <v>2</v>
      </c>
      <c r="G796" s="4">
        <f t="shared" si="51"/>
        <v>16</v>
      </c>
      <c r="H796" s="8">
        <v>0.17847222222222223</v>
      </c>
      <c r="I796" s="11">
        <v>128.26249999999999</v>
      </c>
      <c r="J796" s="11">
        <v>30.27</v>
      </c>
      <c r="K796" s="9">
        <v>5</v>
      </c>
      <c r="L796" s="9">
        <v>5</v>
      </c>
      <c r="M796" s="9">
        <v>0</v>
      </c>
      <c r="N796" s="12">
        <v>22.239333333333299</v>
      </c>
      <c r="O796" s="11">
        <v>34.680666666666603</v>
      </c>
      <c r="P796" s="33">
        <v>0.23282896470588232</v>
      </c>
      <c r="Q796" s="33">
        <v>1.4870823529411759</v>
      </c>
      <c r="R796" s="1" t="s">
        <v>280</v>
      </c>
      <c r="T796" s="71" t="s">
        <v>626</v>
      </c>
    </row>
    <row r="797" spans="1:20">
      <c r="A797" s="1" t="s">
        <v>469</v>
      </c>
      <c r="B797" s="1">
        <v>2</v>
      </c>
      <c r="C797" s="1" t="s">
        <v>511</v>
      </c>
      <c r="D797" s="5">
        <v>43512</v>
      </c>
      <c r="E797" s="1">
        <f t="shared" si="49"/>
        <v>2019</v>
      </c>
      <c r="F797" s="1">
        <f t="shared" si="50"/>
        <v>2</v>
      </c>
      <c r="G797" s="4">
        <f t="shared" si="51"/>
        <v>16</v>
      </c>
      <c r="H797" s="8">
        <v>0.33333333333333331</v>
      </c>
      <c r="I797" s="11">
        <v>128.69016666666599</v>
      </c>
      <c r="J797" s="11">
        <v>30.251999999999999</v>
      </c>
      <c r="K797" s="9">
        <v>5</v>
      </c>
      <c r="L797" s="9">
        <v>5</v>
      </c>
      <c r="M797" s="9">
        <v>0</v>
      </c>
      <c r="N797" s="12">
        <v>22.920999999999999</v>
      </c>
      <c r="O797" s="11">
        <v>34.687333333333299</v>
      </c>
      <c r="P797" s="33">
        <v>0.29669935764705846</v>
      </c>
      <c r="Q797" s="33">
        <v>1.6135288235294105</v>
      </c>
      <c r="R797" s="1" t="s">
        <v>280</v>
      </c>
      <c r="T797" s="71" t="s">
        <v>626</v>
      </c>
    </row>
    <row r="798" spans="1:20">
      <c r="A798" s="1" t="s">
        <v>469</v>
      </c>
      <c r="B798" s="1">
        <v>3</v>
      </c>
      <c r="C798" s="1" t="s">
        <v>511</v>
      </c>
      <c r="D798" s="5">
        <v>43512</v>
      </c>
      <c r="E798" s="1">
        <f t="shared" si="49"/>
        <v>2019</v>
      </c>
      <c r="F798" s="1">
        <f t="shared" si="50"/>
        <v>2</v>
      </c>
      <c r="G798" s="4">
        <f t="shared" si="51"/>
        <v>16</v>
      </c>
      <c r="H798" s="8">
        <v>0.49374999999999997</v>
      </c>
      <c r="I798" s="11">
        <v>129.19200000000001</v>
      </c>
      <c r="J798" s="11">
        <v>30.249333333333301</v>
      </c>
      <c r="K798" s="9">
        <v>5</v>
      </c>
      <c r="L798" s="9">
        <v>5</v>
      </c>
      <c r="M798" s="9">
        <v>0</v>
      </c>
      <c r="N798" s="12">
        <v>24.0126666666666</v>
      </c>
      <c r="O798" s="11">
        <v>34.655166666666602</v>
      </c>
      <c r="P798" s="33">
        <v>0.31905219058823509</v>
      </c>
      <c r="Q798" s="33">
        <v>1.6963277941176482</v>
      </c>
      <c r="R798" s="1" t="s">
        <v>280</v>
      </c>
      <c r="T798" s="71" t="s">
        <v>626</v>
      </c>
    </row>
    <row r="799" spans="1:20">
      <c r="A799" s="1" t="s">
        <v>469</v>
      </c>
      <c r="B799" s="1">
        <v>4</v>
      </c>
      <c r="C799" s="1" t="s">
        <v>511</v>
      </c>
      <c r="D799" s="5">
        <v>43512</v>
      </c>
      <c r="E799" s="1">
        <f t="shared" si="49"/>
        <v>2019</v>
      </c>
      <c r="F799" s="1">
        <f t="shared" si="50"/>
        <v>2</v>
      </c>
      <c r="G799" s="4">
        <f t="shared" si="51"/>
        <v>16</v>
      </c>
      <c r="H799" s="8">
        <v>0.6430555555555556</v>
      </c>
      <c r="I799" s="11">
        <v>129.69900000000001</v>
      </c>
      <c r="J799" s="11">
        <v>30.248999999999999</v>
      </c>
      <c r="K799" s="9">
        <v>5</v>
      </c>
      <c r="L799" s="9">
        <v>5</v>
      </c>
      <c r="M799" s="9">
        <v>0</v>
      </c>
      <c r="N799" s="12">
        <v>23.3026666666666</v>
      </c>
      <c r="O799" s="11">
        <v>34.679500000000004</v>
      </c>
      <c r="P799" s="33">
        <v>0.23914502352941192</v>
      </c>
      <c r="Q799" s="33">
        <v>1.4329092647058825</v>
      </c>
      <c r="R799" s="1" t="s">
        <v>280</v>
      </c>
      <c r="T799" s="71" t="s">
        <v>626</v>
      </c>
    </row>
    <row r="800" spans="1:20">
      <c r="A800" s="1" t="s">
        <v>469</v>
      </c>
      <c r="B800" s="1">
        <v>5</v>
      </c>
      <c r="C800" s="1" t="s">
        <v>511</v>
      </c>
      <c r="D800" s="5">
        <v>43512</v>
      </c>
      <c r="E800" s="1">
        <f t="shared" si="49"/>
        <v>2019</v>
      </c>
      <c r="F800" s="1">
        <f t="shared" si="50"/>
        <v>2</v>
      </c>
      <c r="G800" s="4">
        <f t="shared" si="51"/>
        <v>16</v>
      </c>
      <c r="H800" s="8">
        <v>0.80972222222222223</v>
      </c>
      <c r="I800" s="11">
        <v>129.749</v>
      </c>
      <c r="J800" s="11">
        <v>29.753499999999999</v>
      </c>
      <c r="K800" s="9">
        <v>5</v>
      </c>
      <c r="L800" s="9">
        <v>5</v>
      </c>
      <c r="M800" s="9">
        <v>0</v>
      </c>
      <c r="N800" s="12">
        <v>23.417666666666598</v>
      </c>
      <c r="O800" s="11">
        <v>34.678833333333301</v>
      </c>
      <c r="P800" s="33">
        <v>0.26926961647058834</v>
      </c>
      <c r="Q800" s="33">
        <v>1.6223582352941186</v>
      </c>
      <c r="R800" s="1" t="s">
        <v>280</v>
      </c>
      <c r="T800" s="71" t="s">
        <v>626</v>
      </c>
    </row>
    <row r="801" spans="1:20">
      <c r="A801" s="1" t="s">
        <v>469</v>
      </c>
      <c r="B801" s="1">
        <v>6</v>
      </c>
      <c r="C801" s="1" t="s">
        <v>511</v>
      </c>
      <c r="D801" s="5">
        <v>43512</v>
      </c>
      <c r="E801" s="1">
        <f t="shared" si="49"/>
        <v>2019</v>
      </c>
      <c r="F801" s="1">
        <f t="shared" si="50"/>
        <v>2</v>
      </c>
      <c r="G801" s="4">
        <f t="shared" si="51"/>
        <v>16</v>
      </c>
      <c r="H801" s="8">
        <v>0.95972222222222225</v>
      </c>
      <c r="I801" s="11">
        <v>129.75299999999999</v>
      </c>
      <c r="J801" s="11">
        <v>29.2983333333333</v>
      </c>
      <c r="K801" s="9">
        <v>5</v>
      </c>
      <c r="L801" s="9">
        <v>5</v>
      </c>
      <c r="M801" s="9">
        <v>0</v>
      </c>
      <c r="N801" s="12">
        <v>23.412666666666599</v>
      </c>
      <c r="O801" s="11">
        <v>34.661166666666603</v>
      </c>
      <c r="P801" s="33">
        <v>0.27669248941176461</v>
      </c>
      <c r="Q801" s="33">
        <v>1.6508447058823528</v>
      </c>
      <c r="R801" s="1" t="s">
        <v>280</v>
      </c>
      <c r="T801" s="71" t="s">
        <v>626</v>
      </c>
    </row>
    <row r="802" spans="1:20">
      <c r="A802" s="1" t="s">
        <v>469</v>
      </c>
      <c r="B802" s="1">
        <v>7</v>
      </c>
      <c r="C802" s="1" t="s">
        <v>511</v>
      </c>
      <c r="D802" s="5">
        <v>43513</v>
      </c>
      <c r="E802" s="1">
        <f t="shared" si="49"/>
        <v>2019</v>
      </c>
      <c r="F802" s="1">
        <f t="shared" si="50"/>
        <v>2</v>
      </c>
      <c r="G802" s="4">
        <f t="shared" si="51"/>
        <v>17</v>
      </c>
      <c r="H802" s="8">
        <v>0.12361111111111112</v>
      </c>
      <c r="I802" s="11">
        <v>129.29366666666601</v>
      </c>
      <c r="J802" s="11">
        <v>29.250166666666601</v>
      </c>
      <c r="K802" s="9">
        <v>5</v>
      </c>
      <c r="L802" s="9">
        <v>5</v>
      </c>
      <c r="M802" s="9">
        <v>0</v>
      </c>
      <c r="N802" s="12">
        <v>22.741</v>
      </c>
      <c r="O802" s="11">
        <v>34.691500000000005</v>
      </c>
      <c r="P802" s="33">
        <v>0.30047696235294152</v>
      </c>
      <c r="Q802" s="33">
        <v>1.6986861764705896</v>
      </c>
      <c r="R802" s="1" t="s">
        <v>280</v>
      </c>
      <c r="T802" s="71" t="s">
        <v>626</v>
      </c>
    </row>
    <row r="803" spans="1:20" ht="12.75" customHeight="1">
      <c r="A803" s="1" t="s">
        <v>469</v>
      </c>
      <c r="B803" s="1">
        <v>8</v>
      </c>
      <c r="C803" s="1" t="s">
        <v>511</v>
      </c>
      <c r="D803" s="5">
        <v>43513</v>
      </c>
      <c r="E803" s="1">
        <f t="shared" si="49"/>
        <v>2019</v>
      </c>
      <c r="F803" s="1">
        <f t="shared" si="50"/>
        <v>2</v>
      </c>
      <c r="G803" s="4">
        <f t="shared" si="51"/>
        <v>17</v>
      </c>
      <c r="H803" s="8">
        <v>0.30069444444444443</v>
      </c>
      <c r="I803" s="11">
        <v>129.25</v>
      </c>
      <c r="J803" s="11">
        <v>29.708500000000001</v>
      </c>
      <c r="K803" s="9">
        <v>5</v>
      </c>
      <c r="L803" s="9">
        <v>5</v>
      </c>
      <c r="M803" s="9">
        <v>0</v>
      </c>
      <c r="N803" s="12">
        <v>23.840999999999998</v>
      </c>
      <c r="O803" s="11">
        <v>34.6546666666666</v>
      </c>
      <c r="P803" s="33">
        <v>0.30685317411764723</v>
      </c>
      <c r="Q803" s="33">
        <v>1.6635195588235305</v>
      </c>
      <c r="R803" s="1" t="s">
        <v>280</v>
      </c>
      <c r="T803" s="71" t="s">
        <v>626</v>
      </c>
    </row>
    <row r="804" spans="1:20" ht="12.75" customHeight="1">
      <c r="A804" s="1" t="s">
        <v>469</v>
      </c>
      <c r="B804" s="1">
        <v>9</v>
      </c>
      <c r="C804" s="1" t="s">
        <v>511</v>
      </c>
      <c r="D804" s="5">
        <v>43513</v>
      </c>
      <c r="E804" s="1">
        <f t="shared" si="49"/>
        <v>2019</v>
      </c>
      <c r="F804" s="1">
        <f t="shared" si="50"/>
        <v>2</v>
      </c>
      <c r="G804" s="4">
        <f t="shared" si="51"/>
        <v>17</v>
      </c>
      <c r="H804" s="8">
        <v>0.4777777777777778</v>
      </c>
      <c r="I804" s="11">
        <v>128.78550000000001</v>
      </c>
      <c r="J804" s="11">
        <v>29.7506666666666</v>
      </c>
      <c r="K804" s="9">
        <v>5</v>
      </c>
      <c r="L804" s="9">
        <v>5</v>
      </c>
      <c r="M804" s="9">
        <v>0</v>
      </c>
      <c r="N804" s="12">
        <v>23.2276666666666</v>
      </c>
      <c r="O804" s="11">
        <v>34.648166666666597</v>
      </c>
      <c r="P804" s="33">
        <v>0.25230648705882341</v>
      </c>
      <c r="Q804" s="33">
        <v>1.6471735294117646</v>
      </c>
      <c r="R804" s="1" t="s">
        <v>280</v>
      </c>
      <c r="T804" s="71" t="s">
        <v>626</v>
      </c>
    </row>
    <row r="805" spans="1:20" ht="12.75" customHeight="1">
      <c r="A805" s="1" t="s">
        <v>469</v>
      </c>
      <c r="B805" s="1">
        <v>10</v>
      </c>
      <c r="C805" s="1" t="s">
        <v>511</v>
      </c>
      <c r="D805" s="5">
        <v>43513</v>
      </c>
      <c r="E805" s="1">
        <f t="shared" si="49"/>
        <v>2019</v>
      </c>
      <c r="F805" s="1">
        <f t="shared" si="50"/>
        <v>2</v>
      </c>
      <c r="G805" s="4">
        <f t="shared" si="51"/>
        <v>17</v>
      </c>
      <c r="H805" s="8">
        <v>0.66249999999999998</v>
      </c>
      <c r="I805" s="11">
        <v>128.29499999999999</v>
      </c>
      <c r="J805" s="11">
        <v>29.75</v>
      </c>
      <c r="K805" s="9">
        <v>5</v>
      </c>
      <c r="L805" s="9">
        <v>5</v>
      </c>
      <c r="M805" s="9">
        <v>0</v>
      </c>
      <c r="N805" s="12">
        <v>22.392666666666599</v>
      </c>
      <c r="O805" s="11">
        <v>34.607333333333294</v>
      </c>
      <c r="P805" s="33">
        <v>0.24193612000000009</v>
      </c>
      <c r="Q805" s="33">
        <v>1.527732499999999</v>
      </c>
      <c r="R805" s="1" t="s">
        <v>280</v>
      </c>
      <c r="T805" s="71" t="s">
        <v>626</v>
      </c>
    </row>
    <row r="806" spans="1:20" ht="12.75" customHeight="1">
      <c r="A806" s="1" t="s">
        <v>469</v>
      </c>
      <c r="B806" s="1">
        <v>11</v>
      </c>
      <c r="C806" s="1" t="s">
        <v>511</v>
      </c>
      <c r="D806" s="5">
        <v>43513</v>
      </c>
      <c r="E806" s="1">
        <f t="shared" si="49"/>
        <v>2019</v>
      </c>
      <c r="F806" s="1">
        <f t="shared" si="50"/>
        <v>2</v>
      </c>
      <c r="G806" s="4">
        <f t="shared" si="51"/>
        <v>17</v>
      </c>
      <c r="H806" s="8">
        <v>0.82986111111111116</v>
      </c>
      <c r="I806" s="11">
        <v>127.7975</v>
      </c>
      <c r="J806" s="11">
        <v>29.75</v>
      </c>
      <c r="K806" s="9">
        <v>5</v>
      </c>
      <c r="L806" s="9">
        <v>5</v>
      </c>
      <c r="M806" s="9">
        <v>0</v>
      </c>
      <c r="N806" s="12">
        <v>22.452666666666598</v>
      </c>
      <c r="O806" s="11">
        <v>34.664333333333296</v>
      </c>
      <c r="P806" s="33">
        <v>0.21888551294117686</v>
      </c>
      <c r="Q806" s="33">
        <v>1.557206470588234</v>
      </c>
      <c r="R806" s="1" t="s">
        <v>280</v>
      </c>
      <c r="T806" s="71" t="s">
        <v>626</v>
      </c>
    </row>
    <row r="807" spans="1:20" ht="12.75" customHeight="1">
      <c r="A807" s="1" t="s">
        <v>469</v>
      </c>
      <c r="B807" s="1">
        <v>12</v>
      </c>
      <c r="C807" s="1" t="s">
        <v>511</v>
      </c>
      <c r="D807" s="5">
        <v>43514</v>
      </c>
      <c r="E807" s="1">
        <f t="shared" si="49"/>
        <v>2019</v>
      </c>
      <c r="F807" s="1">
        <f t="shared" si="50"/>
        <v>2</v>
      </c>
      <c r="G807" s="4">
        <f t="shared" si="51"/>
        <v>18</v>
      </c>
      <c r="H807" s="8">
        <v>6.9444444444444447E-4</v>
      </c>
      <c r="I807" s="11">
        <v>127.292</v>
      </c>
      <c r="J807" s="11">
        <v>29.979333333333301</v>
      </c>
      <c r="K807" s="9">
        <v>5</v>
      </c>
      <c r="L807" s="9">
        <v>5</v>
      </c>
      <c r="M807" s="9">
        <v>0</v>
      </c>
      <c r="N807" s="12">
        <v>18.952666666666598</v>
      </c>
      <c r="O807" s="11">
        <v>34.672499999999999</v>
      </c>
      <c r="P807" s="33">
        <v>0.2573954258823532</v>
      </c>
      <c r="Q807" s="33">
        <v>1.5017554411764706</v>
      </c>
      <c r="R807" s="1" t="s">
        <v>280</v>
      </c>
      <c r="T807" s="71" t="s">
        <v>626</v>
      </c>
    </row>
    <row r="808" spans="1:20" ht="12.75" customHeight="1">
      <c r="A808" s="1" t="s">
        <v>469</v>
      </c>
      <c r="B808" s="1">
        <v>13</v>
      </c>
      <c r="C808" s="1" t="s">
        <v>511</v>
      </c>
      <c r="D808" s="5">
        <v>43514</v>
      </c>
      <c r="E808" s="1">
        <f t="shared" si="49"/>
        <v>2019</v>
      </c>
      <c r="F808" s="1">
        <f t="shared" si="50"/>
        <v>2</v>
      </c>
      <c r="G808" s="4">
        <f t="shared" si="51"/>
        <v>18</v>
      </c>
      <c r="H808" s="8">
        <v>0.14791666666666667</v>
      </c>
      <c r="I808" s="11">
        <v>126.8035</v>
      </c>
      <c r="J808" s="11">
        <v>29.9991666666666</v>
      </c>
      <c r="K808" s="9">
        <v>5</v>
      </c>
      <c r="L808" s="9">
        <v>5</v>
      </c>
      <c r="M808" s="9">
        <v>0</v>
      </c>
      <c r="N808" s="12">
        <v>17.069333333333301</v>
      </c>
      <c r="O808" s="11">
        <v>34.557833333333299</v>
      </c>
      <c r="P808" s="33">
        <v>0.23434481882352953</v>
      </c>
      <c r="Q808" s="33">
        <v>1.2505819117647068</v>
      </c>
      <c r="R808" s="1" t="s">
        <v>280</v>
      </c>
      <c r="T808" s="71" t="s">
        <v>626</v>
      </c>
    </row>
    <row r="809" spans="1:20" ht="12.75" customHeight="1">
      <c r="A809" s="1" t="s">
        <v>469</v>
      </c>
      <c r="B809" s="1">
        <v>14</v>
      </c>
      <c r="C809" s="1" t="s">
        <v>511</v>
      </c>
      <c r="D809" s="5">
        <v>43514</v>
      </c>
      <c r="E809" s="1">
        <f t="shared" si="49"/>
        <v>2019</v>
      </c>
      <c r="F809" s="1">
        <f t="shared" si="50"/>
        <v>2</v>
      </c>
      <c r="G809" s="4">
        <f t="shared" si="51"/>
        <v>18</v>
      </c>
      <c r="H809" s="8">
        <v>0.33055555555555555</v>
      </c>
      <c r="I809" s="11">
        <v>126.28316666666601</v>
      </c>
      <c r="J809" s="11">
        <v>29.5275</v>
      </c>
      <c r="K809" s="9">
        <v>5</v>
      </c>
      <c r="L809" s="9">
        <v>5</v>
      </c>
      <c r="M809" s="9">
        <v>0</v>
      </c>
      <c r="N809" s="12">
        <v>17.1993333333333</v>
      </c>
      <c r="O809" s="11">
        <v>34.452666666666595</v>
      </c>
      <c r="P809" s="33">
        <v>0.21374845176470636</v>
      </c>
      <c r="Q809" s="33">
        <v>1.0624108823529426</v>
      </c>
      <c r="R809" s="1" t="s">
        <v>280</v>
      </c>
      <c r="T809" s="71" t="s">
        <v>626</v>
      </c>
    </row>
    <row r="810" spans="1:20" ht="12.75" customHeight="1">
      <c r="A810" s="1" t="s">
        <v>469</v>
      </c>
      <c r="B810" s="1">
        <v>15</v>
      </c>
      <c r="C810" s="1" t="s">
        <v>511</v>
      </c>
      <c r="D810" s="5">
        <v>43514</v>
      </c>
      <c r="E810" s="1">
        <f t="shared" si="49"/>
        <v>2019</v>
      </c>
      <c r="F810" s="1">
        <f t="shared" si="50"/>
        <v>2</v>
      </c>
      <c r="G810" s="4">
        <f t="shared" si="51"/>
        <v>18</v>
      </c>
      <c r="H810" s="8">
        <v>0.45763888888888887</v>
      </c>
      <c r="I810" s="11">
        <v>126.696333333333</v>
      </c>
      <c r="J810" s="11">
        <v>29.5</v>
      </c>
      <c r="K810" s="9">
        <v>5</v>
      </c>
      <c r="L810" s="9">
        <v>5</v>
      </c>
      <c r="M810" s="9">
        <v>0</v>
      </c>
      <c r="N810" s="12">
        <v>21.581</v>
      </c>
      <c r="O810" s="11">
        <v>34.699833333333295</v>
      </c>
      <c r="P810" s="33">
        <v>0.28651546470588229</v>
      </c>
      <c r="Q810" s="33">
        <v>1.65759068627451</v>
      </c>
      <c r="R810" s="1" t="s">
        <v>280</v>
      </c>
      <c r="T810" s="71" t="s">
        <v>626</v>
      </c>
    </row>
    <row r="811" spans="1:20" ht="12.75" customHeight="1">
      <c r="A811" s="1" t="s">
        <v>469</v>
      </c>
      <c r="B811" s="1">
        <v>16</v>
      </c>
      <c r="C811" s="1" t="s">
        <v>511</v>
      </c>
      <c r="D811" s="5">
        <v>43514</v>
      </c>
      <c r="E811" s="1">
        <f t="shared" si="49"/>
        <v>2019</v>
      </c>
      <c r="F811" s="1">
        <f t="shared" si="50"/>
        <v>2</v>
      </c>
      <c r="G811" s="4">
        <f t="shared" si="51"/>
        <v>18</v>
      </c>
      <c r="H811" s="8">
        <v>0.58958333333333335</v>
      </c>
      <c r="I811" s="11">
        <v>127.193333333333</v>
      </c>
      <c r="J811" s="11">
        <v>29.499666666666599</v>
      </c>
      <c r="K811" s="9">
        <v>5</v>
      </c>
      <c r="L811" s="9">
        <v>5</v>
      </c>
      <c r="M811" s="9">
        <v>0</v>
      </c>
      <c r="N811" s="12">
        <v>22.197666666666599</v>
      </c>
      <c r="O811" s="11">
        <v>34.640833333333298</v>
      </c>
      <c r="P811" s="33">
        <v>0.23539674117647058</v>
      </c>
      <c r="Q811" s="33">
        <v>1.5300910776470573</v>
      </c>
      <c r="R811" s="1" t="s">
        <v>280</v>
      </c>
      <c r="T811" s="71" t="s">
        <v>626</v>
      </c>
    </row>
    <row r="812" spans="1:20" ht="12.75" customHeight="1">
      <c r="A812" s="1" t="s">
        <v>469</v>
      </c>
      <c r="B812" s="1">
        <v>17</v>
      </c>
      <c r="C812" s="1" t="s">
        <v>511</v>
      </c>
      <c r="D812" s="5">
        <v>43514</v>
      </c>
      <c r="E812" s="1">
        <f t="shared" si="49"/>
        <v>2019</v>
      </c>
      <c r="F812" s="1">
        <f t="shared" si="50"/>
        <v>2</v>
      </c>
      <c r="G812" s="4">
        <f t="shared" si="51"/>
        <v>18</v>
      </c>
      <c r="H812" s="8">
        <v>0.75486111111111109</v>
      </c>
      <c r="I812" s="11">
        <v>127.70316666666599</v>
      </c>
      <c r="J812" s="11">
        <v>29.273499999999999</v>
      </c>
      <c r="K812" s="9">
        <v>5</v>
      </c>
      <c r="L812" s="9">
        <v>5</v>
      </c>
      <c r="M812" s="9">
        <v>0</v>
      </c>
      <c r="N812" s="12">
        <v>23.561</v>
      </c>
      <c r="O812" s="11">
        <v>34.694166666666597</v>
      </c>
      <c r="P812" s="33">
        <v>0.2706119694117648</v>
      </c>
      <c r="Q812" s="33">
        <v>1.5007656011764698</v>
      </c>
      <c r="R812" s="1" t="s">
        <v>280</v>
      </c>
      <c r="T812" s="71" t="s">
        <v>626</v>
      </c>
    </row>
    <row r="813" spans="1:20" ht="12.75" customHeight="1">
      <c r="A813" s="1" t="s">
        <v>469</v>
      </c>
      <c r="B813" s="1">
        <v>18</v>
      </c>
      <c r="C813" s="1" t="s">
        <v>511</v>
      </c>
      <c r="D813" s="5">
        <v>43514</v>
      </c>
      <c r="E813" s="1">
        <f t="shared" si="49"/>
        <v>2019</v>
      </c>
      <c r="F813" s="1">
        <f t="shared" si="50"/>
        <v>2</v>
      </c>
      <c r="G813" s="4">
        <f t="shared" si="51"/>
        <v>18</v>
      </c>
      <c r="H813" s="8">
        <v>0.89583333333333337</v>
      </c>
      <c r="I813" s="11">
        <v>128.200666666666</v>
      </c>
      <c r="J813" s="11">
        <v>29.248999999999999</v>
      </c>
      <c r="K813" s="9">
        <v>5</v>
      </c>
      <c r="L813" s="9">
        <v>5</v>
      </c>
      <c r="M813" s="9">
        <v>0</v>
      </c>
      <c r="N813" s="12">
        <v>23.847666666666598</v>
      </c>
      <c r="O813" s="11">
        <v>34.686999999999998</v>
      </c>
      <c r="P813" s="33">
        <v>0.27454481764705907</v>
      </c>
      <c r="Q813" s="33">
        <v>1.5038890247058827</v>
      </c>
      <c r="R813" s="1" t="s">
        <v>280</v>
      </c>
      <c r="T813" s="71" t="s">
        <v>626</v>
      </c>
    </row>
    <row r="814" spans="1:20" ht="12.75" customHeight="1">
      <c r="A814" s="1" t="s">
        <v>469</v>
      </c>
      <c r="B814" s="1">
        <v>19</v>
      </c>
      <c r="C814" s="1" t="s">
        <v>511</v>
      </c>
      <c r="D814" s="5">
        <v>43515</v>
      </c>
      <c r="E814" s="1">
        <f t="shared" si="49"/>
        <v>2019</v>
      </c>
      <c r="F814" s="1">
        <f t="shared" si="50"/>
        <v>2</v>
      </c>
      <c r="G814" s="4">
        <f t="shared" si="51"/>
        <v>19</v>
      </c>
      <c r="H814" s="8">
        <v>3.5416666666666666E-2</v>
      </c>
      <c r="I814" s="11">
        <v>128.70916666666599</v>
      </c>
      <c r="J814" s="11">
        <v>29.25</v>
      </c>
      <c r="K814" s="9">
        <v>5</v>
      </c>
      <c r="L814" s="9">
        <v>5</v>
      </c>
      <c r="M814" s="9">
        <v>0</v>
      </c>
      <c r="N814" s="12">
        <v>22.616</v>
      </c>
      <c r="O814" s="11">
        <v>34.691166666666597</v>
      </c>
      <c r="P814" s="33">
        <v>0.24310608588235372</v>
      </c>
      <c r="Q814" s="33">
        <v>1.5249085082352938</v>
      </c>
      <c r="R814" s="1" t="s">
        <v>280</v>
      </c>
      <c r="T814" s="71" t="s">
        <v>626</v>
      </c>
    </row>
    <row r="815" spans="1:20" ht="12.75" customHeight="1">
      <c r="A815" s="1" t="s">
        <v>469</v>
      </c>
      <c r="B815" s="1">
        <v>20</v>
      </c>
      <c r="C815" s="1" t="s">
        <v>511</v>
      </c>
      <c r="D815" s="5">
        <v>43515</v>
      </c>
      <c r="E815" s="1">
        <f t="shared" si="49"/>
        <v>2019</v>
      </c>
      <c r="F815" s="1">
        <f t="shared" si="50"/>
        <v>2</v>
      </c>
      <c r="G815" s="4">
        <f t="shared" si="51"/>
        <v>19</v>
      </c>
      <c r="H815" s="8">
        <v>0.25486111111111109</v>
      </c>
      <c r="I815" s="11">
        <v>128.75</v>
      </c>
      <c r="J815" s="11">
        <v>28.783000000000001</v>
      </c>
      <c r="K815" s="9">
        <v>5</v>
      </c>
      <c r="L815" s="9">
        <v>5</v>
      </c>
      <c r="M815" s="9">
        <v>0</v>
      </c>
      <c r="N815" s="12">
        <v>23.169333333333299</v>
      </c>
      <c r="O815" s="11">
        <v>34.680499999999995</v>
      </c>
      <c r="P815" s="33">
        <v>0.26845611911764733</v>
      </c>
      <c r="Q815" s="33">
        <v>1.5900781617647031</v>
      </c>
      <c r="R815" s="1" t="s">
        <v>280</v>
      </c>
      <c r="T815" s="71" t="s">
        <v>626</v>
      </c>
    </row>
    <row r="816" spans="1:20" ht="12.75" customHeight="1">
      <c r="A816" s="1" t="s">
        <v>469</v>
      </c>
      <c r="B816" s="1">
        <v>21</v>
      </c>
      <c r="C816" s="1" t="s">
        <v>511</v>
      </c>
      <c r="D816" s="5">
        <v>43515</v>
      </c>
      <c r="E816" s="1">
        <f t="shared" si="49"/>
        <v>2019</v>
      </c>
      <c r="F816" s="1">
        <f t="shared" si="50"/>
        <v>2</v>
      </c>
      <c r="G816" s="4">
        <f t="shared" si="51"/>
        <v>19</v>
      </c>
      <c r="H816" s="8">
        <v>0.42152777777777778</v>
      </c>
      <c r="I816" s="11">
        <v>128.2895</v>
      </c>
      <c r="J816" s="11">
        <v>28.751999999999999</v>
      </c>
      <c r="K816" s="9">
        <v>5</v>
      </c>
      <c r="L816" s="9">
        <v>5</v>
      </c>
      <c r="M816" s="9">
        <v>0</v>
      </c>
      <c r="N816" s="12">
        <v>22.951000000000001</v>
      </c>
      <c r="O816" s="11">
        <v>34.684666666666594</v>
      </c>
      <c r="P816" s="33">
        <v>0.33909404235294094</v>
      </c>
      <c r="Q816" s="33">
        <v>1.8208355352941172</v>
      </c>
      <c r="R816" s="1" t="s">
        <v>280</v>
      </c>
      <c r="T816" s="71" t="s">
        <v>626</v>
      </c>
    </row>
    <row r="817" spans="1:20" ht="12.75" customHeight="1">
      <c r="A817" s="1" t="s">
        <v>469</v>
      </c>
      <c r="B817" s="1">
        <v>22</v>
      </c>
      <c r="C817" s="1" t="s">
        <v>511</v>
      </c>
      <c r="D817" s="5">
        <v>43515</v>
      </c>
      <c r="E817" s="1">
        <f t="shared" si="49"/>
        <v>2019</v>
      </c>
      <c r="F817" s="1">
        <f t="shared" si="50"/>
        <v>2</v>
      </c>
      <c r="G817" s="4">
        <f t="shared" si="51"/>
        <v>19</v>
      </c>
      <c r="H817" s="8">
        <v>0.64236111111111105</v>
      </c>
      <c r="I817" s="11">
        <v>127.7895</v>
      </c>
      <c r="J817" s="11">
        <v>28.751000000000001</v>
      </c>
      <c r="K817" s="9">
        <v>5</v>
      </c>
      <c r="L817" s="9">
        <v>5</v>
      </c>
      <c r="M817" s="9">
        <v>0</v>
      </c>
      <c r="N817" s="12">
        <v>24.151</v>
      </c>
      <c r="O817" s="11">
        <v>34.665499999999994</v>
      </c>
      <c r="P817" s="33">
        <v>0.28148443058823558</v>
      </c>
      <c r="Q817" s="33">
        <v>1.6569946188235267</v>
      </c>
      <c r="R817" s="1" t="s">
        <v>280</v>
      </c>
      <c r="T817" s="71" t="s">
        <v>626</v>
      </c>
    </row>
    <row r="818" spans="1:20" ht="12.75" customHeight="1">
      <c r="A818" s="1" t="s">
        <v>469</v>
      </c>
      <c r="B818" s="1">
        <v>23</v>
      </c>
      <c r="C818" s="1" t="s">
        <v>511</v>
      </c>
      <c r="D818" s="5">
        <v>43515</v>
      </c>
      <c r="E818" s="1">
        <f t="shared" si="49"/>
        <v>2019</v>
      </c>
      <c r="F818" s="1">
        <f t="shared" si="50"/>
        <v>2</v>
      </c>
      <c r="G818" s="4">
        <f t="shared" si="51"/>
        <v>19</v>
      </c>
      <c r="H818" s="8">
        <v>0.81874999999999998</v>
      </c>
      <c r="I818" s="11">
        <v>127.29816666666601</v>
      </c>
      <c r="J818" s="11">
        <v>28.75</v>
      </c>
      <c r="K818" s="9">
        <v>5</v>
      </c>
      <c r="L818" s="9">
        <v>5</v>
      </c>
      <c r="M818" s="9">
        <v>0</v>
      </c>
      <c r="N818" s="12">
        <v>23.771000000000001</v>
      </c>
      <c r="O818" s="11">
        <v>34.671333333333294</v>
      </c>
      <c r="P818" s="33">
        <v>0.27268062352941191</v>
      </c>
      <c r="Q818" s="33">
        <v>1.599870672941174</v>
      </c>
      <c r="R818" s="1" t="s">
        <v>280</v>
      </c>
      <c r="T818" s="71" t="s">
        <v>626</v>
      </c>
    </row>
    <row r="819" spans="1:20" ht="12.75" customHeight="1">
      <c r="A819" s="1" t="s">
        <v>469</v>
      </c>
      <c r="B819" s="1">
        <v>24</v>
      </c>
      <c r="C819" s="1" t="s">
        <v>511</v>
      </c>
      <c r="D819" s="5">
        <v>43515</v>
      </c>
      <c r="E819" s="1">
        <f t="shared" si="49"/>
        <v>2019</v>
      </c>
      <c r="F819" s="1">
        <f t="shared" si="50"/>
        <v>2</v>
      </c>
      <c r="G819" s="4">
        <f t="shared" si="51"/>
        <v>19</v>
      </c>
      <c r="H819" s="8">
        <v>0.99097222222222225</v>
      </c>
      <c r="I819" s="11">
        <v>126.785</v>
      </c>
      <c r="J819" s="11">
        <v>28.981000000000002</v>
      </c>
      <c r="K819" s="9">
        <v>5</v>
      </c>
      <c r="L819" s="9">
        <v>5</v>
      </c>
      <c r="M819" s="9">
        <v>0</v>
      </c>
      <c r="N819" s="12">
        <v>20.419333333333299</v>
      </c>
      <c r="O819" s="11">
        <v>34.651499999999999</v>
      </c>
      <c r="P819" s="33">
        <v>0.28944333676470579</v>
      </c>
      <c r="Q819" s="33">
        <v>1.7358379264705892</v>
      </c>
      <c r="R819" s="1" t="s">
        <v>280</v>
      </c>
      <c r="T819" s="71" t="s">
        <v>626</v>
      </c>
    </row>
    <row r="820" spans="1:20" ht="12.75" customHeight="1">
      <c r="A820" s="1" t="s">
        <v>469</v>
      </c>
      <c r="B820" s="1">
        <v>25</v>
      </c>
      <c r="C820" s="1" t="s">
        <v>511</v>
      </c>
      <c r="D820" s="5">
        <v>43516</v>
      </c>
      <c r="E820" s="1">
        <f t="shared" si="49"/>
        <v>2019</v>
      </c>
      <c r="F820" s="1">
        <f t="shared" si="50"/>
        <v>2</v>
      </c>
      <c r="G820" s="4">
        <f t="shared" si="51"/>
        <v>20</v>
      </c>
      <c r="H820" s="8">
        <v>0.15</v>
      </c>
      <c r="I820" s="11">
        <v>126.288666666666</v>
      </c>
      <c r="J820" s="11">
        <v>29</v>
      </c>
      <c r="K820" s="9">
        <v>5</v>
      </c>
      <c r="L820" s="9">
        <v>5</v>
      </c>
      <c r="M820" s="9">
        <v>0</v>
      </c>
      <c r="N820" s="12">
        <v>20.422666666666601</v>
      </c>
      <c r="O820" s="11">
        <v>34.674166666666601</v>
      </c>
      <c r="P820" s="33">
        <v>0.32021155999999973</v>
      </c>
      <c r="Q820" s="33">
        <v>1.7618722399999989</v>
      </c>
      <c r="R820" s="1" t="s">
        <v>280</v>
      </c>
      <c r="T820" s="71" t="s">
        <v>626</v>
      </c>
    </row>
    <row r="821" spans="1:20" ht="12.75" customHeight="1">
      <c r="A821" s="1" t="s">
        <v>469</v>
      </c>
      <c r="B821" s="1">
        <v>27</v>
      </c>
      <c r="C821" s="1" t="s">
        <v>511</v>
      </c>
      <c r="D821" s="5">
        <v>43516</v>
      </c>
      <c r="E821" s="1">
        <f t="shared" si="49"/>
        <v>2019</v>
      </c>
      <c r="F821" s="1">
        <f t="shared" si="50"/>
        <v>2</v>
      </c>
      <c r="G821" s="4">
        <f t="shared" si="51"/>
        <v>20</v>
      </c>
      <c r="H821" s="8">
        <v>0.30902777777777779</v>
      </c>
      <c r="I821" s="11">
        <v>126.251</v>
      </c>
      <c r="J821" s="11">
        <v>28.548999999999999</v>
      </c>
      <c r="K821" s="9">
        <v>5</v>
      </c>
      <c r="L821" s="9">
        <v>5</v>
      </c>
      <c r="M821" s="9">
        <v>0</v>
      </c>
      <c r="N821" s="12">
        <v>18.675999999999998</v>
      </c>
      <c r="O821" s="11">
        <v>34.650666666666595</v>
      </c>
      <c r="P821" s="33">
        <v>0.26321532823529425</v>
      </c>
      <c r="Q821" s="33">
        <v>1.6434597835294102</v>
      </c>
      <c r="R821" s="1" t="s">
        <v>280</v>
      </c>
      <c r="T821" s="71" t="s">
        <v>626</v>
      </c>
    </row>
    <row r="822" spans="1:20" ht="12.75" customHeight="1">
      <c r="A822" s="1" t="s">
        <v>469</v>
      </c>
      <c r="B822" s="1">
        <v>26</v>
      </c>
      <c r="C822" s="1" t="s">
        <v>511</v>
      </c>
      <c r="D822" s="5">
        <v>43516</v>
      </c>
      <c r="E822" s="1">
        <f t="shared" si="49"/>
        <v>2019</v>
      </c>
      <c r="F822" s="1">
        <f t="shared" si="50"/>
        <v>2</v>
      </c>
      <c r="G822" s="4">
        <f t="shared" si="51"/>
        <v>20</v>
      </c>
      <c r="H822" s="8">
        <v>0.49513888888888885</v>
      </c>
      <c r="I822" s="11">
        <v>125.752</v>
      </c>
      <c r="J822" s="11">
        <v>28.501000000000001</v>
      </c>
      <c r="K822" s="9">
        <v>5</v>
      </c>
      <c r="L822" s="9">
        <v>5</v>
      </c>
      <c r="M822" s="9">
        <v>0</v>
      </c>
      <c r="N822" s="12">
        <v>18.541</v>
      </c>
      <c r="O822" s="11">
        <v>34.637833333333298</v>
      </c>
      <c r="P822" s="33">
        <v>0.29500585147058889</v>
      </c>
      <c r="Q822" s="33">
        <v>1.6940765970588227</v>
      </c>
      <c r="R822" s="1" t="s">
        <v>280</v>
      </c>
      <c r="T822" s="71" t="s">
        <v>626</v>
      </c>
    </row>
    <row r="823" spans="1:20" ht="12.75" customHeight="1">
      <c r="A823" s="1" t="s">
        <v>469</v>
      </c>
      <c r="B823" s="1">
        <v>37</v>
      </c>
      <c r="C823" s="1" t="s">
        <v>511</v>
      </c>
      <c r="D823" s="5">
        <v>43516</v>
      </c>
      <c r="E823" s="1">
        <f t="shared" si="49"/>
        <v>2019</v>
      </c>
      <c r="F823" s="1">
        <f t="shared" si="50"/>
        <v>2</v>
      </c>
      <c r="G823" s="4">
        <f t="shared" si="51"/>
        <v>20</v>
      </c>
      <c r="H823" s="8">
        <v>0.64652777777777781</v>
      </c>
      <c r="I823" s="11">
        <v>125.283333333333</v>
      </c>
      <c r="J823" s="11">
        <v>28.031833333333299</v>
      </c>
      <c r="K823" s="9">
        <v>5</v>
      </c>
      <c r="L823" s="9">
        <v>5</v>
      </c>
      <c r="M823" s="9">
        <v>0</v>
      </c>
      <c r="N823" s="12">
        <v>19.244333333333298</v>
      </c>
      <c r="O823" s="11">
        <v>34.617999999999995</v>
      </c>
      <c r="P823" s="33">
        <v>0.3148354647058822</v>
      </c>
      <c r="Q823" s="33">
        <v>1.6160777705882374</v>
      </c>
      <c r="R823" s="1" t="s">
        <v>280</v>
      </c>
      <c r="T823" s="71" t="s">
        <v>626</v>
      </c>
    </row>
    <row r="824" spans="1:20" ht="12.75" customHeight="1">
      <c r="A824" s="1" t="s">
        <v>469</v>
      </c>
      <c r="B824" s="1">
        <v>40</v>
      </c>
      <c r="C824" s="1" t="s">
        <v>511</v>
      </c>
      <c r="D824" s="5">
        <v>43516</v>
      </c>
      <c r="E824" s="1">
        <f t="shared" si="49"/>
        <v>2019</v>
      </c>
      <c r="F824" s="1">
        <f t="shared" si="50"/>
        <v>2</v>
      </c>
      <c r="G824" s="4">
        <f t="shared" si="51"/>
        <v>20</v>
      </c>
      <c r="H824" s="8">
        <v>0.8354166666666667</v>
      </c>
      <c r="I824" s="11">
        <v>124.788666666666</v>
      </c>
      <c r="J824" s="11">
        <v>27.538166666666601</v>
      </c>
      <c r="K824" s="9">
        <v>5</v>
      </c>
      <c r="L824" s="9">
        <v>5</v>
      </c>
      <c r="M824" s="9">
        <v>0</v>
      </c>
      <c r="N824" s="12">
        <v>19.890999999999998</v>
      </c>
      <c r="O824" s="11">
        <v>34.661499999999997</v>
      </c>
      <c r="P824" s="33">
        <v>0.27337819294117693</v>
      </c>
      <c r="Q824" s="33">
        <v>1.5570566341176466</v>
      </c>
      <c r="R824" s="1" t="s">
        <v>280</v>
      </c>
      <c r="T824" s="71" t="s">
        <v>626</v>
      </c>
    </row>
    <row r="825" spans="1:20" ht="12.75" customHeight="1">
      <c r="A825" s="1" t="s">
        <v>469</v>
      </c>
      <c r="B825" s="1">
        <v>41</v>
      </c>
      <c r="C825" s="1" t="s">
        <v>511</v>
      </c>
      <c r="D825" s="5">
        <v>43516</v>
      </c>
      <c r="E825" s="1">
        <f t="shared" si="49"/>
        <v>2019</v>
      </c>
      <c r="F825" s="1">
        <f t="shared" si="50"/>
        <v>2</v>
      </c>
      <c r="G825" s="4">
        <f t="shared" si="51"/>
        <v>20</v>
      </c>
      <c r="H825" s="8">
        <v>0.97916666666666663</v>
      </c>
      <c r="I825" s="11">
        <v>124.29900000000001</v>
      </c>
      <c r="J825" s="11">
        <v>27.5</v>
      </c>
      <c r="K825" s="9">
        <v>5</v>
      </c>
      <c r="L825" s="9">
        <v>5</v>
      </c>
      <c r="M825" s="9">
        <v>0</v>
      </c>
      <c r="N825" s="12">
        <v>20.181000000000001</v>
      </c>
      <c r="O825" s="11">
        <v>34.705166666666599</v>
      </c>
      <c r="P825" s="33">
        <v>0.31574952117647115</v>
      </c>
      <c r="Q825" s="33">
        <v>1.7041351776470588</v>
      </c>
      <c r="R825" s="1" t="s">
        <v>280</v>
      </c>
      <c r="T825" s="71" t="s">
        <v>626</v>
      </c>
    </row>
    <row r="826" spans="1:20" ht="12.75" customHeight="1">
      <c r="A826" s="1" t="s">
        <v>469</v>
      </c>
      <c r="B826" s="1">
        <v>42</v>
      </c>
      <c r="C826" s="1" t="s">
        <v>511</v>
      </c>
      <c r="D826" s="5">
        <v>43517</v>
      </c>
      <c r="E826" s="1">
        <f t="shared" si="49"/>
        <v>2019</v>
      </c>
      <c r="F826" s="1">
        <f t="shared" si="50"/>
        <v>2</v>
      </c>
      <c r="G826" s="4">
        <f t="shared" si="51"/>
        <v>21</v>
      </c>
      <c r="H826" s="8">
        <v>0.13472222222222222</v>
      </c>
      <c r="I826" s="11">
        <v>123.80133333333301</v>
      </c>
      <c r="J826" s="11">
        <v>27.5</v>
      </c>
      <c r="K826" s="9">
        <v>5</v>
      </c>
      <c r="L826" s="9">
        <v>5</v>
      </c>
      <c r="M826" s="9">
        <v>0</v>
      </c>
      <c r="N826" s="12">
        <v>21.527666666666601</v>
      </c>
      <c r="O826" s="11">
        <v>34.652166666666595</v>
      </c>
      <c r="P826" s="33">
        <v>0.21463476705882378</v>
      </c>
      <c r="Q826" s="33">
        <v>1.4665914870588228</v>
      </c>
      <c r="R826" s="1" t="s">
        <v>280</v>
      </c>
      <c r="T826" s="71" t="s">
        <v>626</v>
      </c>
    </row>
    <row r="827" spans="1:20" ht="12.75" customHeight="1">
      <c r="A827" s="1" t="s">
        <v>469</v>
      </c>
      <c r="B827" s="1">
        <v>43</v>
      </c>
      <c r="C827" s="1" t="s">
        <v>511</v>
      </c>
      <c r="D827" s="5">
        <v>43517</v>
      </c>
      <c r="E827" s="1">
        <f t="shared" si="49"/>
        <v>2019</v>
      </c>
      <c r="F827" s="1">
        <f t="shared" si="50"/>
        <v>2</v>
      </c>
      <c r="G827" s="4">
        <f t="shared" si="51"/>
        <v>21</v>
      </c>
      <c r="H827" s="8">
        <v>0.34236111111111112</v>
      </c>
      <c r="I827" s="11">
        <v>123.28983333333299</v>
      </c>
      <c r="J827" s="11">
        <v>27.039000000000001</v>
      </c>
      <c r="K827" s="9">
        <v>5</v>
      </c>
      <c r="L827" s="9">
        <v>5</v>
      </c>
      <c r="M827" s="9">
        <v>0</v>
      </c>
      <c r="N827" s="12">
        <v>19.4843333333333</v>
      </c>
      <c r="O827" s="11">
        <v>34.210166666666595</v>
      </c>
      <c r="P827" s="33">
        <v>6.9809016470588237E-2</v>
      </c>
      <c r="Q827" s="33">
        <v>0.52427085647059002</v>
      </c>
      <c r="R827" s="1" t="s">
        <v>280</v>
      </c>
      <c r="T827" s="71" t="s">
        <v>626</v>
      </c>
    </row>
    <row r="828" spans="1:20" ht="12.75" customHeight="1">
      <c r="A828" s="1" t="s">
        <v>469</v>
      </c>
      <c r="B828" s="1">
        <v>44</v>
      </c>
      <c r="C828" s="1" t="s">
        <v>511</v>
      </c>
      <c r="D828" s="5">
        <v>43517</v>
      </c>
      <c r="E828" s="1">
        <f t="shared" si="49"/>
        <v>2019</v>
      </c>
      <c r="F828" s="1">
        <f t="shared" si="50"/>
        <v>2</v>
      </c>
      <c r="G828" s="4">
        <f t="shared" si="51"/>
        <v>21</v>
      </c>
      <c r="H828" s="8">
        <v>0.50694444444444442</v>
      </c>
      <c r="I828" s="11">
        <v>123.25</v>
      </c>
      <c r="J828" s="11">
        <v>26.546166666666601</v>
      </c>
      <c r="K828" s="9">
        <v>5</v>
      </c>
      <c r="L828" s="9">
        <v>5</v>
      </c>
      <c r="M828" s="9">
        <v>0</v>
      </c>
      <c r="N828" s="12">
        <v>21.902666666666601</v>
      </c>
      <c r="O828" s="11">
        <v>34.223999999999997</v>
      </c>
      <c r="P828" s="33">
        <v>0.12199574588235329</v>
      </c>
      <c r="Q828" s="33">
        <v>0.79714550588235333</v>
      </c>
      <c r="R828" s="1" t="s">
        <v>280</v>
      </c>
      <c r="T828" s="71" t="s">
        <v>626</v>
      </c>
    </row>
    <row r="829" spans="1:20" ht="12.75" customHeight="1">
      <c r="A829" s="1" t="s">
        <v>469</v>
      </c>
      <c r="B829" s="1">
        <v>45</v>
      </c>
      <c r="C829" s="1" t="s">
        <v>511</v>
      </c>
      <c r="D829" s="5">
        <v>43517</v>
      </c>
      <c r="E829" s="1">
        <f t="shared" si="49"/>
        <v>2019</v>
      </c>
      <c r="F829" s="1">
        <f t="shared" si="50"/>
        <v>2</v>
      </c>
      <c r="G829" s="4">
        <f t="shared" si="51"/>
        <v>21</v>
      </c>
      <c r="H829" s="8">
        <v>0.67499999999999993</v>
      </c>
      <c r="I829" s="11">
        <v>123.699333333333</v>
      </c>
      <c r="J829" s="11">
        <v>26.498999999999999</v>
      </c>
      <c r="K829" s="9">
        <v>5</v>
      </c>
      <c r="L829" s="9">
        <v>5</v>
      </c>
      <c r="M829" s="9">
        <v>0</v>
      </c>
      <c r="N829" s="12">
        <v>23.4076666666666</v>
      </c>
      <c r="O829" s="11">
        <v>34.500166666666594</v>
      </c>
      <c r="P829" s="33">
        <v>0.18881415529411782</v>
      </c>
      <c r="Q829" s="33">
        <v>1.3498737552941176</v>
      </c>
      <c r="R829" s="1" t="s">
        <v>280</v>
      </c>
      <c r="T829" s="71" t="s">
        <v>626</v>
      </c>
    </row>
    <row r="830" spans="1:20" ht="12.75" customHeight="1">
      <c r="A830" s="1" t="s">
        <v>470</v>
      </c>
      <c r="B830" s="1">
        <v>46</v>
      </c>
      <c r="C830" s="1" t="s">
        <v>511</v>
      </c>
      <c r="D830" s="5">
        <v>43517</v>
      </c>
      <c r="E830" s="1">
        <f t="shared" si="49"/>
        <v>2019</v>
      </c>
      <c r="F830" s="1">
        <f t="shared" si="50"/>
        <v>2</v>
      </c>
      <c r="G830" s="4">
        <f t="shared" si="51"/>
        <v>21</v>
      </c>
      <c r="H830" s="8">
        <v>0.88263888888888886</v>
      </c>
      <c r="I830" s="11">
        <v>123.762</v>
      </c>
      <c r="J830" s="11">
        <v>26.960999999999999</v>
      </c>
      <c r="K830" s="9">
        <v>5</v>
      </c>
      <c r="L830" s="9">
        <v>5</v>
      </c>
      <c r="M830" s="9">
        <v>0</v>
      </c>
      <c r="N830" s="12">
        <v>21.760999999999999</v>
      </c>
      <c r="O830" s="11">
        <v>34.5178333333333</v>
      </c>
      <c r="P830" s="33">
        <v>0.18260296470588244</v>
      </c>
      <c r="Q830" s="33">
        <v>1.3664458647058826</v>
      </c>
      <c r="R830" s="1" t="s">
        <v>280</v>
      </c>
      <c r="T830" s="71" t="s">
        <v>626</v>
      </c>
    </row>
    <row r="831" spans="1:20" ht="12.75" customHeight="1">
      <c r="A831" s="1" t="s">
        <v>470</v>
      </c>
      <c r="B831" s="1">
        <v>47</v>
      </c>
      <c r="C831" s="1" t="s">
        <v>511</v>
      </c>
      <c r="D831" s="5">
        <v>43518</v>
      </c>
      <c r="E831" s="1">
        <f t="shared" si="49"/>
        <v>2019</v>
      </c>
      <c r="F831" s="1">
        <f t="shared" si="50"/>
        <v>2</v>
      </c>
      <c r="G831" s="4">
        <f t="shared" si="51"/>
        <v>22</v>
      </c>
      <c r="H831" s="8">
        <v>3.125E-2</v>
      </c>
      <c r="I831" s="11">
        <v>124.206</v>
      </c>
      <c r="J831" s="11">
        <v>26.995999999999999</v>
      </c>
      <c r="K831" s="9">
        <v>5</v>
      </c>
      <c r="L831" s="9">
        <v>5</v>
      </c>
      <c r="M831" s="9">
        <v>0</v>
      </c>
      <c r="N831" s="12">
        <v>20.612666666666598</v>
      </c>
      <c r="O831" s="11">
        <v>34.649166666666595</v>
      </c>
      <c r="P831" s="33">
        <v>0.24599529411764731</v>
      </c>
      <c r="Q831" s="33">
        <v>1.6545942141176493</v>
      </c>
      <c r="R831" s="1" t="s">
        <v>280</v>
      </c>
      <c r="T831" s="71" t="s">
        <v>626</v>
      </c>
    </row>
    <row r="832" spans="1:20" ht="12.75" customHeight="1">
      <c r="A832" s="1" t="s">
        <v>470</v>
      </c>
      <c r="B832" s="1">
        <v>48</v>
      </c>
      <c r="C832" s="1" t="s">
        <v>511</v>
      </c>
      <c r="D832" s="5">
        <v>43518</v>
      </c>
      <c r="E832" s="1">
        <f t="shared" si="49"/>
        <v>2019</v>
      </c>
      <c r="F832" s="1">
        <f t="shared" si="50"/>
        <v>2</v>
      </c>
      <c r="G832" s="4">
        <f t="shared" si="51"/>
        <v>22</v>
      </c>
      <c r="H832" s="8">
        <v>0.18124999999999999</v>
      </c>
      <c r="I832" s="11">
        <v>124.249</v>
      </c>
      <c r="J832" s="11">
        <v>26.5446666666666</v>
      </c>
      <c r="K832" s="9">
        <v>5</v>
      </c>
      <c r="L832" s="9">
        <v>5</v>
      </c>
      <c r="M832" s="9">
        <v>0</v>
      </c>
      <c r="N832" s="12">
        <v>23.765999999999998</v>
      </c>
      <c r="O832" s="11">
        <v>34.580999999999996</v>
      </c>
      <c r="P832" s="33">
        <v>0.23697626352941192</v>
      </c>
      <c r="Q832" s="33">
        <v>1.5471044635294131</v>
      </c>
      <c r="R832" s="1" t="s">
        <v>280</v>
      </c>
      <c r="T832" s="71" t="s">
        <v>626</v>
      </c>
    </row>
    <row r="833" spans="1:20" ht="12.75" customHeight="1">
      <c r="A833" s="1" t="s">
        <v>470</v>
      </c>
      <c r="B833" s="1">
        <v>49</v>
      </c>
      <c r="C833" s="1" t="s">
        <v>511</v>
      </c>
      <c r="D833" s="5">
        <v>43518</v>
      </c>
      <c r="E833" s="1">
        <f t="shared" si="49"/>
        <v>2019</v>
      </c>
      <c r="F833" s="1">
        <f t="shared" si="50"/>
        <v>2</v>
      </c>
      <c r="G833" s="4">
        <f t="shared" si="51"/>
        <v>22</v>
      </c>
      <c r="H833" s="8">
        <v>0.34513888888888888</v>
      </c>
      <c r="I833" s="11">
        <v>124.72066666666601</v>
      </c>
      <c r="J833" s="11">
        <v>26.5</v>
      </c>
      <c r="K833" s="9">
        <v>5</v>
      </c>
      <c r="L833" s="9">
        <v>5</v>
      </c>
      <c r="M833" s="9">
        <v>0</v>
      </c>
      <c r="N833" s="12">
        <v>24.034333333333301</v>
      </c>
      <c r="O833" s="11">
        <v>34.518000000000001</v>
      </c>
      <c r="P833" s="33">
        <v>0.23510942117647105</v>
      </c>
      <c r="Q833" s="33">
        <v>1.361327581176468</v>
      </c>
      <c r="R833" s="1" t="s">
        <v>280</v>
      </c>
      <c r="T833" s="71" t="s">
        <v>626</v>
      </c>
    </row>
    <row r="834" spans="1:20" ht="12.75" customHeight="1">
      <c r="A834" s="1" t="s">
        <v>470</v>
      </c>
      <c r="B834" s="1">
        <v>50</v>
      </c>
      <c r="C834" s="1" t="s">
        <v>511</v>
      </c>
      <c r="D834" s="5">
        <v>43518</v>
      </c>
      <c r="E834" s="1">
        <f t="shared" si="49"/>
        <v>2019</v>
      </c>
      <c r="F834" s="1">
        <f t="shared" si="50"/>
        <v>2</v>
      </c>
      <c r="G834" s="4">
        <f t="shared" si="51"/>
        <v>22</v>
      </c>
      <c r="H834" s="8">
        <v>0.51111111111111118</v>
      </c>
      <c r="I834" s="11">
        <v>124.752</v>
      </c>
      <c r="J834" s="11">
        <v>26.96</v>
      </c>
      <c r="K834" s="9">
        <v>5</v>
      </c>
      <c r="L834" s="9">
        <v>5</v>
      </c>
      <c r="M834" s="9">
        <v>0</v>
      </c>
      <c r="N834" s="12">
        <v>22.151</v>
      </c>
      <c r="O834" s="11">
        <v>34.541833333333294</v>
      </c>
      <c r="P834" s="33">
        <v>0.18240143058823532</v>
      </c>
      <c r="Q834" s="33">
        <v>1.3109910305882337</v>
      </c>
      <c r="R834" s="1" t="s">
        <v>280</v>
      </c>
      <c r="T834" s="71" t="s">
        <v>626</v>
      </c>
    </row>
    <row r="835" spans="1:20" ht="12.75" customHeight="1">
      <c r="A835" s="1" t="s">
        <v>470</v>
      </c>
      <c r="B835" s="1">
        <v>51</v>
      </c>
      <c r="C835" s="1" t="s">
        <v>511</v>
      </c>
      <c r="D835" s="5">
        <v>43518</v>
      </c>
      <c r="E835" s="1">
        <f t="shared" ref="E835:E853" si="56">YEAR(D835)</f>
        <v>2019</v>
      </c>
      <c r="F835" s="1">
        <f t="shared" ref="F835:F853" si="57">MONTH(D835)</f>
        <v>2</v>
      </c>
      <c r="G835" s="4">
        <f t="shared" ref="G835:G853" si="58">DAY(D835)</f>
        <v>22</v>
      </c>
      <c r="H835" s="8">
        <v>0.65069444444444446</v>
      </c>
      <c r="I835" s="11">
        <v>125.196666666666</v>
      </c>
      <c r="J835" s="11">
        <v>27</v>
      </c>
      <c r="K835" s="9">
        <v>5</v>
      </c>
      <c r="L835" s="9">
        <v>5</v>
      </c>
      <c r="M835" s="9">
        <v>0</v>
      </c>
      <c r="N835" s="12">
        <v>21.401</v>
      </c>
      <c r="O835" s="11">
        <v>34.637833333333298</v>
      </c>
      <c r="P835" s="33">
        <v>0.23293951999999996</v>
      </c>
      <c r="Q835" s="33">
        <v>1.485325679999999</v>
      </c>
      <c r="R835" s="1" t="s">
        <v>280</v>
      </c>
      <c r="T835" s="71" t="s">
        <v>626</v>
      </c>
    </row>
    <row r="836" spans="1:20" ht="12.75" customHeight="1">
      <c r="A836" s="1" t="s">
        <v>470</v>
      </c>
      <c r="B836" s="1">
        <v>39</v>
      </c>
      <c r="C836" s="1" t="s">
        <v>511</v>
      </c>
      <c r="D836" s="5">
        <v>43518</v>
      </c>
      <c r="E836" s="1">
        <f t="shared" si="56"/>
        <v>2019</v>
      </c>
      <c r="F836" s="1">
        <f t="shared" si="57"/>
        <v>2</v>
      </c>
      <c r="G836" s="4">
        <f t="shared" si="58"/>
        <v>22</v>
      </c>
      <c r="H836" s="8">
        <v>0.90277777777777779</v>
      </c>
      <c r="I836" s="11">
        <v>125.263666666666</v>
      </c>
      <c r="J836" s="11">
        <v>27.475833333333298</v>
      </c>
      <c r="K836" s="9">
        <v>5</v>
      </c>
      <c r="L836" s="9">
        <v>5</v>
      </c>
      <c r="M836" s="9">
        <v>0</v>
      </c>
      <c r="N836" s="12">
        <v>20.690999999999999</v>
      </c>
      <c r="O836" s="11">
        <v>34.609833333333299</v>
      </c>
      <c r="P836" s="33">
        <v>0.20516720941176425</v>
      </c>
      <c r="Q836" s="33">
        <v>1.4387336494117662</v>
      </c>
      <c r="R836" s="1" t="s">
        <v>280</v>
      </c>
      <c r="T836" s="71" t="s">
        <v>626</v>
      </c>
    </row>
    <row r="837" spans="1:20" ht="12.75" customHeight="1">
      <c r="A837" s="1" t="s">
        <v>470</v>
      </c>
      <c r="B837" s="1">
        <v>38</v>
      </c>
      <c r="C837" s="1" t="s">
        <v>511</v>
      </c>
      <c r="D837" s="5">
        <v>43519</v>
      </c>
      <c r="E837" s="1">
        <f t="shared" si="56"/>
        <v>2019</v>
      </c>
      <c r="F837" s="1">
        <f t="shared" si="57"/>
        <v>2</v>
      </c>
      <c r="G837" s="4">
        <f t="shared" si="58"/>
        <v>23</v>
      </c>
      <c r="H837" s="8">
        <v>5.0694444444444452E-2</v>
      </c>
      <c r="I837" s="11">
        <v>125.699</v>
      </c>
      <c r="J837" s="11">
        <v>27.498999999999999</v>
      </c>
      <c r="K837" s="9">
        <v>5</v>
      </c>
      <c r="L837" s="9">
        <v>5</v>
      </c>
      <c r="M837" s="9">
        <v>0</v>
      </c>
      <c r="N837" s="12">
        <v>21.614333333333299</v>
      </c>
      <c r="O837" s="11">
        <v>34.621166666666596</v>
      </c>
      <c r="P837" s="33">
        <v>0.2254115388235296</v>
      </c>
      <c r="Q837" s="33">
        <v>1.4441707388235301</v>
      </c>
      <c r="R837" s="1" t="s">
        <v>280</v>
      </c>
      <c r="T837" s="71" t="s">
        <v>626</v>
      </c>
    </row>
    <row r="838" spans="1:20" ht="12.75" customHeight="1">
      <c r="A838" s="1" t="s">
        <v>470</v>
      </c>
      <c r="B838" s="1">
        <v>36</v>
      </c>
      <c r="C838" s="1" t="s">
        <v>511</v>
      </c>
      <c r="D838" s="5">
        <v>43519</v>
      </c>
      <c r="E838" s="1">
        <f t="shared" si="56"/>
        <v>2019</v>
      </c>
      <c r="F838" s="1">
        <f t="shared" si="57"/>
        <v>2</v>
      </c>
      <c r="G838" s="4">
        <f t="shared" si="58"/>
        <v>23</v>
      </c>
      <c r="H838" s="8">
        <v>0.27708333333333335</v>
      </c>
      <c r="I838" s="11">
        <v>125.752</v>
      </c>
      <c r="J838" s="11">
        <v>27.965</v>
      </c>
      <c r="K838" s="9">
        <v>5</v>
      </c>
      <c r="L838" s="9">
        <v>5</v>
      </c>
      <c r="M838" s="9">
        <v>0</v>
      </c>
      <c r="N838" s="12">
        <v>22.125999999999998</v>
      </c>
      <c r="O838" s="11">
        <v>34.672833333333294</v>
      </c>
      <c r="P838" s="33">
        <v>0.21062226823529429</v>
      </c>
      <c r="Q838" s="33">
        <v>1.5739653082352962</v>
      </c>
      <c r="R838" s="1" t="s">
        <v>280</v>
      </c>
      <c r="T838" s="71" t="s">
        <v>626</v>
      </c>
    </row>
    <row r="839" spans="1:20" ht="12.75" customHeight="1">
      <c r="A839" s="1" t="s">
        <v>470</v>
      </c>
      <c r="B839" s="1">
        <v>35</v>
      </c>
      <c r="C839" s="1" t="s">
        <v>511</v>
      </c>
      <c r="D839" s="5">
        <v>43519</v>
      </c>
      <c r="E839" s="1">
        <f t="shared" si="56"/>
        <v>2019</v>
      </c>
      <c r="F839" s="1">
        <f t="shared" si="57"/>
        <v>2</v>
      </c>
      <c r="G839" s="4">
        <f t="shared" si="58"/>
        <v>23</v>
      </c>
      <c r="H839" s="8">
        <v>0.42499999999999999</v>
      </c>
      <c r="I839" s="11">
        <v>126.204666666666</v>
      </c>
      <c r="J839" s="11">
        <v>27.998999999999999</v>
      </c>
      <c r="K839" s="9">
        <v>5</v>
      </c>
      <c r="L839" s="9">
        <v>5</v>
      </c>
      <c r="M839" s="9">
        <v>0</v>
      </c>
      <c r="N839" s="12">
        <v>22.517666666666599</v>
      </c>
      <c r="O839" s="11">
        <v>34.578499999999998</v>
      </c>
      <c r="P839" s="33">
        <v>0.17378243764705914</v>
      </c>
      <c r="Q839" s="33">
        <v>1.3852785976470603</v>
      </c>
      <c r="R839" s="1" t="s">
        <v>280</v>
      </c>
      <c r="T839" s="71" t="s">
        <v>626</v>
      </c>
    </row>
    <row r="840" spans="1:20" ht="12.75" customHeight="1">
      <c r="A840" s="1" t="s">
        <v>470</v>
      </c>
      <c r="B840" s="1">
        <v>28</v>
      </c>
      <c r="C840" s="1" t="s">
        <v>511</v>
      </c>
      <c r="D840" s="5">
        <v>43519</v>
      </c>
      <c r="E840" s="1">
        <f t="shared" si="56"/>
        <v>2019</v>
      </c>
      <c r="F840" s="1">
        <f t="shared" si="57"/>
        <v>2</v>
      </c>
      <c r="G840" s="4">
        <f t="shared" si="58"/>
        <v>23</v>
      </c>
      <c r="H840" s="8">
        <v>0.61041666666666672</v>
      </c>
      <c r="I840" s="11">
        <v>126.722166666666</v>
      </c>
      <c r="J840" s="11">
        <v>28.466000000000001</v>
      </c>
      <c r="K840" s="9">
        <v>5</v>
      </c>
      <c r="L840" s="9">
        <v>5</v>
      </c>
      <c r="M840" s="9">
        <v>0</v>
      </c>
      <c r="N840" s="12">
        <v>23.355999999999998</v>
      </c>
      <c r="O840" s="11">
        <v>34.577999999999996</v>
      </c>
      <c r="P840" s="33">
        <v>0.22596916705882375</v>
      </c>
      <c r="Q840" s="33">
        <v>1.5040366870588233</v>
      </c>
      <c r="R840" s="1" t="s">
        <v>280</v>
      </c>
      <c r="T840" s="71" t="s">
        <v>626</v>
      </c>
    </row>
    <row r="841" spans="1:20" ht="12.75" customHeight="1">
      <c r="A841" s="1" t="s">
        <v>470</v>
      </c>
      <c r="B841" s="1">
        <v>29</v>
      </c>
      <c r="C841" s="1" t="s">
        <v>511</v>
      </c>
      <c r="D841" s="5">
        <v>43519</v>
      </c>
      <c r="E841" s="1">
        <f t="shared" si="56"/>
        <v>2019</v>
      </c>
      <c r="F841" s="1">
        <f t="shared" si="57"/>
        <v>2</v>
      </c>
      <c r="G841" s="4">
        <f t="shared" si="58"/>
        <v>23</v>
      </c>
      <c r="H841" s="8">
        <v>0.76736111111111116</v>
      </c>
      <c r="I841" s="11">
        <v>127.1995</v>
      </c>
      <c r="J841" s="11">
        <v>28.273499999999999</v>
      </c>
      <c r="K841" s="9">
        <v>5</v>
      </c>
      <c r="L841" s="9">
        <v>5</v>
      </c>
      <c r="M841" s="9">
        <v>0</v>
      </c>
      <c r="N841" s="12">
        <v>23.829333333333299</v>
      </c>
      <c r="O841" s="11">
        <v>34.661333333333296</v>
      </c>
      <c r="P841" s="33">
        <v>0.19619495058823544</v>
      </c>
      <c r="Q841" s="33">
        <v>1.3117684317647065</v>
      </c>
      <c r="R841" s="1" t="s">
        <v>280</v>
      </c>
      <c r="T841" s="71" t="s">
        <v>626</v>
      </c>
    </row>
    <row r="842" spans="1:20" ht="12.75" customHeight="1">
      <c r="A842" s="1" t="s">
        <v>470</v>
      </c>
      <c r="B842" s="1">
        <v>30</v>
      </c>
      <c r="C842" s="1" t="s">
        <v>511</v>
      </c>
      <c r="D842" s="5">
        <v>43519</v>
      </c>
      <c r="E842" s="1">
        <f t="shared" si="56"/>
        <v>2019</v>
      </c>
      <c r="F842" s="1">
        <f t="shared" si="57"/>
        <v>2</v>
      </c>
      <c r="G842" s="4">
        <f t="shared" si="58"/>
        <v>23</v>
      </c>
      <c r="H842" s="8">
        <v>0.90763888888888899</v>
      </c>
      <c r="I842" s="11">
        <v>127.70383333333299</v>
      </c>
      <c r="J842" s="11">
        <v>28.248999999999999</v>
      </c>
      <c r="K842" s="9">
        <v>5</v>
      </c>
      <c r="L842" s="9">
        <v>5</v>
      </c>
      <c r="M842" s="9">
        <v>0</v>
      </c>
      <c r="N842" s="12">
        <v>23.312666666666598</v>
      </c>
      <c r="O842" s="11">
        <v>34.6561666666666</v>
      </c>
      <c r="P842" s="33">
        <v>0.24028284470588268</v>
      </c>
      <c r="Q842" s="33">
        <v>1.4838584341176464</v>
      </c>
      <c r="R842" s="1" t="s">
        <v>280</v>
      </c>
      <c r="T842" s="71" t="s">
        <v>626</v>
      </c>
    </row>
    <row r="843" spans="1:20" ht="12.75" customHeight="1">
      <c r="A843" s="1" t="s">
        <v>470</v>
      </c>
      <c r="B843" s="1">
        <v>31</v>
      </c>
      <c r="C843" s="1" t="s">
        <v>511</v>
      </c>
      <c r="D843" s="5">
        <v>43520</v>
      </c>
      <c r="E843" s="1">
        <f t="shared" si="56"/>
        <v>2019</v>
      </c>
      <c r="F843" s="1">
        <f t="shared" si="57"/>
        <v>2</v>
      </c>
      <c r="G843" s="4">
        <f t="shared" si="58"/>
        <v>24</v>
      </c>
      <c r="H843" s="8">
        <v>5.5555555555555552E-2</v>
      </c>
      <c r="I843" s="11">
        <v>128.199166666666</v>
      </c>
      <c r="J843" s="11">
        <v>28.25</v>
      </c>
      <c r="K843" s="9">
        <v>5</v>
      </c>
      <c r="L843" s="9">
        <v>5</v>
      </c>
      <c r="M843" s="9">
        <v>0</v>
      </c>
      <c r="N843" s="12">
        <v>22.139333333333298</v>
      </c>
      <c r="O843" s="11">
        <v>34.745333333333299</v>
      </c>
      <c r="P843" s="33">
        <v>0.2558859188235294</v>
      </c>
      <c r="Q843" s="33">
        <v>1.6240428164705882</v>
      </c>
      <c r="R843" s="1" t="s">
        <v>280</v>
      </c>
      <c r="T843" s="71" t="s">
        <v>626</v>
      </c>
    </row>
    <row r="844" spans="1:20" ht="12.75" customHeight="1">
      <c r="A844" s="1" t="s">
        <v>470</v>
      </c>
      <c r="B844" s="1">
        <v>32</v>
      </c>
      <c r="C844" s="1" t="s">
        <v>511</v>
      </c>
      <c r="D844" s="5">
        <v>43520</v>
      </c>
      <c r="E844" s="1">
        <f t="shared" si="56"/>
        <v>2019</v>
      </c>
      <c r="F844" s="1">
        <f t="shared" si="57"/>
        <v>2</v>
      </c>
      <c r="G844" s="4">
        <f t="shared" si="58"/>
        <v>24</v>
      </c>
      <c r="H844" s="8">
        <v>0.24861111111111112</v>
      </c>
      <c r="I844" s="11">
        <v>127.782428571428</v>
      </c>
      <c r="J844" s="11">
        <v>27.783142857142799</v>
      </c>
      <c r="K844" s="9">
        <v>5</v>
      </c>
      <c r="L844" s="9">
        <v>5</v>
      </c>
      <c r="M844" s="9">
        <v>0</v>
      </c>
      <c r="N844" s="12">
        <v>23.275285714285697</v>
      </c>
      <c r="O844" s="11">
        <v>34.684571428571395</v>
      </c>
      <c r="P844" s="33">
        <v>0.23270115294117666</v>
      </c>
      <c r="Q844" s="33">
        <v>1.5387347188235303</v>
      </c>
      <c r="R844" s="1" t="s">
        <v>280</v>
      </c>
      <c r="T844" s="71" t="s">
        <v>626</v>
      </c>
    </row>
    <row r="845" spans="1:20" ht="12.75" customHeight="1">
      <c r="A845" s="1" t="s">
        <v>470</v>
      </c>
      <c r="B845" s="1">
        <v>33</v>
      </c>
      <c r="C845" s="1" t="s">
        <v>511</v>
      </c>
      <c r="D845" s="5">
        <v>43520</v>
      </c>
      <c r="E845" s="1">
        <f t="shared" si="56"/>
        <v>2019</v>
      </c>
      <c r="F845" s="1">
        <f t="shared" si="57"/>
        <v>2</v>
      </c>
      <c r="G845" s="4">
        <f t="shared" si="58"/>
        <v>24</v>
      </c>
      <c r="H845" s="8">
        <v>0.40416666666666662</v>
      </c>
      <c r="I845" s="11">
        <v>127.29833333333301</v>
      </c>
      <c r="J845" s="11">
        <v>27.748999999999999</v>
      </c>
      <c r="K845" s="9">
        <v>5</v>
      </c>
      <c r="L845" s="9">
        <v>5</v>
      </c>
      <c r="M845" s="9">
        <v>0</v>
      </c>
      <c r="N845" s="12">
        <v>23.4426666666666</v>
      </c>
      <c r="O845" s="11">
        <v>34.661999999999999</v>
      </c>
      <c r="P845" s="33">
        <v>0.18406186705882321</v>
      </c>
      <c r="Q845" s="33">
        <v>1.3651478811764726</v>
      </c>
      <c r="R845" s="1" t="s">
        <v>280</v>
      </c>
      <c r="T845" s="71" t="s">
        <v>626</v>
      </c>
    </row>
    <row r="846" spans="1:20" ht="12.75" customHeight="1">
      <c r="A846" s="1" t="s">
        <v>470</v>
      </c>
      <c r="B846" s="1">
        <v>34</v>
      </c>
      <c r="C846" s="1" t="s">
        <v>511</v>
      </c>
      <c r="D846" s="5">
        <v>43520</v>
      </c>
      <c r="E846" s="1">
        <f t="shared" si="56"/>
        <v>2019</v>
      </c>
      <c r="F846" s="1">
        <f t="shared" si="57"/>
        <v>2</v>
      </c>
      <c r="G846" s="4">
        <f t="shared" si="58"/>
        <v>24</v>
      </c>
      <c r="H846" s="8">
        <v>0.55555555555555558</v>
      </c>
      <c r="I846" s="11">
        <v>126.79833333333301</v>
      </c>
      <c r="J846" s="11">
        <v>27.751333333333299</v>
      </c>
      <c r="K846" s="9">
        <v>5</v>
      </c>
      <c r="L846" s="9">
        <v>5</v>
      </c>
      <c r="M846" s="9">
        <v>0</v>
      </c>
      <c r="N846" s="12">
        <v>24.124333333333301</v>
      </c>
      <c r="O846" s="11">
        <v>34.621166666666596</v>
      </c>
      <c r="P846" s="33">
        <v>0.20572554117647002</v>
      </c>
      <c r="Q846" s="33">
        <v>1.4154876035294119</v>
      </c>
      <c r="R846" s="1" t="s">
        <v>280</v>
      </c>
      <c r="T846" s="71" t="s">
        <v>626</v>
      </c>
    </row>
    <row r="847" spans="1:20" ht="12.75" customHeight="1">
      <c r="A847" s="1" t="s">
        <v>470</v>
      </c>
      <c r="B847" s="1">
        <v>58</v>
      </c>
      <c r="C847" s="1" t="s">
        <v>511</v>
      </c>
      <c r="D847" s="5">
        <v>43520</v>
      </c>
      <c r="E847" s="1">
        <f t="shared" si="56"/>
        <v>2019</v>
      </c>
      <c r="F847" s="1">
        <f t="shared" si="57"/>
        <v>2</v>
      </c>
      <c r="G847" s="4">
        <f t="shared" si="58"/>
        <v>24</v>
      </c>
      <c r="H847" s="8">
        <v>0.73541666666666661</v>
      </c>
      <c r="I847" s="11">
        <v>126.75</v>
      </c>
      <c r="J847" s="11">
        <v>27.2925</v>
      </c>
      <c r="K847" s="9">
        <v>5</v>
      </c>
      <c r="L847" s="9">
        <v>5</v>
      </c>
      <c r="M847" s="9">
        <v>0</v>
      </c>
      <c r="N847" s="12">
        <v>24.541</v>
      </c>
      <c r="O847" s="11">
        <v>34.548333333333296</v>
      </c>
      <c r="P847" s="33">
        <v>0.18738925529411743</v>
      </c>
      <c r="Q847" s="33">
        <v>1.3329198658823547</v>
      </c>
      <c r="R847" s="1" t="s">
        <v>280</v>
      </c>
      <c r="T847" s="71" t="s">
        <v>626</v>
      </c>
    </row>
    <row r="848" spans="1:20" ht="12.75" customHeight="1">
      <c r="A848" s="1" t="s">
        <v>470</v>
      </c>
      <c r="B848" s="1">
        <v>57</v>
      </c>
      <c r="C848" s="1" t="s">
        <v>511</v>
      </c>
      <c r="D848" s="5">
        <v>43520</v>
      </c>
      <c r="E848" s="1">
        <f t="shared" si="56"/>
        <v>2019</v>
      </c>
      <c r="F848" s="1">
        <f t="shared" si="57"/>
        <v>2</v>
      </c>
      <c r="G848" s="4">
        <f t="shared" si="58"/>
        <v>24</v>
      </c>
      <c r="H848" s="8">
        <v>0.89513888888888893</v>
      </c>
      <c r="I848" s="11">
        <v>126.287166666666</v>
      </c>
      <c r="J848" s="11">
        <v>27.25</v>
      </c>
      <c r="K848" s="9">
        <v>5</v>
      </c>
      <c r="L848" s="9">
        <v>5</v>
      </c>
      <c r="M848" s="9">
        <v>0</v>
      </c>
      <c r="N848" s="12">
        <v>24.861000000000001</v>
      </c>
      <c r="O848" s="11">
        <v>34.553666666666601</v>
      </c>
      <c r="P848" s="33">
        <v>0.12757945176470553</v>
      </c>
      <c r="Q848" s="33">
        <v>1.1198971752941151</v>
      </c>
      <c r="R848" s="1" t="s">
        <v>280</v>
      </c>
      <c r="T848" s="71" t="s">
        <v>626</v>
      </c>
    </row>
    <row r="849" spans="1:20" ht="12.75" customHeight="1">
      <c r="A849" s="1" t="s">
        <v>470</v>
      </c>
      <c r="B849" s="1">
        <v>56</v>
      </c>
      <c r="C849" s="1" t="s">
        <v>511</v>
      </c>
      <c r="D849" s="5">
        <v>43521</v>
      </c>
      <c r="E849" s="1">
        <f t="shared" si="56"/>
        <v>2019</v>
      </c>
      <c r="F849" s="1">
        <f t="shared" si="57"/>
        <v>2</v>
      </c>
      <c r="G849" s="4">
        <f t="shared" si="58"/>
        <v>25</v>
      </c>
      <c r="H849" s="8">
        <v>8.1250000000000003E-2</v>
      </c>
      <c r="I849" s="11">
        <v>126.25</v>
      </c>
      <c r="J849" s="11">
        <v>26.791166666666602</v>
      </c>
      <c r="K849" s="9">
        <v>5</v>
      </c>
      <c r="L849" s="9">
        <v>5</v>
      </c>
      <c r="M849" s="9">
        <v>0</v>
      </c>
      <c r="N849" s="12">
        <v>23.760999999999999</v>
      </c>
      <c r="O849" s="11">
        <v>34.631166666666594</v>
      </c>
      <c r="P849" s="33">
        <v>0.21833396588235265</v>
      </c>
      <c r="Q849" s="33">
        <v>1.4207840976470578</v>
      </c>
      <c r="R849" s="1" t="s">
        <v>280</v>
      </c>
      <c r="T849" s="71" t="s">
        <v>626</v>
      </c>
    </row>
    <row r="850" spans="1:20" ht="12.75" customHeight="1">
      <c r="A850" s="1" t="s">
        <v>470</v>
      </c>
      <c r="B850" s="1">
        <v>52</v>
      </c>
      <c r="C850" s="1" t="s">
        <v>511</v>
      </c>
      <c r="D850" s="5">
        <v>43521</v>
      </c>
      <c r="E850" s="1">
        <f t="shared" si="56"/>
        <v>2019</v>
      </c>
      <c r="F850" s="1">
        <f t="shared" si="57"/>
        <v>2</v>
      </c>
      <c r="G850" s="4">
        <f t="shared" si="58"/>
        <v>25</v>
      </c>
      <c r="H850" s="8">
        <v>0.24374999999999999</v>
      </c>
      <c r="I850" s="11">
        <v>125.7925</v>
      </c>
      <c r="J850" s="11">
        <v>26.748999999999999</v>
      </c>
      <c r="K850" s="9">
        <v>5</v>
      </c>
      <c r="L850" s="9">
        <v>5</v>
      </c>
      <c r="M850" s="9">
        <v>0</v>
      </c>
      <c r="N850" s="12">
        <v>24.335999999999999</v>
      </c>
      <c r="O850" s="11">
        <v>34.459333333333298</v>
      </c>
      <c r="P850" s="33">
        <v>5.4913650000000036E-2</v>
      </c>
      <c r="Q850" s="33">
        <v>0.90452176666666695</v>
      </c>
      <c r="R850" s="1" t="s">
        <v>280</v>
      </c>
      <c r="T850" s="71" t="s">
        <v>626</v>
      </c>
    </row>
    <row r="851" spans="1:20" ht="12.75" customHeight="1">
      <c r="A851" s="1" t="s">
        <v>470</v>
      </c>
      <c r="B851" s="1">
        <v>53</v>
      </c>
      <c r="C851" s="1" t="s">
        <v>511</v>
      </c>
      <c r="D851" s="5">
        <v>43521</v>
      </c>
      <c r="E851" s="1">
        <f t="shared" si="56"/>
        <v>2019</v>
      </c>
      <c r="F851" s="1">
        <f t="shared" si="57"/>
        <v>2</v>
      </c>
      <c r="G851" s="4">
        <f t="shared" si="58"/>
        <v>25</v>
      </c>
      <c r="H851" s="8">
        <v>0.45555555555555555</v>
      </c>
      <c r="I851" s="11">
        <v>125.27483333333301</v>
      </c>
      <c r="J851" s="11">
        <v>26.274833333333302</v>
      </c>
      <c r="K851" s="9">
        <v>5</v>
      </c>
      <c r="L851" s="9">
        <v>5</v>
      </c>
      <c r="M851" s="9">
        <v>0</v>
      </c>
      <c r="N851" s="12">
        <v>25.125999999999998</v>
      </c>
      <c r="O851" s="11">
        <v>34.542499999999997</v>
      </c>
      <c r="P851" s="33">
        <v>0.14873213411764707</v>
      </c>
      <c r="Q851" s="33">
        <v>1.0781124423529409</v>
      </c>
      <c r="R851" s="1" t="s">
        <v>280</v>
      </c>
      <c r="T851" s="71" t="s">
        <v>626</v>
      </c>
    </row>
    <row r="852" spans="1:20" ht="12.75" customHeight="1">
      <c r="A852" s="1" t="s">
        <v>470</v>
      </c>
      <c r="B852" s="1">
        <v>54</v>
      </c>
      <c r="C852" s="1" t="s">
        <v>511</v>
      </c>
      <c r="D852" s="5">
        <v>43521</v>
      </c>
      <c r="E852" s="1">
        <f t="shared" si="56"/>
        <v>2019</v>
      </c>
      <c r="F852" s="1">
        <f t="shared" si="57"/>
        <v>2</v>
      </c>
      <c r="G852" s="4">
        <f t="shared" si="58"/>
        <v>25</v>
      </c>
      <c r="H852" s="8">
        <v>0.60069444444444442</v>
      </c>
      <c r="I852" s="11">
        <v>125.689666666666</v>
      </c>
      <c r="J852" s="11">
        <v>26.25</v>
      </c>
      <c r="K852" s="9">
        <v>5</v>
      </c>
      <c r="L852" s="9">
        <v>5</v>
      </c>
      <c r="M852" s="9">
        <v>0</v>
      </c>
      <c r="N852" s="12">
        <v>25.334333333333298</v>
      </c>
      <c r="O852" s="11">
        <v>34.548833333333299</v>
      </c>
      <c r="P852" s="33">
        <v>0.23248328823529452</v>
      </c>
      <c r="Q852" s="33">
        <v>1.3046181647058823</v>
      </c>
      <c r="R852" s="1" t="s">
        <v>280</v>
      </c>
      <c r="T852" s="71" t="s">
        <v>626</v>
      </c>
    </row>
    <row r="853" spans="1:20" ht="12.75" customHeight="1">
      <c r="A853" s="1" t="s">
        <v>470</v>
      </c>
      <c r="B853" s="1">
        <v>55</v>
      </c>
      <c r="C853" s="1" t="s">
        <v>511</v>
      </c>
      <c r="D853" s="5">
        <v>43521</v>
      </c>
      <c r="E853" s="1">
        <f t="shared" si="56"/>
        <v>2019</v>
      </c>
      <c r="F853" s="1">
        <f t="shared" si="57"/>
        <v>2</v>
      </c>
      <c r="G853" s="4">
        <f t="shared" si="58"/>
        <v>25</v>
      </c>
      <c r="H853" s="8">
        <v>0.74722222222222223</v>
      </c>
      <c r="I853" s="11">
        <v>126.19499999999999</v>
      </c>
      <c r="J853" s="11">
        <v>26.25</v>
      </c>
      <c r="K853" s="9">
        <v>5</v>
      </c>
      <c r="L853" s="9">
        <v>5</v>
      </c>
      <c r="M853" s="9">
        <v>0</v>
      </c>
      <c r="N853" s="12">
        <v>24.065999999999999</v>
      </c>
      <c r="O853" s="11">
        <v>34.599333333333298</v>
      </c>
      <c r="P853" s="33">
        <v>0.20687428235294103</v>
      </c>
      <c r="Q853" s="33">
        <v>1.5702718870588264</v>
      </c>
      <c r="R853" s="1" t="s">
        <v>280</v>
      </c>
      <c r="T853" s="71" t="s">
        <v>626</v>
      </c>
    </row>
    <row r="854" spans="1:20" ht="12.75" customHeight="1">
      <c r="A854" s="1" t="s">
        <v>469</v>
      </c>
      <c r="B854" s="1" t="s">
        <v>471</v>
      </c>
      <c r="C854" s="1" t="s">
        <v>511</v>
      </c>
      <c r="D854" s="5">
        <v>43526</v>
      </c>
      <c r="E854" s="1">
        <v>2019</v>
      </c>
      <c r="F854" s="1">
        <v>3</v>
      </c>
      <c r="G854" s="4">
        <v>2</v>
      </c>
      <c r="H854" s="8">
        <v>0.50138888888888888</v>
      </c>
      <c r="I854" s="11">
        <f t="shared" ref="I854:I865" si="59">126+1509/6000</f>
        <v>126.25149999999999</v>
      </c>
      <c r="J854" s="11">
        <f t="shared" ref="J854:J865" si="60">27+1505/6000</f>
        <v>27.250833333333333</v>
      </c>
      <c r="K854" s="9">
        <v>0</v>
      </c>
      <c r="L854" s="9">
        <v>0</v>
      </c>
      <c r="M854" s="27">
        <v>0</v>
      </c>
      <c r="N854" s="12">
        <v>25.05</v>
      </c>
      <c r="O854" s="11">
        <v>34.608035293117673</v>
      </c>
      <c r="P854" s="33">
        <v>0.18867267647058883</v>
      </c>
      <c r="Q854" s="33">
        <v>1.2590798294117622</v>
      </c>
      <c r="R854" s="1" t="s">
        <v>280</v>
      </c>
      <c r="S854" s="1">
        <v>1</v>
      </c>
      <c r="T854" s="71" t="s">
        <v>626</v>
      </c>
    </row>
    <row r="855" spans="1:20" ht="12.75" customHeight="1">
      <c r="A855" s="1" t="s">
        <v>469</v>
      </c>
      <c r="B855" s="1" t="s">
        <v>471</v>
      </c>
      <c r="C855" s="1" t="s">
        <v>511</v>
      </c>
      <c r="D855" s="5">
        <v>43526</v>
      </c>
      <c r="E855" s="1">
        <v>2019</v>
      </c>
      <c r="F855" s="1">
        <v>3</v>
      </c>
      <c r="G855" s="4">
        <v>2</v>
      </c>
      <c r="H855" s="8">
        <v>0.50138888888888888</v>
      </c>
      <c r="I855" s="11">
        <f t="shared" si="59"/>
        <v>126.25149999999999</v>
      </c>
      <c r="J855" s="11">
        <f t="shared" si="60"/>
        <v>27.250833333333333</v>
      </c>
      <c r="K855" s="9">
        <v>9.7629999999999999</v>
      </c>
      <c r="L855" s="9">
        <v>10</v>
      </c>
      <c r="M855" s="9">
        <v>0</v>
      </c>
      <c r="N855" s="12">
        <v>25.046099999999999</v>
      </c>
      <c r="O855" s="11">
        <v>34.578099999999999</v>
      </c>
      <c r="P855" s="33">
        <v>0.20818147058823477</v>
      </c>
      <c r="Q855" s="33">
        <v>1.4284620950980411</v>
      </c>
      <c r="R855" s="1" t="s">
        <v>280</v>
      </c>
      <c r="S855" s="1">
        <v>1</v>
      </c>
      <c r="T855" s="71" t="s">
        <v>626</v>
      </c>
    </row>
    <row r="856" spans="1:20" ht="12.75" customHeight="1">
      <c r="A856" s="1" t="s">
        <v>469</v>
      </c>
      <c r="B856" s="1" t="s">
        <v>471</v>
      </c>
      <c r="C856" s="1" t="s">
        <v>511</v>
      </c>
      <c r="D856" s="5">
        <v>43526</v>
      </c>
      <c r="E856" s="1">
        <v>2019</v>
      </c>
      <c r="F856" s="1">
        <v>3</v>
      </c>
      <c r="G856" s="4">
        <v>2</v>
      </c>
      <c r="H856" s="8">
        <v>0.50138888888888888</v>
      </c>
      <c r="I856" s="11">
        <f t="shared" si="59"/>
        <v>126.25149999999999</v>
      </c>
      <c r="J856" s="11">
        <f t="shared" si="60"/>
        <v>27.250833333333333</v>
      </c>
      <c r="K856" s="9">
        <v>20.045999999999999</v>
      </c>
      <c r="L856" s="9">
        <v>20</v>
      </c>
      <c r="M856" s="9">
        <v>0</v>
      </c>
      <c r="N856" s="12">
        <v>25.038799999999998</v>
      </c>
      <c r="O856" s="11">
        <v>34.576799999999999</v>
      </c>
      <c r="P856" s="33">
        <v>0.12748647941176472</v>
      </c>
      <c r="Q856" s="33">
        <v>1.2866405882352936</v>
      </c>
      <c r="R856" s="1" t="s">
        <v>280</v>
      </c>
      <c r="S856" s="1">
        <v>1</v>
      </c>
      <c r="T856" s="71" t="s">
        <v>626</v>
      </c>
    </row>
    <row r="857" spans="1:20" ht="12.75" customHeight="1">
      <c r="A857" s="1" t="s">
        <v>469</v>
      </c>
      <c r="B857" s="1" t="s">
        <v>471</v>
      </c>
      <c r="C857" s="1" t="s">
        <v>511</v>
      </c>
      <c r="D857" s="5">
        <v>43526</v>
      </c>
      <c r="E857" s="1">
        <v>2019</v>
      </c>
      <c r="F857" s="1">
        <v>3</v>
      </c>
      <c r="G857" s="4">
        <v>2</v>
      </c>
      <c r="H857" s="8">
        <v>0.50138888888888888</v>
      </c>
      <c r="I857" s="11">
        <f t="shared" si="59"/>
        <v>126.25149999999999</v>
      </c>
      <c r="J857" s="11">
        <f t="shared" si="60"/>
        <v>27.250833333333333</v>
      </c>
      <c r="K857" s="9">
        <v>29.995999999999999</v>
      </c>
      <c r="L857" s="9">
        <v>30</v>
      </c>
      <c r="M857" s="9">
        <v>0</v>
      </c>
      <c r="N857" s="12">
        <v>25.035799999999998</v>
      </c>
      <c r="O857" s="11">
        <v>34.577300000000001</v>
      </c>
      <c r="P857" s="33">
        <v>0.17335551529411752</v>
      </c>
      <c r="Q857" s="33">
        <v>1.1719287058823511</v>
      </c>
      <c r="R857" s="1" t="s">
        <v>280</v>
      </c>
      <c r="S857" s="1">
        <v>1</v>
      </c>
      <c r="T857" s="71" t="s">
        <v>626</v>
      </c>
    </row>
    <row r="858" spans="1:20" ht="12.75" customHeight="1">
      <c r="A858" s="1" t="s">
        <v>469</v>
      </c>
      <c r="B858" s="1" t="s">
        <v>471</v>
      </c>
      <c r="C858" s="1" t="s">
        <v>511</v>
      </c>
      <c r="D858" s="5">
        <v>43526</v>
      </c>
      <c r="E858" s="1">
        <v>2019</v>
      </c>
      <c r="F858" s="1">
        <v>3</v>
      </c>
      <c r="G858" s="4">
        <v>2</v>
      </c>
      <c r="H858" s="8">
        <v>0.50138888888888888</v>
      </c>
      <c r="I858" s="11">
        <f t="shared" si="59"/>
        <v>126.25149999999999</v>
      </c>
      <c r="J858" s="11">
        <f t="shared" si="60"/>
        <v>27.250833333333333</v>
      </c>
      <c r="K858" s="9">
        <v>50.02</v>
      </c>
      <c r="L858" s="9">
        <v>50</v>
      </c>
      <c r="M858" s="9">
        <v>0</v>
      </c>
      <c r="N858" s="12">
        <v>24.865600000000001</v>
      </c>
      <c r="O858" s="11">
        <v>34.586799999999997</v>
      </c>
      <c r="P858" s="33">
        <v>0.14289654117647066</v>
      </c>
      <c r="Q858" s="33">
        <v>1.2403668235294116</v>
      </c>
      <c r="R858" s="1" t="s">
        <v>280</v>
      </c>
      <c r="S858" s="1">
        <v>1</v>
      </c>
      <c r="T858" s="71" t="s">
        <v>626</v>
      </c>
    </row>
    <row r="859" spans="1:20" ht="12.75" customHeight="1">
      <c r="A859" s="1" t="s">
        <v>469</v>
      </c>
      <c r="B859" s="1" t="s">
        <v>471</v>
      </c>
      <c r="C859" s="1" t="s">
        <v>511</v>
      </c>
      <c r="D859" s="5">
        <v>43526</v>
      </c>
      <c r="E859" s="1">
        <v>2019</v>
      </c>
      <c r="F859" s="1">
        <v>3</v>
      </c>
      <c r="G859" s="4">
        <v>2</v>
      </c>
      <c r="H859" s="8">
        <v>0.50138888888888888</v>
      </c>
      <c r="I859" s="11">
        <f t="shared" si="59"/>
        <v>126.25149999999999</v>
      </c>
      <c r="J859" s="11">
        <f t="shared" si="60"/>
        <v>27.250833333333333</v>
      </c>
      <c r="K859" s="9">
        <v>74.302000000000007</v>
      </c>
      <c r="L859" s="9">
        <v>75</v>
      </c>
      <c r="M859" s="9">
        <v>0</v>
      </c>
      <c r="N859" s="12">
        <v>24.586300000000001</v>
      </c>
      <c r="O859" s="11">
        <v>34.602499999999999</v>
      </c>
      <c r="P859" s="33">
        <v>0.36280592705882375</v>
      </c>
      <c r="Q859" s="33">
        <v>1.5095769411764728</v>
      </c>
      <c r="R859" s="1" t="s">
        <v>280</v>
      </c>
      <c r="S859" s="1">
        <v>1</v>
      </c>
      <c r="T859" s="71" t="s">
        <v>626</v>
      </c>
    </row>
    <row r="860" spans="1:20" ht="12.75" customHeight="1">
      <c r="A860" s="1" t="s">
        <v>469</v>
      </c>
      <c r="B860" s="1" t="s">
        <v>471</v>
      </c>
      <c r="C860" s="1" t="s">
        <v>511</v>
      </c>
      <c r="D860" s="5">
        <v>43526</v>
      </c>
      <c r="E860" s="1">
        <v>2019</v>
      </c>
      <c r="F860" s="1">
        <v>3</v>
      </c>
      <c r="G860" s="4">
        <v>2</v>
      </c>
      <c r="H860" s="8">
        <v>0.50138888888888888</v>
      </c>
      <c r="I860" s="11">
        <f t="shared" si="59"/>
        <v>126.25149999999999</v>
      </c>
      <c r="J860" s="11">
        <f t="shared" si="60"/>
        <v>27.250833333333333</v>
      </c>
      <c r="K860" s="9">
        <v>99.444000000000003</v>
      </c>
      <c r="L860" s="9">
        <v>100</v>
      </c>
      <c r="M860" s="9">
        <v>0</v>
      </c>
      <c r="N860" s="12">
        <v>23.961500000000001</v>
      </c>
      <c r="O860" s="11">
        <v>34.674799999999998</v>
      </c>
      <c r="P860" s="33">
        <v>0.24576903294117569</v>
      </c>
      <c r="Q860" s="33">
        <v>1.693845058823527</v>
      </c>
      <c r="R860" s="1" t="s">
        <v>280</v>
      </c>
      <c r="S860" s="1">
        <v>1</v>
      </c>
      <c r="T860" s="71" t="s">
        <v>626</v>
      </c>
    </row>
    <row r="861" spans="1:20" ht="12.75" customHeight="1">
      <c r="A861" s="1" t="s">
        <v>469</v>
      </c>
      <c r="B861" s="1" t="s">
        <v>471</v>
      </c>
      <c r="C861" s="1" t="s">
        <v>511</v>
      </c>
      <c r="D861" s="5">
        <v>43526</v>
      </c>
      <c r="E861" s="1">
        <v>2019</v>
      </c>
      <c r="F861" s="1">
        <v>3</v>
      </c>
      <c r="G861" s="4">
        <v>2</v>
      </c>
      <c r="H861" s="8">
        <v>0.50138888888888888</v>
      </c>
      <c r="I861" s="11">
        <f t="shared" si="59"/>
        <v>126.25149999999999</v>
      </c>
      <c r="J861" s="11">
        <f t="shared" si="60"/>
        <v>27.250833333333333</v>
      </c>
      <c r="K861" s="9">
        <v>124.11799999999999</v>
      </c>
      <c r="L861" s="9">
        <v>125</v>
      </c>
      <c r="M861" s="9">
        <v>0</v>
      </c>
      <c r="N861" s="12">
        <v>21.897200000000002</v>
      </c>
      <c r="O861" s="11">
        <v>34.674300000000002</v>
      </c>
      <c r="P861" s="33">
        <v>0.26047209882352895</v>
      </c>
      <c r="Q861" s="33">
        <v>1.5571551764705873</v>
      </c>
      <c r="R861" s="1" t="s">
        <v>280</v>
      </c>
      <c r="S861" s="1">
        <v>1</v>
      </c>
      <c r="T861" s="71" t="s">
        <v>626</v>
      </c>
    </row>
    <row r="862" spans="1:20" ht="12.75" customHeight="1">
      <c r="A862" s="1" t="s">
        <v>469</v>
      </c>
      <c r="B862" s="1" t="s">
        <v>471</v>
      </c>
      <c r="C862" s="1" t="s">
        <v>511</v>
      </c>
      <c r="D862" s="5">
        <v>43526</v>
      </c>
      <c r="E862" s="1">
        <v>2019</v>
      </c>
      <c r="F862" s="1">
        <v>3</v>
      </c>
      <c r="G862" s="4">
        <v>2</v>
      </c>
      <c r="H862" s="8">
        <v>0.50138888888888888</v>
      </c>
      <c r="I862" s="11">
        <f t="shared" si="59"/>
        <v>126.25149999999999</v>
      </c>
      <c r="J862" s="11">
        <f t="shared" si="60"/>
        <v>27.250833333333333</v>
      </c>
      <c r="K862" s="9">
        <v>148.69900000000001</v>
      </c>
      <c r="L862" s="9">
        <v>150</v>
      </c>
      <c r="M862" s="9">
        <v>0</v>
      </c>
      <c r="N862" s="12">
        <v>20.651199999999999</v>
      </c>
      <c r="O862" s="11">
        <v>34.853000000000002</v>
      </c>
      <c r="P862" s="33">
        <v>0.28807860470588231</v>
      </c>
      <c r="Q862" s="33">
        <v>1.9122972941176481</v>
      </c>
      <c r="R862" s="1" t="s">
        <v>280</v>
      </c>
      <c r="S862" s="1">
        <v>1</v>
      </c>
      <c r="T862" s="71" t="s">
        <v>626</v>
      </c>
    </row>
    <row r="863" spans="1:20" ht="12.75" customHeight="1">
      <c r="A863" s="1" t="s">
        <v>469</v>
      </c>
      <c r="B863" s="1" t="s">
        <v>471</v>
      </c>
      <c r="C863" s="1" t="s">
        <v>511</v>
      </c>
      <c r="D863" s="5">
        <v>43526</v>
      </c>
      <c r="E863" s="1">
        <v>2019</v>
      </c>
      <c r="F863" s="1">
        <v>3</v>
      </c>
      <c r="G863" s="4">
        <v>2</v>
      </c>
      <c r="H863" s="8">
        <v>0.50138888888888888</v>
      </c>
      <c r="I863" s="11">
        <f t="shared" si="59"/>
        <v>126.25149999999999</v>
      </c>
      <c r="J863" s="11">
        <f t="shared" si="60"/>
        <v>27.250833333333333</v>
      </c>
      <c r="K863" s="9">
        <v>198.47399999999999</v>
      </c>
      <c r="L863" s="9">
        <v>200</v>
      </c>
      <c r="M863" s="9">
        <v>0</v>
      </c>
      <c r="N863" s="12">
        <v>18.589600000000001</v>
      </c>
      <c r="O863" s="11">
        <v>34.851799999999997</v>
      </c>
      <c r="P863" s="33">
        <v>0.26333068823529393</v>
      </c>
      <c r="Q863" s="33">
        <v>1.8091567647058842</v>
      </c>
      <c r="R863" s="1" t="s">
        <v>280</v>
      </c>
      <c r="S863" s="1">
        <v>1</v>
      </c>
      <c r="T863" s="71" t="s">
        <v>626</v>
      </c>
    </row>
    <row r="864" spans="1:20" ht="12.75" customHeight="1">
      <c r="A864" s="1" t="s">
        <v>469</v>
      </c>
      <c r="B864" s="1" t="s">
        <v>471</v>
      </c>
      <c r="C864" s="1" t="s">
        <v>511</v>
      </c>
      <c r="D864" s="5">
        <v>43526</v>
      </c>
      <c r="E864" s="1">
        <v>2019</v>
      </c>
      <c r="F864" s="1">
        <v>3</v>
      </c>
      <c r="G864" s="4">
        <v>2</v>
      </c>
      <c r="H864" s="8">
        <v>0.50138888888888888</v>
      </c>
      <c r="I864" s="11">
        <f t="shared" si="59"/>
        <v>126.25149999999999</v>
      </c>
      <c r="J864" s="11">
        <f t="shared" si="60"/>
        <v>27.250833333333333</v>
      </c>
      <c r="K864" s="9">
        <v>297.89999999999998</v>
      </c>
      <c r="L864" s="9">
        <v>300</v>
      </c>
      <c r="M864" s="9">
        <v>0</v>
      </c>
      <c r="N864" s="12">
        <v>13.8392</v>
      </c>
      <c r="O864" s="11">
        <v>34.4771</v>
      </c>
      <c r="P864" s="33">
        <v>0.13848929411764699</v>
      </c>
      <c r="Q864" s="33">
        <v>0.76869588235294017</v>
      </c>
      <c r="R864" s="1" t="s">
        <v>280</v>
      </c>
      <c r="S864" s="1">
        <v>1</v>
      </c>
      <c r="T864" s="71" t="s">
        <v>626</v>
      </c>
    </row>
    <row r="865" spans="1:20" ht="12.75" customHeight="1">
      <c r="A865" s="1" t="s">
        <v>469</v>
      </c>
      <c r="B865" s="1" t="s">
        <v>471</v>
      </c>
      <c r="C865" s="1" t="s">
        <v>511</v>
      </c>
      <c r="D865" s="5">
        <v>43526</v>
      </c>
      <c r="E865" s="1">
        <v>2019</v>
      </c>
      <c r="F865" s="1">
        <v>3</v>
      </c>
      <c r="G865" s="4">
        <v>2</v>
      </c>
      <c r="H865" s="8">
        <v>0.50138888888888888</v>
      </c>
      <c r="I865" s="11">
        <f t="shared" si="59"/>
        <v>126.25149999999999</v>
      </c>
      <c r="J865" s="11">
        <f t="shared" si="60"/>
        <v>27.250833333333333</v>
      </c>
      <c r="K865" s="9">
        <v>496.38900000000001</v>
      </c>
      <c r="L865" s="9">
        <v>500</v>
      </c>
      <c r="M865" s="9">
        <v>0</v>
      </c>
      <c r="N865" s="12">
        <v>8.859</v>
      </c>
      <c r="O865" s="11">
        <v>34.292499999999997</v>
      </c>
      <c r="P865" s="33">
        <v>-3.702931999999981E-2</v>
      </c>
      <c r="Q865" s="33">
        <v>-0.63360999999999912</v>
      </c>
      <c r="R865" s="1" t="s">
        <v>280</v>
      </c>
      <c r="S865" s="1">
        <v>1</v>
      </c>
      <c r="T865" s="71" t="s">
        <v>626</v>
      </c>
    </row>
    <row r="866" spans="1:20" ht="12.75" customHeight="1">
      <c r="A866" s="1" t="s">
        <v>469</v>
      </c>
      <c r="B866" s="1" t="s">
        <v>472</v>
      </c>
      <c r="C866" s="1" t="s">
        <v>511</v>
      </c>
      <c r="D866" s="5">
        <v>43532</v>
      </c>
      <c r="E866" s="1">
        <f t="shared" ref="E866:E897" si="61">YEAR(D866)</f>
        <v>2019</v>
      </c>
      <c r="F866" s="1">
        <f t="shared" ref="F866:F897" si="62">MONTH(D866)</f>
        <v>3</v>
      </c>
      <c r="G866" s="4">
        <v>6</v>
      </c>
      <c r="H866" s="8">
        <v>0.47986111111111113</v>
      </c>
      <c r="I866" s="11">
        <f t="shared" ref="I866:I872" si="63">126+15.02/60</f>
        <v>126.25033333333333</v>
      </c>
      <c r="J866" s="11">
        <f t="shared" ref="J866:J872" si="64">29+45.16/60</f>
        <v>29.752666666666666</v>
      </c>
      <c r="K866" s="9">
        <v>0</v>
      </c>
      <c r="L866" s="9">
        <v>0</v>
      </c>
      <c r="M866" s="27">
        <v>0</v>
      </c>
      <c r="N866" s="12">
        <v>18.170000000000002</v>
      </c>
      <c r="O866" s="11">
        <v>34.575096331246534</v>
      </c>
      <c r="P866" s="33">
        <v>0.18017450588235295</v>
      </c>
      <c r="Q866" s="33">
        <v>1.2568241176470583</v>
      </c>
      <c r="R866" s="1" t="s">
        <v>280</v>
      </c>
      <c r="S866" s="1">
        <v>1</v>
      </c>
      <c r="T866" s="71" t="s">
        <v>626</v>
      </c>
    </row>
    <row r="867" spans="1:20" ht="12.75" customHeight="1">
      <c r="A867" s="1" t="s">
        <v>469</v>
      </c>
      <c r="B867" s="1" t="s">
        <v>472</v>
      </c>
      <c r="C867" s="1" t="s">
        <v>511</v>
      </c>
      <c r="D867" s="5">
        <v>43532</v>
      </c>
      <c r="E867" s="1">
        <f t="shared" si="61"/>
        <v>2019</v>
      </c>
      <c r="F867" s="1">
        <f t="shared" si="62"/>
        <v>3</v>
      </c>
      <c r="G867" s="4">
        <v>6</v>
      </c>
      <c r="H867" s="8">
        <v>0.47986111111111113</v>
      </c>
      <c r="I867" s="11">
        <f t="shared" si="63"/>
        <v>126.25033333333333</v>
      </c>
      <c r="J867" s="11">
        <f t="shared" si="64"/>
        <v>29.752666666666666</v>
      </c>
      <c r="K867" s="9">
        <v>9.9499999999999993</v>
      </c>
      <c r="L867" s="9">
        <v>10</v>
      </c>
      <c r="M867" s="9">
        <v>0</v>
      </c>
      <c r="N867" s="12">
        <v>18.1236</v>
      </c>
      <c r="O867" s="11">
        <v>34.566400000000002</v>
      </c>
      <c r="P867" s="33">
        <v>0.26563837176470573</v>
      </c>
      <c r="Q867" s="33">
        <v>1.3935722352941191</v>
      </c>
      <c r="R867" s="1" t="s">
        <v>280</v>
      </c>
      <c r="S867" s="1">
        <v>1</v>
      </c>
      <c r="T867" s="71" t="s">
        <v>626</v>
      </c>
    </row>
    <row r="868" spans="1:20" ht="12.75" customHeight="1">
      <c r="A868" s="1" t="s">
        <v>469</v>
      </c>
      <c r="B868" s="1" t="s">
        <v>472</v>
      </c>
      <c r="C868" s="1" t="s">
        <v>511</v>
      </c>
      <c r="D868" s="5">
        <v>43532</v>
      </c>
      <c r="E868" s="1">
        <f t="shared" si="61"/>
        <v>2019</v>
      </c>
      <c r="F868" s="1">
        <f t="shared" si="62"/>
        <v>3</v>
      </c>
      <c r="G868" s="4">
        <v>6</v>
      </c>
      <c r="H868" s="8">
        <v>0.47986111111111113</v>
      </c>
      <c r="I868" s="11">
        <f t="shared" si="63"/>
        <v>126.25033333333333</v>
      </c>
      <c r="J868" s="11">
        <f t="shared" si="64"/>
        <v>29.752666666666666</v>
      </c>
      <c r="K868" s="9">
        <v>20.395</v>
      </c>
      <c r="L868" s="9">
        <v>20</v>
      </c>
      <c r="M868" s="9">
        <v>0</v>
      </c>
      <c r="N868" s="12">
        <v>18.0351</v>
      </c>
      <c r="O868" s="11">
        <v>34.570399999999999</v>
      </c>
      <c r="P868" s="33">
        <v>0.26618927764705891</v>
      </c>
      <c r="Q868" s="33">
        <v>1.5342803529411775</v>
      </c>
      <c r="R868" s="1" t="s">
        <v>280</v>
      </c>
      <c r="S868" s="1">
        <v>1</v>
      </c>
      <c r="T868" s="71" t="s">
        <v>626</v>
      </c>
    </row>
    <row r="869" spans="1:20" ht="12.75" customHeight="1">
      <c r="A869" s="1" t="s">
        <v>469</v>
      </c>
      <c r="B869" s="1" t="s">
        <v>472</v>
      </c>
      <c r="C869" s="1" t="s">
        <v>511</v>
      </c>
      <c r="D869" s="5">
        <v>43532</v>
      </c>
      <c r="E869" s="1">
        <f t="shared" si="61"/>
        <v>2019</v>
      </c>
      <c r="F869" s="1">
        <f t="shared" si="62"/>
        <v>3</v>
      </c>
      <c r="G869" s="4">
        <v>6</v>
      </c>
      <c r="H869" s="8">
        <v>0.47986111111111113</v>
      </c>
      <c r="I869" s="11">
        <f t="shared" si="63"/>
        <v>126.25033333333333</v>
      </c>
      <c r="J869" s="11">
        <f t="shared" si="64"/>
        <v>29.752666666666666</v>
      </c>
      <c r="K869" s="9">
        <v>29.401</v>
      </c>
      <c r="L869" s="9">
        <v>30</v>
      </c>
      <c r="M869" s="9">
        <v>0</v>
      </c>
      <c r="N869" s="12">
        <v>17.976199999999999</v>
      </c>
      <c r="O869" s="11">
        <v>34.5732</v>
      </c>
      <c r="P869" s="33">
        <v>0.24093330352941189</v>
      </c>
      <c r="Q869" s="33">
        <v>1.4150144705882362</v>
      </c>
      <c r="R869" s="1" t="s">
        <v>280</v>
      </c>
      <c r="S869" s="1">
        <v>1</v>
      </c>
      <c r="T869" s="71" t="s">
        <v>626</v>
      </c>
    </row>
    <row r="870" spans="1:20" ht="12.75" customHeight="1">
      <c r="A870" s="1" t="s">
        <v>469</v>
      </c>
      <c r="B870" s="1" t="s">
        <v>472</v>
      </c>
      <c r="C870" s="1" t="s">
        <v>511</v>
      </c>
      <c r="D870" s="5">
        <v>43532</v>
      </c>
      <c r="E870" s="1">
        <f t="shared" si="61"/>
        <v>2019</v>
      </c>
      <c r="F870" s="1">
        <f t="shared" si="62"/>
        <v>3</v>
      </c>
      <c r="G870" s="4">
        <v>6</v>
      </c>
      <c r="H870" s="8">
        <v>0.47986111111111113</v>
      </c>
      <c r="I870" s="11">
        <f t="shared" si="63"/>
        <v>126.25033333333333</v>
      </c>
      <c r="J870" s="11">
        <f t="shared" si="64"/>
        <v>29.752666666666666</v>
      </c>
      <c r="K870" s="9">
        <v>49.771000000000001</v>
      </c>
      <c r="L870" s="9">
        <v>50</v>
      </c>
      <c r="M870" s="9">
        <v>0</v>
      </c>
      <c r="N870" s="12">
        <v>17.264199999999999</v>
      </c>
      <c r="O870" s="11">
        <v>34.490900000000003</v>
      </c>
      <c r="P870" s="33">
        <v>0.26319806274509805</v>
      </c>
      <c r="Q870" s="33">
        <v>1.1252705882352938</v>
      </c>
      <c r="R870" s="1" t="s">
        <v>280</v>
      </c>
      <c r="S870" s="1">
        <v>1</v>
      </c>
      <c r="T870" s="71" t="s">
        <v>626</v>
      </c>
    </row>
    <row r="871" spans="1:20" ht="12.75" customHeight="1">
      <c r="A871" s="1" t="s">
        <v>469</v>
      </c>
      <c r="B871" s="1" t="s">
        <v>472</v>
      </c>
      <c r="C871" s="1" t="s">
        <v>511</v>
      </c>
      <c r="D871" s="5">
        <v>43532</v>
      </c>
      <c r="E871" s="1">
        <f t="shared" si="61"/>
        <v>2019</v>
      </c>
      <c r="F871" s="1">
        <f t="shared" si="62"/>
        <v>3</v>
      </c>
      <c r="G871" s="4">
        <v>6</v>
      </c>
      <c r="H871" s="8">
        <v>0.47986111111111113</v>
      </c>
      <c r="I871" s="11">
        <f t="shared" si="63"/>
        <v>126.25033333333333</v>
      </c>
      <c r="J871" s="11">
        <f t="shared" si="64"/>
        <v>29.752666666666666</v>
      </c>
      <c r="K871" s="9">
        <v>73.47</v>
      </c>
      <c r="L871" s="9">
        <v>75</v>
      </c>
      <c r="M871" s="9">
        <v>0</v>
      </c>
      <c r="N871" s="12">
        <v>17.164000000000001</v>
      </c>
      <c r="O871" s="11">
        <v>34.476700000000001</v>
      </c>
      <c r="P871" s="33">
        <v>0.24880294117647006</v>
      </c>
      <c r="Q871" s="33">
        <v>1.158875655462186</v>
      </c>
      <c r="R871" s="1" t="s">
        <v>280</v>
      </c>
      <c r="S871" s="1">
        <v>1</v>
      </c>
      <c r="T871" s="71" t="s">
        <v>626</v>
      </c>
    </row>
    <row r="872" spans="1:20" ht="12.75" customHeight="1">
      <c r="A872" s="1" t="s">
        <v>469</v>
      </c>
      <c r="B872" s="1" t="s">
        <v>472</v>
      </c>
      <c r="C872" s="1" t="s">
        <v>511</v>
      </c>
      <c r="D872" s="5">
        <v>43532</v>
      </c>
      <c r="E872" s="1">
        <f t="shared" si="61"/>
        <v>2019</v>
      </c>
      <c r="F872" s="1">
        <f t="shared" si="62"/>
        <v>3</v>
      </c>
      <c r="G872" s="4">
        <v>6</v>
      </c>
      <c r="H872" s="8">
        <v>0.47986111111111113</v>
      </c>
      <c r="I872" s="11">
        <f t="shared" si="63"/>
        <v>126.25033333333333</v>
      </c>
      <c r="J872" s="11">
        <f t="shared" si="64"/>
        <v>29.752666666666666</v>
      </c>
      <c r="K872" s="9">
        <v>86.090999999999994</v>
      </c>
      <c r="L872" s="9">
        <v>86</v>
      </c>
      <c r="M872" s="9">
        <v>0</v>
      </c>
      <c r="N872" s="12">
        <v>17.157900000000001</v>
      </c>
      <c r="O872" s="11">
        <v>34.4758</v>
      </c>
      <c r="P872" s="33">
        <v>0.25917352941176475</v>
      </c>
      <c r="Q872" s="33">
        <v>1.1382073294117649</v>
      </c>
      <c r="R872" s="1" t="s">
        <v>280</v>
      </c>
      <c r="S872" s="1">
        <v>1</v>
      </c>
      <c r="T872" s="71" t="s">
        <v>626</v>
      </c>
    </row>
    <row r="873" spans="1:20" ht="12.75" customHeight="1">
      <c r="A873" s="1" t="s">
        <v>474</v>
      </c>
      <c r="B873" s="1">
        <v>32</v>
      </c>
      <c r="C873" s="1" t="s">
        <v>511</v>
      </c>
      <c r="D873" s="5">
        <v>43571</v>
      </c>
      <c r="E873" s="1">
        <f t="shared" si="61"/>
        <v>2019</v>
      </c>
      <c r="F873" s="1">
        <f t="shared" si="62"/>
        <v>4</v>
      </c>
      <c r="G873" s="4">
        <f t="shared" ref="G873:G904" si="65">DAY(D873)</f>
        <v>16</v>
      </c>
      <c r="H873" s="8">
        <v>0.34583333333333338</v>
      </c>
      <c r="I873" s="11">
        <v>126.751</v>
      </c>
      <c r="J873" s="11">
        <v>30.292000000000002</v>
      </c>
      <c r="K873" s="9">
        <v>5</v>
      </c>
      <c r="L873" s="9">
        <v>5</v>
      </c>
      <c r="M873" s="9">
        <v>0</v>
      </c>
      <c r="N873" s="12">
        <v>16.570999999999998</v>
      </c>
      <c r="O873" s="11">
        <v>34.186</v>
      </c>
      <c r="P873" s="33">
        <v>0.1554236058823526</v>
      </c>
      <c r="Q873" s="33">
        <v>0.96697910588235381</v>
      </c>
      <c r="R873" s="1" t="s">
        <v>280</v>
      </c>
      <c r="T873" s="71" t="s">
        <v>626</v>
      </c>
    </row>
    <row r="874" spans="1:20" ht="12.75" customHeight="1">
      <c r="A874" s="1" t="s">
        <v>474</v>
      </c>
      <c r="B874" s="1">
        <v>33</v>
      </c>
      <c r="C874" s="1" t="s">
        <v>511</v>
      </c>
      <c r="D874" s="5">
        <v>43571</v>
      </c>
      <c r="E874" s="1">
        <f t="shared" si="61"/>
        <v>2019</v>
      </c>
      <c r="F874" s="1">
        <f t="shared" si="62"/>
        <v>4</v>
      </c>
      <c r="G874" s="4">
        <f t="shared" si="65"/>
        <v>16</v>
      </c>
      <c r="H874" s="8">
        <v>0.46666666666666662</v>
      </c>
      <c r="I874" s="11">
        <v>127.190166666666</v>
      </c>
      <c r="J874" s="11">
        <v>30.256</v>
      </c>
      <c r="K874" s="9">
        <v>5</v>
      </c>
      <c r="L874" s="9">
        <v>5</v>
      </c>
      <c r="M874" s="9">
        <v>0</v>
      </c>
      <c r="N874" s="12">
        <v>16.7543333333333</v>
      </c>
      <c r="O874" s="11">
        <v>34.152499999999996</v>
      </c>
      <c r="P874" s="33">
        <v>0.11239287999999936</v>
      </c>
      <c r="Q874" s="33">
        <v>0.72654639999999837</v>
      </c>
      <c r="R874" s="1" t="s">
        <v>280</v>
      </c>
      <c r="T874" s="71" t="s">
        <v>626</v>
      </c>
    </row>
    <row r="875" spans="1:20" ht="12.75" customHeight="1">
      <c r="A875" s="1" t="s">
        <v>474</v>
      </c>
      <c r="B875" s="1">
        <v>34</v>
      </c>
      <c r="C875" s="1" t="s">
        <v>511</v>
      </c>
      <c r="D875" s="5">
        <v>43571</v>
      </c>
      <c r="E875" s="1">
        <f t="shared" si="61"/>
        <v>2019</v>
      </c>
      <c r="F875" s="1">
        <f t="shared" si="62"/>
        <v>4</v>
      </c>
      <c r="G875" s="4">
        <f t="shared" si="65"/>
        <v>16</v>
      </c>
      <c r="H875" s="8">
        <v>0.60416666666666663</v>
      </c>
      <c r="I875" s="11">
        <v>127.689666666666</v>
      </c>
      <c r="J875" s="11">
        <v>30.251000000000001</v>
      </c>
      <c r="K875" s="9">
        <v>5</v>
      </c>
      <c r="L875" s="9">
        <v>5</v>
      </c>
      <c r="M875" s="9">
        <v>0</v>
      </c>
      <c r="N875" s="12">
        <v>21.604333333333301</v>
      </c>
      <c r="O875" s="11">
        <v>34.660333333333298</v>
      </c>
      <c r="P875" s="33">
        <v>0.28031855411764628</v>
      </c>
      <c r="Q875" s="33">
        <v>1.6732944941176484</v>
      </c>
      <c r="R875" s="1" t="s">
        <v>280</v>
      </c>
      <c r="T875" s="71" t="s">
        <v>626</v>
      </c>
    </row>
    <row r="876" spans="1:20" ht="12.75" customHeight="1">
      <c r="A876" s="1" t="s">
        <v>474</v>
      </c>
      <c r="B876" s="1">
        <v>35</v>
      </c>
      <c r="C876" s="1" t="s">
        <v>511</v>
      </c>
      <c r="D876" s="5">
        <v>43571</v>
      </c>
      <c r="E876" s="1">
        <f t="shared" si="61"/>
        <v>2019</v>
      </c>
      <c r="F876" s="1">
        <f t="shared" si="62"/>
        <v>4</v>
      </c>
      <c r="G876" s="4">
        <f t="shared" si="65"/>
        <v>16</v>
      </c>
      <c r="H876" s="8">
        <v>0.74722222222222223</v>
      </c>
      <c r="I876" s="11">
        <v>128.19083333333299</v>
      </c>
      <c r="J876" s="11">
        <v>30.251999999999999</v>
      </c>
      <c r="K876" s="9">
        <v>5</v>
      </c>
      <c r="L876" s="9">
        <v>5</v>
      </c>
      <c r="M876" s="9">
        <v>0</v>
      </c>
      <c r="N876" s="12">
        <v>22.529333333333298</v>
      </c>
      <c r="O876" s="11">
        <v>34.672833333333294</v>
      </c>
      <c r="P876" s="33">
        <v>0.26272668823529388</v>
      </c>
      <c r="Q876" s="33">
        <v>1.6049713882352972</v>
      </c>
      <c r="R876" s="1" t="s">
        <v>280</v>
      </c>
      <c r="T876" s="71" t="s">
        <v>626</v>
      </c>
    </row>
    <row r="877" spans="1:20" ht="12.75" customHeight="1">
      <c r="A877" s="1" t="s">
        <v>474</v>
      </c>
      <c r="B877" s="1">
        <v>36</v>
      </c>
      <c r="C877" s="1" t="s">
        <v>511</v>
      </c>
      <c r="D877" s="5">
        <v>43571</v>
      </c>
      <c r="E877" s="1">
        <f t="shared" si="61"/>
        <v>2019</v>
      </c>
      <c r="F877" s="1">
        <f t="shared" si="62"/>
        <v>4</v>
      </c>
      <c r="G877" s="4">
        <f t="shared" si="65"/>
        <v>16</v>
      </c>
      <c r="H877" s="8">
        <v>0.89722222222222225</v>
      </c>
      <c r="I877" s="11">
        <v>128.71383333333301</v>
      </c>
      <c r="J877" s="11">
        <v>30.248999999999999</v>
      </c>
      <c r="K877" s="9">
        <v>5</v>
      </c>
      <c r="L877" s="9">
        <v>5</v>
      </c>
      <c r="M877" s="9">
        <v>0</v>
      </c>
      <c r="N877" s="12">
        <v>21.017666666666599</v>
      </c>
      <c r="O877" s="11">
        <v>34.620666666666594</v>
      </c>
      <c r="P877" s="33">
        <v>0.25961222235294112</v>
      </c>
      <c r="Q877" s="33">
        <v>1.544749882352944</v>
      </c>
      <c r="R877" s="1" t="s">
        <v>280</v>
      </c>
      <c r="T877" s="71" t="s">
        <v>626</v>
      </c>
    </row>
    <row r="878" spans="1:20" ht="12.75" customHeight="1">
      <c r="A878" s="1" t="s">
        <v>474</v>
      </c>
      <c r="B878" s="1">
        <v>37</v>
      </c>
      <c r="C878" s="1" t="s">
        <v>511</v>
      </c>
      <c r="D878" s="5">
        <v>43572</v>
      </c>
      <c r="E878" s="1">
        <f t="shared" si="61"/>
        <v>2019</v>
      </c>
      <c r="F878" s="1">
        <f t="shared" si="62"/>
        <v>4</v>
      </c>
      <c r="G878" s="4">
        <f t="shared" si="65"/>
        <v>17</v>
      </c>
      <c r="H878" s="8">
        <v>0.11458333333333333</v>
      </c>
      <c r="I878" s="11">
        <v>128.27283333333301</v>
      </c>
      <c r="J878" s="11">
        <v>29.780166666666599</v>
      </c>
      <c r="K878" s="9">
        <v>5</v>
      </c>
      <c r="L878" s="9">
        <v>5</v>
      </c>
      <c r="M878" s="9">
        <v>0</v>
      </c>
      <c r="N878" s="12">
        <v>24.635999999999999</v>
      </c>
      <c r="O878" s="11">
        <v>34.705666666666595</v>
      </c>
      <c r="P878" s="33">
        <v>0.25029315647058814</v>
      </c>
      <c r="Q878" s="33">
        <v>1.6329259764705863</v>
      </c>
      <c r="R878" s="1" t="s">
        <v>280</v>
      </c>
      <c r="T878" s="71" t="s">
        <v>626</v>
      </c>
    </row>
    <row r="879" spans="1:20" ht="12.75" customHeight="1">
      <c r="A879" s="1" t="s">
        <v>474</v>
      </c>
      <c r="B879" s="1">
        <v>38</v>
      </c>
      <c r="C879" s="1" t="s">
        <v>511</v>
      </c>
      <c r="D879" s="5">
        <v>43572</v>
      </c>
      <c r="E879" s="1">
        <f t="shared" si="61"/>
        <v>2019</v>
      </c>
      <c r="F879" s="1">
        <f t="shared" si="62"/>
        <v>4</v>
      </c>
      <c r="G879" s="4">
        <f t="shared" si="65"/>
        <v>17</v>
      </c>
      <c r="H879" s="8">
        <v>0.28680555555555554</v>
      </c>
      <c r="I879" s="11">
        <v>127.782666666666</v>
      </c>
      <c r="J879" s="11">
        <v>29.748999999999999</v>
      </c>
      <c r="K879" s="9">
        <v>5</v>
      </c>
      <c r="L879" s="9">
        <v>5</v>
      </c>
      <c r="M879" s="9">
        <v>0</v>
      </c>
      <c r="N879" s="12">
        <v>22.659333333333301</v>
      </c>
      <c r="O879" s="11">
        <v>34.653499999999994</v>
      </c>
      <c r="P879" s="33">
        <v>0.29619503058823504</v>
      </c>
      <c r="Q879" s="33">
        <v>1.7859148705882362</v>
      </c>
      <c r="R879" s="1" t="s">
        <v>280</v>
      </c>
      <c r="T879" s="71" t="s">
        <v>626</v>
      </c>
    </row>
    <row r="880" spans="1:20" ht="12.75" customHeight="1">
      <c r="A880" s="1" t="s">
        <v>474</v>
      </c>
      <c r="B880" s="1">
        <v>39</v>
      </c>
      <c r="C880" s="1" t="s">
        <v>511</v>
      </c>
      <c r="D880" s="5">
        <v>43572</v>
      </c>
      <c r="E880" s="1">
        <f t="shared" si="61"/>
        <v>2019</v>
      </c>
      <c r="F880" s="1">
        <f t="shared" si="62"/>
        <v>4</v>
      </c>
      <c r="G880" s="4">
        <f t="shared" si="65"/>
        <v>17</v>
      </c>
      <c r="H880" s="8">
        <v>0.43055555555555558</v>
      </c>
      <c r="I880" s="11">
        <v>127.29833333333301</v>
      </c>
      <c r="J880" s="11">
        <v>29.75</v>
      </c>
      <c r="K880" s="9">
        <v>5</v>
      </c>
      <c r="L880" s="9">
        <v>5</v>
      </c>
      <c r="M880" s="9">
        <v>0</v>
      </c>
      <c r="N880" s="12">
        <v>22.320999999999998</v>
      </c>
      <c r="O880" s="11">
        <v>34.6488333333333</v>
      </c>
      <c r="P880" s="33">
        <v>0.13896917647058782</v>
      </c>
      <c r="Q880" s="33">
        <v>1.2361468941176472</v>
      </c>
      <c r="R880" s="1" t="s">
        <v>280</v>
      </c>
      <c r="T880" s="71" t="s">
        <v>626</v>
      </c>
    </row>
    <row r="881" spans="1:20" ht="12.75" customHeight="1">
      <c r="A881" s="1" t="s">
        <v>474</v>
      </c>
      <c r="B881" s="1">
        <v>40</v>
      </c>
      <c r="C881" s="1" t="s">
        <v>511</v>
      </c>
      <c r="D881" s="5">
        <v>43572</v>
      </c>
      <c r="E881" s="1">
        <f t="shared" si="61"/>
        <v>2019</v>
      </c>
      <c r="F881" s="1">
        <f t="shared" si="62"/>
        <v>4</v>
      </c>
      <c r="G881" s="4">
        <f t="shared" si="65"/>
        <v>17</v>
      </c>
      <c r="H881" s="8">
        <v>0.5756944444444444</v>
      </c>
      <c r="I881" s="11">
        <v>126.808333333333</v>
      </c>
      <c r="J881" s="11">
        <v>29.75</v>
      </c>
      <c r="K881" s="9">
        <v>5</v>
      </c>
      <c r="L881" s="9">
        <v>5</v>
      </c>
      <c r="M881" s="9">
        <v>0</v>
      </c>
      <c r="N881" s="12">
        <v>17.1643333333333</v>
      </c>
      <c r="O881" s="11">
        <v>33.754166666666599</v>
      </c>
      <c r="P881" s="33">
        <v>1.6412999999999567E-2</v>
      </c>
      <c r="Q881" s="33">
        <v>8.259719999998083E-3</v>
      </c>
      <c r="R881" s="1" t="s">
        <v>280</v>
      </c>
      <c r="T881" s="71" t="s">
        <v>626</v>
      </c>
    </row>
    <row r="882" spans="1:20" ht="12.75" customHeight="1">
      <c r="A882" s="1" t="s">
        <v>474</v>
      </c>
      <c r="B882" s="1">
        <v>41</v>
      </c>
      <c r="C882" s="1" t="s">
        <v>511</v>
      </c>
      <c r="D882" s="5">
        <v>43572</v>
      </c>
      <c r="E882" s="1">
        <f t="shared" si="61"/>
        <v>2019</v>
      </c>
      <c r="F882" s="1">
        <f t="shared" si="62"/>
        <v>4</v>
      </c>
      <c r="G882" s="4">
        <f t="shared" si="65"/>
        <v>17</v>
      </c>
      <c r="H882" s="8">
        <v>0.72361111111111109</v>
      </c>
      <c r="I882" s="11">
        <v>126.749</v>
      </c>
      <c r="J882" s="11">
        <v>29.297166666666602</v>
      </c>
      <c r="K882" s="9">
        <v>5</v>
      </c>
      <c r="L882" s="9">
        <v>5</v>
      </c>
      <c r="M882" s="9">
        <v>0</v>
      </c>
      <c r="N882" s="12">
        <v>19.625999999999998</v>
      </c>
      <c r="O882" s="11">
        <v>34.281999999999996</v>
      </c>
      <c r="P882" s="33">
        <v>0.16751082352941138</v>
      </c>
      <c r="Q882" s="33">
        <v>0.91094968588235226</v>
      </c>
      <c r="R882" s="1" t="s">
        <v>280</v>
      </c>
      <c r="T882" s="71" t="s">
        <v>626</v>
      </c>
    </row>
    <row r="883" spans="1:20" ht="12.75" customHeight="1">
      <c r="A883" s="1" t="s">
        <v>474</v>
      </c>
      <c r="B883" s="1">
        <v>42</v>
      </c>
      <c r="C883" s="1" t="s">
        <v>511</v>
      </c>
      <c r="D883" s="5">
        <v>43572</v>
      </c>
      <c r="E883" s="1">
        <f t="shared" si="61"/>
        <v>2019</v>
      </c>
      <c r="F883" s="1">
        <f t="shared" si="62"/>
        <v>4</v>
      </c>
      <c r="G883" s="4">
        <f t="shared" si="65"/>
        <v>17</v>
      </c>
      <c r="H883" s="8">
        <v>0.88124999999999998</v>
      </c>
      <c r="I883" s="11">
        <v>127.253</v>
      </c>
      <c r="J883" s="11">
        <v>29.254999999999999</v>
      </c>
      <c r="K883" s="9">
        <v>5</v>
      </c>
      <c r="L883" s="9">
        <v>5</v>
      </c>
      <c r="M883" s="9">
        <v>0</v>
      </c>
      <c r="N883" s="12">
        <v>23.912666666666599</v>
      </c>
      <c r="O883" s="11">
        <v>34.637999999999998</v>
      </c>
      <c r="P883" s="33">
        <v>0.19854864705882314</v>
      </c>
      <c r="Q883" s="33">
        <v>1.4594329317647059</v>
      </c>
      <c r="R883" s="1" t="s">
        <v>280</v>
      </c>
      <c r="T883" s="71" t="s">
        <v>626</v>
      </c>
    </row>
    <row r="884" spans="1:20" ht="12.75" customHeight="1">
      <c r="A884" s="1" t="s">
        <v>474</v>
      </c>
      <c r="B884" s="1">
        <v>43</v>
      </c>
      <c r="C884" s="1" t="s">
        <v>511</v>
      </c>
      <c r="D884" s="5">
        <v>43573</v>
      </c>
      <c r="E884" s="1">
        <f t="shared" si="61"/>
        <v>2019</v>
      </c>
      <c r="F884" s="1">
        <f t="shared" si="62"/>
        <v>4</v>
      </c>
      <c r="G884" s="4">
        <f t="shared" si="65"/>
        <v>18</v>
      </c>
      <c r="H884" s="8">
        <v>1.1805555555555555E-2</v>
      </c>
      <c r="I884" s="11">
        <v>127.697666666666</v>
      </c>
      <c r="J884" s="11">
        <v>29.25</v>
      </c>
      <c r="K884" s="9">
        <v>5</v>
      </c>
      <c r="L884" s="9">
        <v>5</v>
      </c>
      <c r="M884" s="9">
        <v>0</v>
      </c>
      <c r="N884" s="12">
        <v>24.920999999999999</v>
      </c>
      <c r="O884" s="11">
        <v>34.702666666666595</v>
      </c>
      <c r="P884" s="33">
        <v>0.21323347058823483</v>
      </c>
      <c r="Q884" s="33">
        <v>1.5106036176470585</v>
      </c>
      <c r="R884" s="1" t="s">
        <v>280</v>
      </c>
      <c r="T884" s="71" t="s">
        <v>626</v>
      </c>
    </row>
    <row r="885" spans="1:20" ht="12.75" customHeight="1">
      <c r="A885" s="1" t="s">
        <v>474</v>
      </c>
      <c r="B885" s="1">
        <v>44</v>
      </c>
      <c r="C885" s="1" t="s">
        <v>511</v>
      </c>
      <c r="D885" s="5">
        <v>43573</v>
      </c>
      <c r="E885" s="1">
        <f t="shared" si="61"/>
        <v>2019</v>
      </c>
      <c r="F885" s="1">
        <f t="shared" si="62"/>
        <v>4</v>
      </c>
      <c r="G885" s="4">
        <f t="shared" si="65"/>
        <v>18</v>
      </c>
      <c r="H885" s="8">
        <v>0.24166666666666667</v>
      </c>
      <c r="I885" s="11">
        <v>127.2796</v>
      </c>
      <c r="J885" s="11">
        <v>28.78</v>
      </c>
      <c r="K885" s="9">
        <v>5</v>
      </c>
      <c r="L885" s="9">
        <v>5</v>
      </c>
      <c r="M885" s="9">
        <v>0</v>
      </c>
      <c r="N885" s="12">
        <v>24.181000000000001</v>
      </c>
      <c r="O885" s="11">
        <v>34.699799999999996</v>
      </c>
      <c r="P885" s="33">
        <v>0.22584829411764673</v>
      </c>
      <c r="Q885" s="33">
        <v>1.5028716235294102</v>
      </c>
      <c r="R885" s="1" t="s">
        <v>280</v>
      </c>
      <c r="T885" s="71" t="s">
        <v>626</v>
      </c>
    </row>
    <row r="886" spans="1:20" ht="12.75" customHeight="1">
      <c r="A886" s="1" t="s">
        <v>474</v>
      </c>
      <c r="B886" s="1">
        <v>45</v>
      </c>
      <c r="C886" s="1" t="s">
        <v>511</v>
      </c>
      <c r="D886" s="5">
        <v>43573</v>
      </c>
      <c r="E886" s="1">
        <f t="shared" si="61"/>
        <v>2019</v>
      </c>
      <c r="F886" s="1">
        <f t="shared" si="62"/>
        <v>4</v>
      </c>
      <c r="G886" s="4">
        <f t="shared" si="65"/>
        <v>18</v>
      </c>
      <c r="H886" s="8">
        <v>0.40763888888888888</v>
      </c>
      <c r="I886" s="11">
        <v>126.807</v>
      </c>
      <c r="J886" s="11">
        <v>28.748999999999999</v>
      </c>
      <c r="K886" s="9">
        <v>5</v>
      </c>
      <c r="L886" s="9">
        <v>5</v>
      </c>
      <c r="M886" s="9">
        <v>0</v>
      </c>
      <c r="N886" s="12">
        <v>22.303857142857098</v>
      </c>
      <c r="O886" s="11">
        <v>34.6228571428571</v>
      </c>
      <c r="P886" s="33">
        <v>0.22252411764705871</v>
      </c>
      <c r="Q886" s="33">
        <v>1.4587701894117675</v>
      </c>
      <c r="R886" s="1" t="s">
        <v>280</v>
      </c>
      <c r="T886" s="71" t="s">
        <v>626</v>
      </c>
    </row>
    <row r="887" spans="1:20" ht="12.75" customHeight="1">
      <c r="A887" s="1" t="s">
        <v>474</v>
      </c>
      <c r="B887" s="1">
        <v>46</v>
      </c>
      <c r="C887" s="1" t="s">
        <v>511</v>
      </c>
      <c r="D887" s="5">
        <v>43573</v>
      </c>
      <c r="E887" s="1">
        <f t="shared" si="61"/>
        <v>2019</v>
      </c>
      <c r="F887" s="1">
        <f t="shared" si="62"/>
        <v>4</v>
      </c>
      <c r="G887" s="4">
        <f t="shared" si="65"/>
        <v>18</v>
      </c>
      <c r="H887" s="8">
        <v>0.56805555555555554</v>
      </c>
      <c r="I887" s="11">
        <v>126.747</v>
      </c>
      <c r="J887" s="11">
        <v>28.297499999999999</v>
      </c>
      <c r="K887" s="9">
        <v>5</v>
      </c>
      <c r="L887" s="9">
        <v>5</v>
      </c>
      <c r="M887" s="9">
        <v>0</v>
      </c>
      <c r="N887" s="12">
        <v>25.124333333333301</v>
      </c>
      <c r="O887" s="11">
        <v>34.717333333333301</v>
      </c>
      <c r="P887" s="33">
        <v>0.24035706823529379</v>
      </c>
      <c r="Q887" s="33">
        <v>1.6329186823529422</v>
      </c>
      <c r="R887" s="1" t="s">
        <v>280</v>
      </c>
      <c r="T887" s="71" t="s">
        <v>626</v>
      </c>
    </row>
    <row r="888" spans="1:20" ht="12.75" customHeight="1">
      <c r="A888" s="1" t="s">
        <v>474</v>
      </c>
      <c r="B888" s="1">
        <v>47</v>
      </c>
      <c r="C888" s="1" t="s">
        <v>511</v>
      </c>
      <c r="D888" s="5">
        <v>43573</v>
      </c>
      <c r="E888" s="1">
        <f t="shared" si="61"/>
        <v>2019</v>
      </c>
      <c r="F888" s="1">
        <f t="shared" si="62"/>
        <v>4</v>
      </c>
      <c r="G888" s="4">
        <f t="shared" si="65"/>
        <v>18</v>
      </c>
      <c r="H888" s="8">
        <v>0.73125000000000007</v>
      </c>
      <c r="I888" s="11">
        <v>126.30500000000001</v>
      </c>
      <c r="J888" s="11">
        <v>28.250333333333302</v>
      </c>
      <c r="K888" s="9">
        <v>5</v>
      </c>
      <c r="L888" s="9">
        <v>5</v>
      </c>
      <c r="M888" s="9">
        <v>0</v>
      </c>
      <c r="N888" s="12">
        <v>24.049333333333298</v>
      </c>
      <c r="O888" s="11">
        <v>34.723999999999997</v>
      </c>
      <c r="P888" s="33">
        <v>0.24965382588235352</v>
      </c>
      <c r="Q888" s="33">
        <v>1.797223158823531</v>
      </c>
      <c r="R888" s="1" t="s">
        <v>280</v>
      </c>
      <c r="T888" s="71" t="s">
        <v>626</v>
      </c>
    </row>
    <row r="889" spans="1:20" ht="12.75" customHeight="1">
      <c r="A889" s="1" t="s">
        <v>474</v>
      </c>
      <c r="B889" s="1">
        <v>48</v>
      </c>
      <c r="C889" s="1" t="s">
        <v>511</v>
      </c>
      <c r="D889" s="5">
        <v>43574</v>
      </c>
      <c r="E889" s="1">
        <f t="shared" si="61"/>
        <v>2019</v>
      </c>
      <c r="F889" s="1">
        <f t="shared" si="62"/>
        <v>4</v>
      </c>
      <c r="G889" s="4">
        <f t="shared" si="65"/>
        <v>19</v>
      </c>
      <c r="H889" s="8">
        <v>0.15902777777777777</v>
      </c>
      <c r="I889" s="11">
        <v>126.183666666666</v>
      </c>
      <c r="J889" s="11">
        <v>27.751999999999999</v>
      </c>
      <c r="K889" s="9">
        <v>5</v>
      </c>
      <c r="L889" s="9">
        <v>5</v>
      </c>
      <c r="M889" s="9">
        <v>0</v>
      </c>
      <c r="N889" s="12">
        <v>22.167666666666598</v>
      </c>
      <c r="O889" s="11">
        <v>34.656833333333296</v>
      </c>
      <c r="P889" s="33">
        <v>0.22483426352941249</v>
      </c>
      <c r="Q889" s="33">
        <v>1.6417043352941185</v>
      </c>
      <c r="R889" s="1" t="s">
        <v>280</v>
      </c>
      <c r="T889" s="71" t="s">
        <v>626</v>
      </c>
    </row>
    <row r="890" spans="1:20" ht="12.75" customHeight="1">
      <c r="A890" s="1" t="s">
        <v>474</v>
      </c>
      <c r="B890" s="1">
        <v>49</v>
      </c>
      <c r="C890" s="1" t="s">
        <v>511</v>
      </c>
      <c r="D890" s="5">
        <v>43578.956180555557</v>
      </c>
      <c r="E890" s="1">
        <f t="shared" si="61"/>
        <v>2019</v>
      </c>
      <c r="F890" s="1">
        <f t="shared" si="62"/>
        <v>4</v>
      </c>
      <c r="G890" s="4">
        <f t="shared" si="65"/>
        <v>23</v>
      </c>
      <c r="H890" s="8">
        <v>0.9555555555555556</v>
      </c>
      <c r="I890" s="11">
        <v>126.25700000000001</v>
      </c>
      <c r="J890" s="11">
        <v>27.257999999999999</v>
      </c>
      <c r="K890" s="9">
        <v>0</v>
      </c>
      <c r="L890" s="9">
        <v>0</v>
      </c>
      <c r="M890" s="27">
        <v>0</v>
      </c>
      <c r="N890" s="32">
        <v>25.6</v>
      </c>
      <c r="O890" s="11">
        <v>34.667617602150763</v>
      </c>
      <c r="P890" s="33">
        <v>0.23330894117647105</v>
      </c>
      <c r="Q890" s="33">
        <v>1.624690111764707</v>
      </c>
      <c r="R890" s="1" t="s">
        <v>280</v>
      </c>
      <c r="S890" s="1">
        <v>1</v>
      </c>
      <c r="T890" s="71" t="s">
        <v>626</v>
      </c>
    </row>
    <row r="891" spans="1:20" ht="12.75" customHeight="1">
      <c r="A891" s="1" t="s">
        <v>474</v>
      </c>
      <c r="B891" s="1">
        <v>49</v>
      </c>
      <c r="C891" s="1" t="s">
        <v>511</v>
      </c>
      <c r="D891" s="5">
        <v>43578.956180555557</v>
      </c>
      <c r="E891" s="1">
        <f t="shared" si="61"/>
        <v>2019</v>
      </c>
      <c r="F891" s="1">
        <f t="shared" si="62"/>
        <v>4</v>
      </c>
      <c r="G891" s="4">
        <f t="shared" si="65"/>
        <v>23</v>
      </c>
      <c r="H891" s="8">
        <v>0.9555555555555556</v>
      </c>
      <c r="I891" s="11">
        <v>126.25700000000001</v>
      </c>
      <c r="J891" s="11">
        <v>27.257999999999999</v>
      </c>
      <c r="K891" s="9">
        <v>9.3800000000000008</v>
      </c>
      <c r="L891" s="9">
        <v>10</v>
      </c>
      <c r="M891" s="9">
        <v>0</v>
      </c>
      <c r="N891" s="12">
        <v>25.572099999999999</v>
      </c>
      <c r="O891" s="11">
        <v>34.615200000000002</v>
      </c>
      <c r="P891" s="33">
        <v>0.24157809882352943</v>
      </c>
      <c r="Q891" s="33">
        <v>1.6272085882352947</v>
      </c>
      <c r="R891" s="1" t="s">
        <v>280</v>
      </c>
      <c r="S891" s="1">
        <v>1</v>
      </c>
      <c r="T891" s="71" t="s">
        <v>626</v>
      </c>
    </row>
    <row r="892" spans="1:20" ht="12.75" customHeight="1">
      <c r="A892" s="1" t="s">
        <v>474</v>
      </c>
      <c r="B892" s="1">
        <v>49</v>
      </c>
      <c r="C892" s="1" t="s">
        <v>511</v>
      </c>
      <c r="D892" s="5">
        <v>43578.956180555557</v>
      </c>
      <c r="E892" s="1">
        <f t="shared" si="61"/>
        <v>2019</v>
      </c>
      <c r="F892" s="1">
        <f t="shared" si="62"/>
        <v>4</v>
      </c>
      <c r="G892" s="4">
        <f t="shared" si="65"/>
        <v>23</v>
      </c>
      <c r="H892" s="8">
        <v>0.9555555555555556</v>
      </c>
      <c r="I892" s="11">
        <v>126.25700000000001</v>
      </c>
      <c r="J892" s="11">
        <v>27.257999999999999</v>
      </c>
      <c r="K892" s="9">
        <v>19.375</v>
      </c>
      <c r="L892" s="9">
        <v>20</v>
      </c>
      <c r="M892" s="9">
        <v>0</v>
      </c>
      <c r="N892" s="12">
        <v>25.573899999999998</v>
      </c>
      <c r="O892" s="11">
        <v>34.615400000000001</v>
      </c>
      <c r="P892" s="33">
        <v>0.22703453647058813</v>
      </c>
      <c r="Q892" s="33">
        <v>1.645116464705886</v>
      </c>
      <c r="R892" s="1" t="s">
        <v>280</v>
      </c>
      <c r="S892" s="1">
        <v>1</v>
      </c>
      <c r="T892" s="71" t="s">
        <v>626</v>
      </c>
    </row>
    <row r="893" spans="1:20" ht="12.75" customHeight="1">
      <c r="A893" s="1" t="s">
        <v>474</v>
      </c>
      <c r="B893" s="1">
        <v>49</v>
      </c>
      <c r="C893" s="1" t="s">
        <v>511</v>
      </c>
      <c r="D893" s="5">
        <v>43578.956180555557</v>
      </c>
      <c r="E893" s="1">
        <f t="shared" si="61"/>
        <v>2019</v>
      </c>
      <c r="F893" s="1">
        <f t="shared" si="62"/>
        <v>4</v>
      </c>
      <c r="G893" s="4">
        <f t="shared" si="65"/>
        <v>23</v>
      </c>
      <c r="H893" s="8">
        <v>0.9555555555555556</v>
      </c>
      <c r="I893" s="11">
        <v>126.25700000000001</v>
      </c>
      <c r="J893" s="11">
        <v>27.257999999999999</v>
      </c>
      <c r="K893" s="9">
        <v>29.504999999999999</v>
      </c>
      <c r="L893" s="9">
        <v>30</v>
      </c>
      <c r="M893" s="9">
        <v>0</v>
      </c>
      <c r="N893" s="12">
        <v>25.561599999999999</v>
      </c>
      <c r="O893" s="11">
        <v>34.626199999999997</v>
      </c>
      <c r="P893" s="33">
        <v>0.25770537411764671</v>
      </c>
      <c r="Q893" s="33">
        <v>1.5945612411764714</v>
      </c>
      <c r="R893" s="1" t="s">
        <v>280</v>
      </c>
      <c r="S893" s="1">
        <v>1</v>
      </c>
      <c r="T893" s="71" t="s">
        <v>626</v>
      </c>
    </row>
    <row r="894" spans="1:20" ht="12.75" customHeight="1">
      <c r="A894" s="1" t="s">
        <v>474</v>
      </c>
      <c r="B894" s="1">
        <v>49</v>
      </c>
      <c r="C894" s="1" t="s">
        <v>511</v>
      </c>
      <c r="D894" s="5">
        <v>43578.956180555557</v>
      </c>
      <c r="E894" s="1">
        <f t="shared" si="61"/>
        <v>2019</v>
      </c>
      <c r="F894" s="1">
        <f t="shared" si="62"/>
        <v>4</v>
      </c>
      <c r="G894" s="4">
        <f t="shared" si="65"/>
        <v>23</v>
      </c>
      <c r="H894" s="8">
        <v>0.9555555555555556</v>
      </c>
      <c r="I894" s="11">
        <v>126.25700000000001</v>
      </c>
      <c r="J894" s="11">
        <v>27.257999999999999</v>
      </c>
      <c r="K894" s="9">
        <v>49.412999999999997</v>
      </c>
      <c r="L894" s="9">
        <v>50</v>
      </c>
      <c r="M894" s="9">
        <v>0</v>
      </c>
      <c r="N894" s="12">
        <v>25.300799999999999</v>
      </c>
      <c r="O894" s="11">
        <v>34.688600000000001</v>
      </c>
      <c r="P894" s="33">
        <v>0.27392936470588269</v>
      </c>
      <c r="Q894" s="33">
        <v>1.7555696470588238</v>
      </c>
      <c r="R894" s="1" t="s">
        <v>280</v>
      </c>
      <c r="S894" s="1">
        <v>1</v>
      </c>
      <c r="T894" s="71" t="s">
        <v>626</v>
      </c>
    </row>
    <row r="895" spans="1:20" ht="12.75" customHeight="1">
      <c r="A895" s="1" t="s">
        <v>474</v>
      </c>
      <c r="B895" s="1">
        <v>49</v>
      </c>
      <c r="C895" s="1" t="s">
        <v>511</v>
      </c>
      <c r="D895" s="5">
        <v>43578.956180555557</v>
      </c>
      <c r="E895" s="1">
        <f t="shared" si="61"/>
        <v>2019</v>
      </c>
      <c r="F895" s="1">
        <f t="shared" si="62"/>
        <v>4</v>
      </c>
      <c r="G895" s="4">
        <f t="shared" si="65"/>
        <v>23</v>
      </c>
      <c r="H895" s="8">
        <v>0.9555555555555556</v>
      </c>
      <c r="I895" s="11">
        <v>126.25700000000001</v>
      </c>
      <c r="J895" s="11">
        <v>27.257999999999999</v>
      </c>
      <c r="K895" s="9">
        <v>74.275999999999996</v>
      </c>
      <c r="L895" s="9">
        <v>75</v>
      </c>
      <c r="M895" s="9">
        <v>0</v>
      </c>
      <c r="N895" s="12">
        <v>24.8506</v>
      </c>
      <c r="O895" s="11">
        <v>34.733199999999997</v>
      </c>
      <c r="P895" s="33">
        <v>0.2550698823529407</v>
      </c>
      <c r="Q895" s="33">
        <v>1.7476312235294138</v>
      </c>
      <c r="R895" s="1" t="s">
        <v>280</v>
      </c>
      <c r="S895" s="1">
        <v>1</v>
      </c>
      <c r="T895" s="71" t="s">
        <v>626</v>
      </c>
    </row>
    <row r="896" spans="1:20" ht="12.75" customHeight="1">
      <c r="A896" s="1" t="s">
        <v>474</v>
      </c>
      <c r="B896" s="1">
        <v>49</v>
      </c>
      <c r="C896" s="1" t="s">
        <v>511</v>
      </c>
      <c r="D896" s="5">
        <v>43578.956180555557</v>
      </c>
      <c r="E896" s="1">
        <f t="shared" si="61"/>
        <v>2019</v>
      </c>
      <c r="F896" s="1">
        <f t="shared" si="62"/>
        <v>4</v>
      </c>
      <c r="G896" s="4">
        <f t="shared" si="65"/>
        <v>23</v>
      </c>
      <c r="H896" s="8">
        <v>0.9555555555555556</v>
      </c>
      <c r="I896" s="11">
        <v>126.25700000000001</v>
      </c>
      <c r="J896" s="11">
        <v>27.257999999999999</v>
      </c>
      <c r="K896" s="9">
        <v>98.87</v>
      </c>
      <c r="L896" s="9">
        <v>100</v>
      </c>
      <c r="M896" s="9">
        <v>0</v>
      </c>
      <c r="N896" s="12">
        <v>24.215199999999999</v>
      </c>
      <c r="O896" s="11">
        <v>34.777500000000003</v>
      </c>
      <c r="P896" s="33">
        <v>0.25511823999999983</v>
      </c>
      <c r="Q896" s="33">
        <v>1.6546564999999998</v>
      </c>
      <c r="R896" s="1" t="s">
        <v>280</v>
      </c>
      <c r="S896" s="1">
        <v>1</v>
      </c>
      <c r="T896" s="71" t="s">
        <v>626</v>
      </c>
    </row>
    <row r="897" spans="1:20" ht="12.75" customHeight="1">
      <c r="A897" s="1" t="s">
        <v>474</v>
      </c>
      <c r="B897" s="1">
        <v>49</v>
      </c>
      <c r="C897" s="1" t="s">
        <v>511</v>
      </c>
      <c r="D897" s="5">
        <v>43578.956180555557</v>
      </c>
      <c r="E897" s="1">
        <f t="shared" si="61"/>
        <v>2019</v>
      </c>
      <c r="F897" s="1">
        <f t="shared" si="62"/>
        <v>4</v>
      </c>
      <c r="G897" s="4">
        <f t="shared" si="65"/>
        <v>23</v>
      </c>
      <c r="H897" s="8">
        <v>0.9555555555555556</v>
      </c>
      <c r="I897" s="11">
        <v>126.25700000000001</v>
      </c>
      <c r="J897" s="11">
        <v>27.257999999999999</v>
      </c>
      <c r="K897" s="9">
        <v>123.783</v>
      </c>
      <c r="L897" s="9">
        <v>125</v>
      </c>
      <c r="M897" s="9">
        <v>0</v>
      </c>
      <c r="N897" s="12">
        <v>22.316500000000001</v>
      </c>
      <c r="O897" s="11">
        <v>34.678899999999999</v>
      </c>
      <c r="P897" s="33">
        <v>0.22886003764705887</v>
      </c>
      <c r="Q897" s="33">
        <v>1.5555654764705888</v>
      </c>
      <c r="R897" s="1" t="s">
        <v>280</v>
      </c>
      <c r="S897" s="1">
        <v>1</v>
      </c>
      <c r="T897" s="71" t="s">
        <v>626</v>
      </c>
    </row>
    <row r="898" spans="1:20" ht="12.75" customHeight="1">
      <c r="A898" s="1" t="s">
        <v>474</v>
      </c>
      <c r="B898" s="1">
        <v>49</v>
      </c>
      <c r="C898" s="1" t="s">
        <v>511</v>
      </c>
      <c r="D898" s="5">
        <v>43578.956180555557</v>
      </c>
      <c r="E898" s="1">
        <f t="shared" ref="E898:E929" si="66">YEAR(D898)</f>
        <v>2019</v>
      </c>
      <c r="F898" s="1">
        <f t="shared" ref="F898:F933" si="67">MONTH(D898)</f>
        <v>4</v>
      </c>
      <c r="G898" s="4">
        <f t="shared" si="65"/>
        <v>23</v>
      </c>
      <c r="H898" s="8">
        <v>0.9555555555555556</v>
      </c>
      <c r="I898" s="11">
        <v>126.25700000000001</v>
      </c>
      <c r="J898" s="11">
        <v>27.257999999999999</v>
      </c>
      <c r="K898" s="9">
        <v>149.107</v>
      </c>
      <c r="L898" s="9">
        <v>150</v>
      </c>
      <c r="M898" s="9">
        <v>0</v>
      </c>
      <c r="N898" s="12">
        <v>21.819099999999999</v>
      </c>
      <c r="O898" s="11">
        <v>34.673099999999998</v>
      </c>
      <c r="P898" s="33">
        <v>0.26857375529411742</v>
      </c>
      <c r="Q898" s="33">
        <v>1.703296752941176</v>
      </c>
      <c r="R898" s="1" t="s">
        <v>280</v>
      </c>
      <c r="S898" s="1">
        <v>1</v>
      </c>
      <c r="T898" s="71" t="s">
        <v>626</v>
      </c>
    </row>
    <row r="899" spans="1:20" ht="12.75" customHeight="1">
      <c r="A899" s="1" t="s">
        <v>474</v>
      </c>
      <c r="B899" s="1">
        <v>49</v>
      </c>
      <c r="C899" s="1" t="s">
        <v>511</v>
      </c>
      <c r="D899" s="5">
        <v>43578.956180555557</v>
      </c>
      <c r="E899" s="1">
        <f t="shared" si="66"/>
        <v>2019</v>
      </c>
      <c r="F899" s="1">
        <f t="shared" si="67"/>
        <v>4</v>
      </c>
      <c r="G899" s="4">
        <f t="shared" si="65"/>
        <v>23</v>
      </c>
      <c r="H899" s="8">
        <v>0.9555555555555556</v>
      </c>
      <c r="I899" s="11">
        <v>126.25700000000001</v>
      </c>
      <c r="J899" s="11">
        <v>27.257999999999999</v>
      </c>
      <c r="K899" s="9">
        <v>198.684</v>
      </c>
      <c r="L899" s="9">
        <v>200</v>
      </c>
      <c r="M899" s="9">
        <v>0</v>
      </c>
      <c r="N899" s="12">
        <v>20.613399999999999</v>
      </c>
      <c r="O899" s="11">
        <v>34.7532</v>
      </c>
      <c r="P899" s="33">
        <v>0.26636139294117678</v>
      </c>
      <c r="Q899" s="33">
        <v>1.6405089294117641</v>
      </c>
      <c r="R899" s="1" t="s">
        <v>280</v>
      </c>
      <c r="S899" s="1">
        <v>1</v>
      </c>
      <c r="T899" s="71" t="s">
        <v>626</v>
      </c>
    </row>
    <row r="900" spans="1:20" ht="12.75" customHeight="1">
      <c r="A900" s="1" t="s">
        <v>474</v>
      </c>
      <c r="B900" s="1">
        <v>49</v>
      </c>
      <c r="C900" s="1" t="s">
        <v>511</v>
      </c>
      <c r="D900" s="5">
        <v>43578.956180555557</v>
      </c>
      <c r="E900" s="1">
        <f t="shared" si="66"/>
        <v>2019</v>
      </c>
      <c r="F900" s="1">
        <f t="shared" si="67"/>
        <v>4</v>
      </c>
      <c r="G900" s="4">
        <f t="shared" si="65"/>
        <v>23</v>
      </c>
      <c r="H900" s="8">
        <v>0.9555555555555556</v>
      </c>
      <c r="I900" s="11">
        <v>126.25700000000001</v>
      </c>
      <c r="J900" s="11">
        <v>27.257999999999999</v>
      </c>
      <c r="K900" s="9">
        <v>297.846</v>
      </c>
      <c r="L900" s="9">
        <v>300</v>
      </c>
      <c r="M900" s="9">
        <v>0</v>
      </c>
      <c r="N900" s="12">
        <v>12.930999999999999</v>
      </c>
      <c r="O900" s="11">
        <v>34.451799999999999</v>
      </c>
      <c r="P900" s="33">
        <v>9.1306710588234807E-2</v>
      </c>
      <c r="Q900" s="33">
        <v>0.44620560588235492</v>
      </c>
      <c r="R900" s="1" t="s">
        <v>280</v>
      </c>
      <c r="S900" s="1">
        <v>1</v>
      </c>
      <c r="T900" s="71" t="s">
        <v>626</v>
      </c>
    </row>
    <row r="901" spans="1:20" ht="12.75" customHeight="1">
      <c r="A901" s="1" t="s">
        <v>474</v>
      </c>
      <c r="B901" s="1">
        <v>49</v>
      </c>
      <c r="C901" s="1" t="s">
        <v>511</v>
      </c>
      <c r="D901" s="5">
        <v>43578.956180555557</v>
      </c>
      <c r="E901" s="1">
        <f t="shared" si="66"/>
        <v>2019</v>
      </c>
      <c r="F901" s="1">
        <f t="shared" si="67"/>
        <v>4</v>
      </c>
      <c r="G901" s="4">
        <f t="shared" si="65"/>
        <v>23</v>
      </c>
      <c r="H901" s="8">
        <v>0.9555555555555556</v>
      </c>
      <c r="I901" s="11">
        <v>126.25700000000001</v>
      </c>
      <c r="J901" s="11">
        <v>27.257999999999999</v>
      </c>
      <c r="K901" s="9">
        <v>496.97399999999999</v>
      </c>
      <c r="L901" s="9">
        <v>500</v>
      </c>
      <c r="M901" s="9">
        <v>0</v>
      </c>
      <c r="N901" s="12">
        <v>8.2576000000000001</v>
      </c>
      <c r="O901" s="11">
        <v>34.309199999999997</v>
      </c>
      <c r="P901" s="33">
        <v>-7.4910611764706037E-2</v>
      </c>
      <c r="Q901" s="33">
        <v>-0.76664391764705897</v>
      </c>
      <c r="R901" s="1" t="s">
        <v>280</v>
      </c>
      <c r="S901" s="1">
        <v>1</v>
      </c>
      <c r="T901" s="71" t="s">
        <v>626</v>
      </c>
    </row>
    <row r="902" spans="1:20" ht="12.75" customHeight="1">
      <c r="A902" s="1" t="s">
        <v>474</v>
      </c>
      <c r="B902" s="1">
        <v>50</v>
      </c>
      <c r="C902" s="1" t="s">
        <v>511</v>
      </c>
      <c r="D902" s="5">
        <v>43579</v>
      </c>
      <c r="E902" s="1">
        <f t="shared" si="66"/>
        <v>2019</v>
      </c>
      <c r="F902" s="1">
        <f t="shared" si="67"/>
        <v>4</v>
      </c>
      <c r="G902" s="4">
        <f t="shared" si="65"/>
        <v>24</v>
      </c>
      <c r="H902" s="8">
        <v>0.31458333333333333</v>
      </c>
      <c r="I902" s="11">
        <v>125.25416666666599</v>
      </c>
      <c r="J902" s="11">
        <v>26.753333333333298</v>
      </c>
      <c r="K902" s="9">
        <v>5</v>
      </c>
      <c r="L902" s="9">
        <v>5</v>
      </c>
      <c r="M902" s="9">
        <v>0</v>
      </c>
      <c r="N902" s="12">
        <v>26.022666666666598</v>
      </c>
      <c r="O902" s="11">
        <v>34.379833333333295</v>
      </c>
      <c r="P902" s="33">
        <v>0.13854476470588306</v>
      </c>
      <c r="Q902" s="33">
        <v>1.0127736176470581</v>
      </c>
      <c r="R902" s="1" t="s">
        <v>280</v>
      </c>
      <c r="T902" s="71" t="s">
        <v>626</v>
      </c>
    </row>
    <row r="903" spans="1:20" ht="12.75" customHeight="1">
      <c r="A903" s="1" t="s">
        <v>474</v>
      </c>
      <c r="B903" s="1">
        <v>51</v>
      </c>
      <c r="C903" s="1" t="s">
        <v>511</v>
      </c>
      <c r="D903" s="5">
        <v>43579</v>
      </c>
      <c r="E903" s="1">
        <f t="shared" si="66"/>
        <v>2019</v>
      </c>
      <c r="F903" s="1">
        <f t="shared" si="67"/>
        <v>4</v>
      </c>
      <c r="G903" s="4">
        <f t="shared" si="65"/>
        <v>24</v>
      </c>
      <c r="H903" s="8">
        <v>0.46597222222222223</v>
      </c>
      <c r="I903" s="11">
        <v>124.800166666666</v>
      </c>
      <c r="J903" s="11">
        <v>26.748999999999999</v>
      </c>
      <c r="K903" s="9">
        <v>5</v>
      </c>
      <c r="L903" s="9">
        <v>5</v>
      </c>
      <c r="M903" s="9">
        <v>0</v>
      </c>
      <c r="N903" s="12">
        <v>25.631</v>
      </c>
      <c r="O903" s="11">
        <v>34.257666666666594</v>
      </c>
      <c r="P903" s="33">
        <v>0.17435011764705921</v>
      </c>
      <c r="Q903" s="33">
        <v>1.1400153211764685</v>
      </c>
      <c r="R903" s="1" t="s">
        <v>280</v>
      </c>
      <c r="T903" s="71" t="s">
        <v>626</v>
      </c>
    </row>
    <row r="904" spans="1:20" ht="12.75" customHeight="1">
      <c r="A904" s="1" t="s">
        <v>474</v>
      </c>
      <c r="B904" s="1">
        <v>52</v>
      </c>
      <c r="C904" s="1" t="s">
        <v>511</v>
      </c>
      <c r="D904" s="5">
        <v>43579</v>
      </c>
      <c r="E904" s="1">
        <f t="shared" si="66"/>
        <v>2019</v>
      </c>
      <c r="F904" s="1">
        <f t="shared" si="67"/>
        <v>4</v>
      </c>
      <c r="G904" s="4">
        <f t="shared" si="65"/>
        <v>24</v>
      </c>
      <c r="H904" s="8">
        <v>0.62152777777777779</v>
      </c>
      <c r="I904" s="11">
        <v>124.2885</v>
      </c>
      <c r="J904" s="11">
        <v>26.75</v>
      </c>
      <c r="K904" s="9">
        <v>5</v>
      </c>
      <c r="L904" s="9">
        <v>5</v>
      </c>
      <c r="M904" s="9">
        <v>0</v>
      </c>
      <c r="N904" s="12">
        <v>26.2126666666666</v>
      </c>
      <c r="O904" s="11">
        <v>34.431999999999995</v>
      </c>
      <c r="P904" s="33">
        <v>0.19577047058823549</v>
      </c>
      <c r="Q904" s="33">
        <v>1.3901250847058844</v>
      </c>
      <c r="R904" s="1" t="s">
        <v>280</v>
      </c>
      <c r="T904" s="71" t="s">
        <v>626</v>
      </c>
    </row>
    <row r="905" spans="1:20" ht="12.75" customHeight="1">
      <c r="A905" s="1" t="s">
        <v>474</v>
      </c>
      <c r="B905" s="1">
        <v>54</v>
      </c>
      <c r="C905" s="1" t="s">
        <v>511</v>
      </c>
      <c r="D905" s="5">
        <v>43579</v>
      </c>
      <c r="E905" s="1">
        <f t="shared" si="66"/>
        <v>2019</v>
      </c>
      <c r="F905" s="1">
        <f t="shared" si="67"/>
        <v>4</v>
      </c>
      <c r="G905" s="4">
        <f t="shared" ref="G905:G933" si="68">DAY(D905)</f>
        <v>24</v>
      </c>
      <c r="H905" s="8">
        <v>0.92222222222222217</v>
      </c>
      <c r="I905" s="11">
        <v>123.30433333333301</v>
      </c>
      <c r="J905" s="11">
        <v>26.75</v>
      </c>
      <c r="K905" s="9">
        <v>5</v>
      </c>
      <c r="L905" s="9">
        <v>5</v>
      </c>
      <c r="M905" s="9">
        <v>0</v>
      </c>
      <c r="N905" s="12">
        <v>23.952666666666598</v>
      </c>
      <c r="O905" s="11">
        <v>34.163999999999994</v>
      </c>
      <c r="P905" s="33">
        <v>0.11176932352941238</v>
      </c>
      <c r="Q905" s="33">
        <v>0.79396382823529521</v>
      </c>
      <c r="R905" s="1" t="s">
        <v>280</v>
      </c>
      <c r="T905" s="71" t="s">
        <v>626</v>
      </c>
    </row>
    <row r="906" spans="1:20" ht="12.75" customHeight="1">
      <c r="A906" s="1" t="s">
        <v>474</v>
      </c>
      <c r="B906" s="1">
        <v>55</v>
      </c>
      <c r="C906" s="1" t="s">
        <v>511</v>
      </c>
      <c r="D906" s="5">
        <v>43580</v>
      </c>
      <c r="E906" s="1">
        <f t="shared" si="66"/>
        <v>2019</v>
      </c>
      <c r="F906" s="1">
        <f t="shared" si="67"/>
        <v>4</v>
      </c>
      <c r="G906" s="4">
        <f t="shared" si="68"/>
        <v>25</v>
      </c>
      <c r="H906" s="8">
        <v>4.7222222222222221E-2</v>
      </c>
      <c r="I906" s="11">
        <v>123.212666666666</v>
      </c>
      <c r="J906" s="11">
        <v>27.048999999999999</v>
      </c>
      <c r="K906" s="9">
        <v>5</v>
      </c>
      <c r="L906" s="9">
        <v>5</v>
      </c>
      <c r="M906" s="9">
        <v>0</v>
      </c>
      <c r="N906" s="12">
        <v>24.547666666666601</v>
      </c>
      <c r="O906" s="11">
        <v>34.515999999999998</v>
      </c>
      <c r="P906" s="33">
        <v>0.17572817647058869</v>
      </c>
      <c r="Q906" s="33">
        <v>1.0969285517647069</v>
      </c>
      <c r="R906" s="1" t="s">
        <v>280</v>
      </c>
      <c r="T906" s="71" t="s">
        <v>626</v>
      </c>
    </row>
    <row r="907" spans="1:20" ht="12.75" customHeight="1">
      <c r="A907" s="1" t="s">
        <v>474</v>
      </c>
      <c r="B907" s="1">
        <v>56</v>
      </c>
      <c r="C907" s="1" t="s">
        <v>511</v>
      </c>
      <c r="D907" s="5">
        <v>43580</v>
      </c>
      <c r="E907" s="1">
        <f t="shared" si="66"/>
        <v>2019</v>
      </c>
      <c r="F907" s="1">
        <f t="shared" si="67"/>
        <v>4</v>
      </c>
      <c r="G907" s="4">
        <f t="shared" si="68"/>
        <v>25</v>
      </c>
      <c r="H907" s="8">
        <v>0.20902777777777778</v>
      </c>
      <c r="I907" s="11">
        <v>123.70033333333301</v>
      </c>
      <c r="J907" s="11">
        <v>27.244</v>
      </c>
      <c r="K907" s="9">
        <v>5</v>
      </c>
      <c r="L907" s="9">
        <v>5</v>
      </c>
      <c r="M907" s="9">
        <v>0</v>
      </c>
      <c r="N907" s="12">
        <v>24.260999999999999</v>
      </c>
      <c r="O907" s="11">
        <v>34.538999999999994</v>
      </c>
      <c r="P907" s="33">
        <v>0.20290252941176457</v>
      </c>
      <c r="Q907" s="33">
        <v>1.3103553952941187</v>
      </c>
      <c r="R907" s="1" t="s">
        <v>280</v>
      </c>
      <c r="T907" s="71" t="s">
        <v>626</v>
      </c>
    </row>
    <row r="908" spans="1:20" ht="12.75" customHeight="1">
      <c r="A908" s="1" t="s">
        <v>474</v>
      </c>
      <c r="B908" s="1">
        <v>57</v>
      </c>
      <c r="C908" s="1" t="s">
        <v>511</v>
      </c>
      <c r="D908" s="5">
        <v>43580</v>
      </c>
      <c r="E908" s="1">
        <f t="shared" si="66"/>
        <v>2019</v>
      </c>
      <c r="F908" s="1">
        <f t="shared" si="67"/>
        <v>4</v>
      </c>
      <c r="G908" s="4">
        <f t="shared" si="68"/>
        <v>25</v>
      </c>
      <c r="H908" s="8">
        <v>0.35138888888888892</v>
      </c>
      <c r="I908" s="11">
        <v>124.196333333333</v>
      </c>
      <c r="J908" s="11">
        <v>27.248999999999999</v>
      </c>
      <c r="K908" s="9">
        <v>5</v>
      </c>
      <c r="L908" s="9">
        <v>5</v>
      </c>
      <c r="M908" s="9">
        <v>0</v>
      </c>
      <c r="N908" s="12">
        <v>24.306000000000001</v>
      </c>
      <c r="O908" s="11">
        <v>34.527333333333296</v>
      </c>
      <c r="P908" s="33">
        <v>0.23994088235294164</v>
      </c>
      <c r="Q908" s="33">
        <v>1.5237822388235305</v>
      </c>
      <c r="R908" s="1" t="s">
        <v>280</v>
      </c>
      <c r="T908" s="71" t="s">
        <v>626</v>
      </c>
    </row>
    <row r="909" spans="1:20" ht="12.75" customHeight="1">
      <c r="A909" s="1" t="s">
        <v>474</v>
      </c>
      <c r="B909" s="1">
        <v>58</v>
      </c>
      <c r="C909" s="1" t="s">
        <v>511</v>
      </c>
      <c r="D909" s="5">
        <v>43580</v>
      </c>
      <c r="E909" s="1">
        <f t="shared" si="66"/>
        <v>2019</v>
      </c>
      <c r="F909" s="1">
        <f t="shared" si="67"/>
        <v>4</v>
      </c>
      <c r="G909" s="4">
        <f t="shared" si="68"/>
        <v>25</v>
      </c>
      <c r="H909" s="8">
        <v>0.85416666666666663</v>
      </c>
      <c r="I909" s="11">
        <v>124.763833333333</v>
      </c>
      <c r="J909" s="11">
        <v>27.257000000000001</v>
      </c>
      <c r="K909" s="9">
        <v>5</v>
      </c>
      <c r="L909" s="9">
        <v>5</v>
      </c>
      <c r="M909" s="9">
        <v>0</v>
      </c>
      <c r="N909" s="12">
        <v>24.097666666666598</v>
      </c>
      <c r="O909" s="11">
        <v>34.315833333333295</v>
      </c>
      <c r="P909" s="33">
        <v>0.14807029411764727</v>
      </c>
      <c r="Q909" s="33">
        <v>1.210736092941179</v>
      </c>
      <c r="R909" s="1" t="s">
        <v>280</v>
      </c>
      <c r="T909" s="71" t="s">
        <v>626</v>
      </c>
    </row>
    <row r="910" spans="1:20" ht="12.75" customHeight="1">
      <c r="A910" s="1" t="s">
        <v>474</v>
      </c>
      <c r="B910" s="1">
        <v>59</v>
      </c>
      <c r="C910" s="1" t="s">
        <v>511</v>
      </c>
      <c r="D910" s="5">
        <v>43580</v>
      </c>
      <c r="E910" s="1">
        <f t="shared" si="66"/>
        <v>2019</v>
      </c>
      <c r="F910" s="1">
        <f t="shared" si="67"/>
        <v>4</v>
      </c>
      <c r="G910" s="4">
        <f t="shared" si="68"/>
        <v>25</v>
      </c>
      <c r="H910" s="8">
        <v>0.9506944444444444</v>
      </c>
      <c r="I910" s="11">
        <v>125.196333333333</v>
      </c>
      <c r="J910" s="11">
        <v>27.244499999999999</v>
      </c>
      <c r="K910" s="9">
        <v>5</v>
      </c>
      <c r="L910" s="9">
        <v>5</v>
      </c>
      <c r="M910" s="9">
        <v>0</v>
      </c>
      <c r="N910" s="12">
        <v>23.670999999999999</v>
      </c>
      <c r="O910" s="11">
        <v>34.413166666666598</v>
      </c>
      <c r="P910" s="33">
        <v>0.20113764705882398</v>
      </c>
      <c r="Q910" s="33">
        <v>1.3657858164705896</v>
      </c>
      <c r="R910" s="1" t="s">
        <v>280</v>
      </c>
      <c r="T910" s="71" t="s">
        <v>626</v>
      </c>
    </row>
    <row r="911" spans="1:20" ht="12.75" customHeight="1">
      <c r="A911" s="1" t="s">
        <v>474</v>
      </c>
      <c r="B911" s="1">
        <v>60</v>
      </c>
      <c r="C911" s="1" t="s">
        <v>511</v>
      </c>
      <c r="D911" s="5">
        <v>43574</v>
      </c>
      <c r="E911" s="1">
        <f t="shared" si="66"/>
        <v>2019</v>
      </c>
      <c r="F911" s="1">
        <f t="shared" si="67"/>
        <v>4</v>
      </c>
      <c r="G911" s="4">
        <f t="shared" si="68"/>
        <v>19</v>
      </c>
      <c r="H911" s="8">
        <v>0.38611111111111113</v>
      </c>
      <c r="I911" s="11">
        <v>125.7825</v>
      </c>
      <c r="J911" s="11">
        <v>27.281500000000001</v>
      </c>
      <c r="K911" s="9">
        <v>5</v>
      </c>
      <c r="L911" s="9">
        <v>5</v>
      </c>
      <c r="M911" s="9">
        <v>0</v>
      </c>
      <c r="N911" s="12">
        <v>23.241</v>
      </c>
      <c r="O911" s="11">
        <v>34.670333333333296</v>
      </c>
      <c r="P911" s="33">
        <v>0.1902945000000007</v>
      </c>
      <c r="Q911" s="33">
        <v>1.447469700000001</v>
      </c>
      <c r="R911" s="1" t="s">
        <v>280</v>
      </c>
      <c r="T911" s="71" t="s">
        <v>626</v>
      </c>
    </row>
    <row r="912" spans="1:20" ht="12.75" customHeight="1">
      <c r="A912" s="1" t="s">
        <v>474</v>
      </c>
      <c r="B912" s="1">
        <v>61</v>
      </c>
      <c r="C912" s="1" t="s">
        <v>511</v>
      </c>
      <c r="D912" s="5">
        <v>43574</v>
      </c>
      <c r="E912" s="1">
        <f t="shared" si="66"/>
        <v>2019</v>
      </c>
      <c r="F912" s="1">
        <f t="shared" si="67"/>
        <v>4</v>
      </c>
      <c r="G912" s="4">
        <f t="shared" si="68"/>
        <v>19</v>
      </c>
      <c r="H912" s="8">
        <v>2.8472222222222222E-2</v>
      </c>
      <c r="I912" s="11">
        <v>125.76033333333299</v>
      </c>
      <c r="J912" s="11">
        <v>27.786666666666601</v>
      </c>
      <c r="K912" s="9">
        <v>5</v>
      </c>
      <c r="L912" s="9">
        <v>5</v>
      </c>
      <c r="M912" s="9">
        <v>0</v>
      </c>
      <c r="N912" s="12">
        <v>23.062666666666598</v>
      </c>
      <c r="O912" s="11">
        <v>34.682499999999997</v>
      </c>
      <c r="P912" s="33">
        <v>0.24356735294117637</v>
      </c>
      <c r="Q912" s="33">
        <v>1.6251997235294127</v>
      </c>
      <c r="R912" s="1" t="s">
        <v>280</v>
      </c>
      <c r="T912" s="71" t="s">
        <v>626</v>
      </c>
    </row>
    <row r="913" spans="1:20" ht="12.75" customHeight="1">
      <c r="A913" s="1" t="s">
        <v>474</v>
      </c>
      <c r="B913" s="1">
        <v>62</v>
      </c>
      <c r="C913" s="1" t="s">
        <v>511</v>
      </c>
      <c r="D913" s="5">
        <v>43581</v>
      </c>
      <c r="E913" s="1">
        <f t="shared" si="66"/>
        <v>2019</v>
      </c>
      <c r="F913" s="1">
        <f t="shared" si="67"/>
        <v>4</v>
      </c>
      <c r="G913" s="4">
        <f t="shared" si="68"/>
        <v>26</v>
      </c>
      <c r="H913" s="8">
        <v>0.1076388888888889</v>
      </c>
      <c r="I913" s="11">
        <v>125.252</v>
      </c>
      <c r="J913" s="11">
        <v>27.7126666666666</v>
      </c>
      <c r="K913" s="9">
        <v>5</v>
      </c>
      <c r="L913" s="9">
        <v>5</v>
      </c>
      <c r="M913" s="9">
        <v>0</v>
      </c>
      <c r="N913" s="12">
        <v>22.0193333333333</v>
      </c>
      <c r="O913" s="11">
        <v>33.924333333333294</v>
      </c>
      <c r="P913" s="33">
        <v>0.11846620588235313</v>
      </c>
      <c r="Q913" s="33">
        <v>0.81939360705882613</v>
      </c>
      <c r="R913" s="1" t="s">
        <v>280</v>
      </c>
      <c r="T913" s="71" t="s">
        <v>626</v>
      </c>
    </row>
    <row r="914" spans="1:20" ht="12.75" customHeight="1">
      <c r="A914" s="1" t="s">
        <v>474</v>
      </c>
      <c r="B914" s="1">
        <v>63</v>
      </c>
      <c r="C914" s="1" t="s">
        <v>511</v>
      </c>
      <c r="D914" s="5">
        <v>43580.656342592592</v>
      </c>
      <c r="E914" s="1">
        <f t="shared" si="66"/>
        <v>2019</v>
      </c>
      <c r="F914" s="1">
        <f t="shared" si="67"/>
        <v>4</v>
      </c>
      <c r="G914" s="4">
        <f t="shared" si="68"/>
        <v>25</v>
      </c>
      <c r="H914" s="8">
        <v>0.65625</v>
      </c>
      <c r="I914" s="11">
        <v>124.756</v>
      </c>
      <c r="J914" s="11">
        <v>27.753</v>
      </c>
      <c r="K914" s="9">
        <v>0</v>
      </c>
      <c r="L914" s="9">
        <v>0</v>
      </c>
      <c r="M914" s="27">
        <v>0</v>
      </c>
      <c r="N914" s="32">
        <v>22.5</v>
      </c>
      <c r="O914" s="11">
        <v>34.334083768284394</v>
      </c>
      <c r="P914" s="33">
        <v>0.13762605882352918</v>
      </c>
      <c r="Q914" s="33">
        <v>1.1328109905882382</v>
      </c>
      <c r="R914" s="1" t="s">
        <v>280</v>
      </c>
      <c r="S914" s="1">
        <v>1</v>
      </c>
      <c r="T914" s="71" t="s">
        <v>626</v>
      </c>
    </row>
    <row r="915" spans="1:20" ht="12.75" customHeight="1">
      <c r="A915" s="1" t="s">
        <v>474</v>
      </c>
      <c r="B915" s="1">
        <v>63</v>
      </c>
      <c r="C915" s="1" t="s">
        <v>511</v>
      </c>
      <c r="D915" s="5">
        <v>43580.656342592592</v>
      </c>
      <c r="E915" s="1">
        <f t="shared" si="66"/>
        <v>2019</v>
      </c>
      <c r="F915" s="1">
        <f t="shared" si="67"/>
        <v>4</v>
      </c>
      <c r="G915" s="4">
        <f t="shared" si="68"/>
        <v>25</v>
      </c>
      <c r="H915" s="8">
        <v>0.65625</v>
      </c>
      <c r="I915" s="11">
        <v>124.756</v>
      </c>
      <c r="J915" s="11">
        <v>27.753</v>
      </c>
      <c r="K915" s="9">
        <v>9.3719999999999999</v>
      </c>
      <c r="L915" s="9">
        <v>10</v>
      </c>
      <c r="M915" s="9">
        <v>0</v>
      </c>
      <c r="N915" s="12">
        <v>22.462399999999999</v>
      </c>
      <c r="O915" s="11">
        <v>34.3142</v>
      </c>
      <c r="P915" s="33">
        <v>0.15493641176470607</v>
      </c>
      <c r="Q915" s="33">
        <v>1.0482384141176464</v>
      </c>
      <c r="R915" s="1" t="s">
        <v>280</v>
      </c>
      <c r="S915" s="1">
        <v>1</v>
      </c>
      <c r="T915" s="71" t="s">
        <v>626</v>
      </c>
    </row>
    <row r="916" spans="1:20" ht="12.75" customHeight="1">
      <c r="A916" s="1" t="s">
        <v>474</v>
      </c>
      <c r="B916" s="1">
        <v>63</v>
      </c>
      <c r="C916" s="1" t="s">
        <v>511</v>
      </c>
      <c r="D916" s="5">
        <v>43580.656342592592</v>
      </c>
      <c r="E916" s="1">
        <f t="shared" si="66"/>
        <v>2019</v>
      </c>
      <c r="F916" s="1">
        <f t="shared" si="67"/>
        <v>4</v>
      </c>
      <c r="G916" s="4">
        <f t="shared" si="68"/>
        <v>25</v>
      </c>
      <c r="H916" s="8">
        <v>0.65625</v>
      </c>
      <c r="I916" s="11">
        <v>124.756</v>
      </c>
      <c r="J916" s="11">
        <v>27.753</v>
      </c>
      <c r="K916" s="9">
        <v>19.741</v>
      </c>
      <c r="L916" s="9">
        <v>20</v>
      </c>
      <c r="M916" s="9">
        <v>0</v>
      </c>
      <c r="N916" s="12">
        <v>21.339500000000001</v>
      </c>
      <c r="O916" s="11">
        <v>34.405200000000001</v>
      </c>
      <c r="P916" s="33">
        <v>0.16608176470588232</v>
      </c>
      <c r="Q916" s="33">
        <v>1.0849561376470565</v>
      </c>
      <c r="R916" s="1" t="s">
        <v>280</v>
      </c>
      <c r="S916" s="1">
        <v>1</v>
      </c>
      <c r="T916" s="71" t="s">
        <v>626</v>
      </c>
    </row>
    <row r="917" spans="1:20" ht="12.75" customHeight="1">
      <c r="A917" s="1" t="s">
        <v>474</v>
      </c>
      <c r="B917" s="1">
        <v>63</v>
      </c>
      <c r="C917" s="1" t="s">
        <v>511</v>
      </c>
      <c r="D917" s="5">
        <v>43580.656342592592</v>
      </c>
      <c r="E917" s="1">
        <f t="shared" si="66"/>
        <v>2019</v>
      </c>
      <c r="F917" s="1">
        <f t="shared" si="67"/>
        <v>4</v>
      </c>
      <c r="G917" s="4">
        <f t="shared" si="68"/>
        <v>25</v>
      </c>
      <c r="H917" s="8">
        <v>0.65625</v>
      </c>
      <c r="I917" s="11">
        <v>124.756</v>
      </c>
      <c r="J917" s="11">
        <v>27.753</v>
      </c>
      <c r="K917" s="9">
        <v>29.463000000000001</v>
      </c>
      <c r="L917" s="9">
        <v>30</v>
      </c>
      <c r="M917" s="9">
        <v>0</v>
      </c>
      <c r="N917" s="12">
        <v>21.0076</v>
      </c>
      <c r="O917" s="11">
        <v>34.423699999999997</v>
      </c>
      <c r="P917" s="33">
        <v>0.127</v>
      </c>
      <c r="Q917" s="33">
        <v>0.98699999999999999</v>
      </c>
      <c r="R917" s="1" t="s">
        <v>280</v>
      </c>
      <c r="S917" s="1">
        <v>1</v>
      </c>
      <c r="T917" s="71" t="s">
        <v>626</v>
      </c>
    </row>
    <row r="918" spans="1:20" ht="12.75" customHeight="1">
      <c r="A918" s="1" t="s">
        <v>474</v>
      </c>
      <c r="B918" s="1">
        <v>63</v>
      </c>
      <c r="C918" s="1" t="s">
        <v>511</v>
      </c>
      <c r="D918" s="5">
        <v>43580.656342592592</v>
      </c>
      <c r="E918" s="1">
        <f t="shared" si="66"/>
        <v>2019</v>
      </c>
      <c r="F918" s="1">
        <f t="shared" si="67"/>
        <v>4</v>
      </c>
      <c r="G918" s="4">
        <f t="shared" si="68"/>
        <v>25</v>
      </c>
      <c r="H918" s="8">
        <v>0.65625</v>
      </c>
      <c r="I918" s="11">
        <v>124.756</v>
      </c>
      <c r="J918" s="11">
        <v>27.753</v>
      </c>
      <c r="K918" s="9">
        <v>48.948999999999998</v>
      </c>
      <c r="L918" s="9">
        <v>50</v>
      </c>
      <c r="M918" s="9">
        <v>0</v>
      </c>
      <c r="N918" s="12">
        <v>20.754799999999999</v>
      </c>
      <c r="O918" s="11">
        <v>34.44</v>
      </c>
      <c r="P918" s="33">
        <v>0.17799999999999999</v>
      </c>
      <c r="Q918" s="33">
        <v>1.026</v>
      </c>
      <c r="R918" s="1" t="s">
        <v>280</v>
      </c>
      <c r="S918" s="1">
        <v>1</v>
      </c>
      <c r="T918" s="71" t="s">
        <v>626</v>
      </c>
    </row>
    <row r="919" spans="1:20" ht="12.75" customHeight="1">
      <c r="A919" s="1" t="s">
        <v>474</v>
      </c>
      <c r="B919" s="1">
        <v>63</v>
      </c>
      <c r="C919" s="1" t="s">
        <v>511</v>
      </c>
      <c r="D919" s="5">
        <v>43580.656342592592</v>
      </c>
      <c r="E919" s="1">
        <f t="shared" si="66"/>
        <v>2019</v>
      </c>
      <c r="F919" s="1">
        <f t="shared" si="67"/>
        <v>4</v>
      </c>
      <c r="G919" s="4">
        <f t="shared" si="68"/>
        <v>25</v>
      </c>
      <c r="H919" s="8">
        <v>0.65625</v>
      </c>
      <c r="I919" s="11">
        <v>124.756</v>
      </c>
      <c r="J919" s="11">
        <v>27.753</v>
      </c>
      <c r="K919" s="9">
        <v>74.897000000000006</v>
      </c>
      <c r="L919" s="9">
        <v>75</v>
      </c>
      <c r="M919" s="9">
        <v>0</v>
      </c>
      <c r="N919" s="12">
        <v>19.481999999999999</v>
      </c>
      <c r="O919" s="11">
        <v>34.6616</v>
      </c>
      <c r="P919" s="33">
        <v>0.21299999999999999</v>
      </c>
      <c r="Q919" s="33">
        <v>1.3340000000000001</v>
      </c>
      <c r="R919" s="1" t="s">
        <v>280</v>
      </c>
      <c r="S919" s="1">
        <v>1</v>
      </c>
      <c r="T919" s="71" t="s">
        <v>626</v>
      </c>
    </row>
    <row r="920" spans="1:20" ht="12.75" customHeight="1">
      <c r="A920" s="1" t="s">
        <v>474</v>
      </c>
      <c r="B920" s="1">
        <v>63</v>
      </c>
      <c r="C920" s="1" t="s">
        <v>511</v>
      </c>
      <c r="D920" s="5">
        <v>43580.656342592592</v>
      </c>
      <c r="E920" s="1">
        <f t="shared" si="66"/>
        <v>2019</v>
      </c>
      <c r="F920" s="1">
        <f t="shared" si="67"/>
        <v>4</v>
      </c>
      <c r="G920" s="4">
        <f t="shared" si="68"/>
        <v>25</v>
      </c>
      <c r="H920" s="8">
        <v>0.65625</v>
      </c>
      <c r="I920" s="11">
        <v>124.756</v>
      </c>
      <c r="J920" s="11">
        <v>27.753</v>
      </c>
      <c r="K920" s="9">
        <v>92.978999999999999</v>
      </c>
      <c r="L920" s="9">
        <v>93</v>
      </c>
      <c r="M920" s="9">
        <v>0</v>
      </c>
      <c r="N920" s="12">
        <v>19.2592</v>
      </c>
      <c r="O920" s="11">
        <v>34.664999999999999</v>
      </c>
      <c r="P920" s="33">
        <v>0.24399999999999999</v>
      </c>
      <c r="Q920" s="33">
        <v>1.4359999999999999</v>
      </c>
      <c r="R920" s="1" t="s">
        <v>280</v>
      </c>
      <c r="S920" s="1">
        <v>1</v>
      </c>
      <c r="T920" s="71" t="s">
        <v>626</v>
      </c>
    </row>
    <row r="921" spans="1:20" ht="12.75" customHeight="1">
      <c r="A921" s="1" t="s">
        <v>474</v>
      </c>
      <c r="B921" s="1">
        <v>64</v>
      </c>
      <c r="C921" s="1" t="s">
        <v>511</v>
      </c>
      <c r="D921" s="5">
        <v>43580</v>
      </c>
      <c r="E921" s="1">
        <f t="shared" si="66"/>
        <v>2019</v>
      </c>
      <c r="F921" s="1">
        <f t="shared" si="67"/>
        <v>4</v>
      </c>
      <c r="G921" s="4">
        <f t="shared" si="68"/>
        <v>25</v>
      </c>
      <c r="H921" s="8">
        <v>0.49652777777777773</v>
      </c>
      <c r="I921" s="11">
        <v>124.251</v>
      </c>
      <c r="J921" s="11">
        <v>27.695333333333298</v>
      </c>
      <c r="K921" s="9">
        <v>5</v>
      </c>
      <c r="L921" s="9">
        <v>5</v>
      </c>
      <c r="M921" s="9">
        <v>0</v>
      </c>
      <c r="N921" s="12">
        <v>23.245999999999999</v>
      </c>
      <c r="O921" s="11">
        <v>34.401333333333298</v>
      </c>
      <c r="P921" s="33">
        <v>0.23699999999999999</v>
      </c>
      <c r="Q921" s="33">
        <v>1.528</v>
      </c>
      <c r="R921" s="1" t="s">
        <v>280</v>
      </c>
      <c r="T921" s="71" t="s">
        <v>626</v>
      </c>
    </row>
    <row r="922" spans="1:20" ht="12.75" customHeight="1">
      <c r="A922" s="1" t="s">
        <v>474</v>
      </c>
      <c r="B922" s="1">
        <v>66</v>
      </c>
      <c r="C922" s="1" t="s">
        <v>511</v>
      </c>
      <c r="D922" s="5">
        <v>43573</v>
      </c>
      <c r="E922" s="1">
        <f t="shared" si="66"/>
        <v>2019</v>
      </c>
      <c r="F922" s="1">
        <f t="shared" si="67"/>
        <v>4</v>
      </c>
      <c r="G922" s="4">
        <f t="shared" si="68"/>
        <v>18</v>
      </c>
      <c r="H922" s="8">
        <v>0.97152777777777777</v>
      </c>
      <c r="I922" s="11">
        <v>125.791</v>
      </c>
      <c r="J922" s="11">
        <v>28.063333333333301</v>
      </c>
      <c r="K922" s="9">
        <v>5</v>
      </c>
      <c r="L922" s="9">
        <v>5</v>
      </c>
      <c r="M922" s="9">
        <v>0</v>
      </c>
      <c r="N922" s="12">
        <v>22.866</v>
      </c>
      <c r="O922" s="11">
        <v>34.670833333333299</v>
      </c>
      <c r="P922" s="33">
        <v>0.215</v>
      </c>
      <c r="Q922" s="33">
        <v>1.573</v>
      </c>
      <c r="R922" s="1" t="s">
        <v>280</v>
      </c>
      <c r="T922" s="71" t="s">
        <v>626</v>
      </c>
    </row>
    <row r="923" spans="1:20" ht="12.75" customHeight="1">
      <c r="A923" s="1" t="s">
        <v>474</v>
      </c>
      <c r="B923" s="1">
        <v>67</v>
      </c>
      <c r="C923" s="1" t="s">
        <v>511</v>
      </c>
      <c r="D923" s="5">
        <v>43581</v>
      </c>
      <c r="E923" s="1">
        <f t="shared" si="66"/>
        <v>2019</v>
      </c>
      <c r="F923" s="1">
        <f t="shared" si="67"/>
        <v>4</v>
      </c>
      <c r="G923" s="4">
        <f t="shared" si="68"/>
        <v>26</v>
      </c>
      <c r="H923" s="8">
        <v>0.44791666666666669</v>
      </c>
      <c r="I923" s="11">
        <v>125.72116666666599</v>
      </c>
      <c r="J923" s="11">
        <v>28.678000000000001</v>
      </c>
      <c r="K923" s="9">
        <v>5</v>
      </c>
      <c r="L923" s="9">
        <v>5</v>
      </c>
      <c r="M923" s="9">
        <v>0</v>
      </c>
      <c r="N923" s="12">
        <v>19.735999999999898</v>
      </c>
      <c r="O923" s="11">
        <v>33.512999999999998</v>
      </c>
      <c r="P923" s="33">
        <v>-5.2999999999999999E-2</v>
      </c>
      <c r="Q923" s="33">
        <v>-0.11</v>
      </c>
      <c r="R923" s="1" t="s">
        <v>280</v>
      </c>
      <c r="T923" s="71" t="s">
        <v>626</v>
      </c>
    </row>
    <row r="924" spans="1:20" ht="12.75" customHeight="1">
      <c r="A924" s="1" t="s">
        <v>474</v>
      </c>
      <c r="B924" s="1">
        <v>68</v>
      </c>
      <c r="C924" s="1" t="s">
        <v>511</v>
      </c>
      <c r="D924" s="5">
        <v>43581</v>
      </c>
      <c r="E924" s="1">
        <f t="shared" si="66"/>
        <v>2019</v>
      </c>
      <c r="F924" s="1">
        <f t="shared" si="67"/>
        <v>4</v>
      </c>
      <c r="G924" s="4">
        <f t="shared" si="68"/>
        <v>26</v>
      </c>
      <c r="H924" s="8">
        <v>0.59236111111111112</v>
      </c>
      <c r="I924" s="11">
        <v>126.1965</v>
      </c>
      <c r="J924" s="11">
        <v>28.754000000000001</v>
      </c>
      <c r="K924" s="9">
        <v>5</v>
      </c>
      <c r="L924" s="9">
        <v>5</v>
      </c>
      <c r="M924" s="9">
        <v>0</v>
      </c>
      <c r="N924" s="12">
        <v>20.867666666666601</v>
      </c>
      <c r="O924" s="11">
        <v>33.9583333333333</v>
      </c>
      <c r="P924" s="33">
        <v>3.3000000000000002E-2</v>
      </c>
      <c r="Q924" s="33">
        <v>0.58199999999999996</v>
      </c>
      <c r="R924" s="1" t="s">
        <v>280</v>
      </c>
      <c r="T924" s="71" t="s">
        <v>626</v>
      </c>
    </row>
    <row r="925" spans="1:20" ht="12.75" customHeight="1">
      <c r="A925" s="1" t="s">
        <v>474</v>
      </c>
      <c r="B925" s="1">
        <v>69</v>
      </c>
      <c r="C925" s="1" t="s">
        <v>511</v>
      </c>
      <c r="D925" s="5">
        <v>43581</v>
      </c>
      <c r="E925" s="1">
        <f t="shared" si="66"/>
        <v>2019</v>
      </c>
      <c r="F925" s="1">
        <f t="shared" si="67"/>
        <v>4</v>
      </c>
      <c r="G925" s="4">
        <f t="shared" si="68"/>
        <v>26</v>
      </c>
      <c r="H925" s="8">
        <v>0.75694444444444453</v>
      </c>
      <c r="I925" s="11">
        <v>126.25</v>
      </c>
      <c r="J925" s="11">
        <v>29.248999999999999</v>
      </c>
      <c r="K925" s="9">
        <v>5</v>
      </c>
      <c r="L925" s="9">
        <v>5</v>
      </c>
      <c r="M925" s="9">
        <v>0</v>
      </c>
      <c r="N925" s="12">
        <v>18.787666666666599</v>
      </c>
      <c r="O925" s="11">
        <v>33.129166666666599</v>
      </c>
      <c r="P925" s="33">
        <v>-0.13600000000000001</v>
      </c>
      <c r="Q925" s="33">
        <v>-0.75600000000000001</v>
      </c>
      <c r="R925" s="1" t="s">
        <v>280</v>
      </c>
      <c r="T925" s="71" t="s">
        <v>626</v>
      </c>
    </row>
    <row r="926" spans="1:20" ht="12.75" customHeight="1">
      <c r="A926" s="1" t="s">
        <v>474</v>
      </c>
      <c r="B926" s="1">
        <v>70</v>
      </c>
      <c r="C926" s="1" t="s">
        <v>511</v>
      </c>
      <c r="D926" s="5">
        <v>43581.931620370371</v>
      </c>
      <c r="E926" s="1">
        <f t="shared" si="66"/>
        <v>2019</v>
      </c>
      <c r="F926" s="1">
        <f t="shared" si="67"/>
        <v>4</v>
      </c>
      <c r="G926" s="4">
        <f t="shared" si="68"/>
        <v>26</v>
      </c>
      <c r="H926" s="8">
        <v>0.93125000000000002</v>
      </c>
      <c r="I926" s="11">
        <v>126.253</v>
      </c>
      <c r="J926" s="11">
        <v>29.7455</v>
      </c>
      <c r="K926" s="9">
        <v>5</v>
      </c>
      <c r="L926" s="9">
        <v>5</v>
      </c>
      <c r="M926" s="9">
        <v>0</v>
      </c>
      <c r="N926" s="12">
        <v>17.331</v>
      </c>
      <c r="O926" s="11">
        <v>32.126666666666594</v>
      </c>
      <c r="P926" s="33">
        <v>-0.39100000000000001</v>
      </c>
      <c r="Q926" s="33">
        <v>-2.3420000000000001</v>
      </c>
      <c r="R926" s="1" t="s">
        <v>280</v>
      </c>
      <c r="T926" s="71" t="s">
        <v>626</v>
      </c>
    </row>
    <row r="927" spans="1:20" ht="12.75" customHeight="1">
      <c r="A927" s="1" t="s">
        <v>474</v>
      </c>
      <c r="B927" s="1">
        <v>71</v>
      </c>
      <c r="C927" s="1" t="s">
        <v>511</v>
      </c>
      <c r="D927" s="5">
        <v>43582</v>
      </c>
      <c r="E927" s="1">
        <f t="shared" si="66"/>
        <v>2019</v>
      </c>
      <c r="F927" s="1">
        <f t="shared" si="67"/>
        <v>4</v>
      </c>
      <c r="G927" s="4">
        <f t="shared" si="68"/>
        <v>27</v>
      </c>
      <c r="H927" s="8">
        <v>0.11388888888888889</v>
      </c>
      <c r="I927" s="11">
        <v>126.251</v>
      </c>
      <c r="J927" s="11">
        <v>30.211666666666599</v>
      </c>
      <c r="K927" s="9">
        <v>5</v>
      </c>
      <c r="L927" s="9">
        <v>5</v>
      </c>
      <c r="M927" s="9">
        <v>0</v>
      </c>
      <c r="N927" s="12">
        <v>16.147666666666598</v>
      </c>
      <c r="O927" s="11">
        <v>34.095666666666595</v>
      </c>
      <c r="P927" s="33">
        <v>9.8000000000000004E-2</v>
      </c>
      <c r="Q927" s="33">
        <v>0.77800000000000002</v>
      </c>
      <c r="R927" s="1" t="s">
        <v>280</v>
      </c>
      <c r="T927" s="71" t="s">
        <v>626</v>
      </c>
    </row>
    <row r="928" spans="1:20" ht="12.75" customHeight="1">
      <c r="A928" s="26" t="s">
        <v>164</v>
      </c>
      <c r="B928" s="1">
        <v>16</v>
      </c>
      <c r="C928" s="1" t="s">
        <v>515</v>
      </c>
      <c r="D928" s="25">
        <v>42620</v>
      </c>
      <c r="E928" s="19">
        <f t="shared" si="66"/>
        <v>2016</v>
      </c>
      <c r="F928" s="19">
        <f t="shared" si="67"/>
        <v>9</v>
      </c>
      <c r="G928" s="30">
        <f t="shared" si="68"/>
        <v>7</v>
      </c>
      <c r="H928" s="29">
        <v>0.38958333333333334</v>
      </c>
      <c r="I928" s="22">
        <v>133.65811666666667</v>
      </c>
      <c r="J928" s="22">
        <v>38.997999999999998</v>
      </c>
      <c r="K928" s="27">
        <v>10</v>
      </c>
      <c r="L928" s="27">
        <v>10</v>
      </c>
      <c r="M928" s="27" t="s">
        <v>287</v>
      </c>
      <c r="N928" s="21">
        <v>21.568000000000001</v>
      </c>
      <c r="O928" s="22">
        <v>33.2226</v>
      </c>
      <c r="P928" s="20">
        <v>-0.23274601411764717</v>
      </c>
      <c r="Q928" s="20">
        <v>-1.8657341223529409</v>
      </c>
      <c r="R928" s="1" t="s">
        <v>281</v>
      </c>
      <c r="T928" s="71" t="s">
        <v>626</v>
      </c>
    </row>
    <row r="929" spans="1:20" ht="12.75" customHeight="1">
      <c r="A929" s="26" t="s">
        <v>164</v>
      </c>
      <c r="B929" s="1">
        <v>19</v>
      </c>
      <c r="C929" s="1" t="s">
        <v>515</v>
      </c>
      <c r="D929" s="25">
        <v>42620</v>
      </c>
      <c r="E929" s="19">
        <f t="shared" si="66"/>
        <v>2016</v>
      </c>
      <c r="F929" s="19">
        <f t="shared" si="67"/>
        <v>9</v>
      </c>
      <c r="G929" s="30">
        <f t="shared" si="68"/>
        <v>7</v>
      </c>
      <c r="H929" s="29">
        <v>0.64583333333333337</v>
      </c>
      <c r="I929" s="22">
        <v>133.66391666666667</v>
      </c>
      <c r="J929" s="22">
        <v>38.001383333333337</v>
      </c>
      <c r="K929" s="27">
        <v>10</v>
      </c>
      <c r="L929" s="27">
        <v>10</v>
      </c>
      <c r="M929" s="27" t="s">
        <v>287</v>
      </c>
      <c r="N929" s="21">
        <v>24.111000000000001</v>
      </c>
      <c r="O929" s="22">
        <v>33.162999999999997</v>
      </c>
      <c r="P929" s="20">
        <v>-0.17517023058823522</v>
      </c>
      <c r="Q929" s="20">
        <v>-1.4502999717647063</v>
      </c>
      <c r="R929" s="1" t="s">
        <v>281</v>
      </c>
      <c r="T929" s="71" t="s">
        <v>626</v>
      </c>
    </row>
    <row r="930" spans="1:20" ht="12.75" customHeight="1">
      <c r="A930" s="26" t="s">
        <v>164</v>
      </c>
      <c r="B930" s="1">
        <v>22</v>
      </c>
      <c r="C930" s="1" t="s">
        <v>515</v>
      </c>
      <c r="D930" s="25">
        <v>42620</v>
      </c>
      <c r="E930" s="19">
        <f t="shared" ref="E930:E961" si="69">YEAR(D930)</f>
        <v>2016</v>
      </c>
      <c r="F930" s="19">
        <f t="shared" si="67"/>
        <v>9</v>
      </c>
      <c r="G930" s="30">
        <f t="shared" si="68"/>
        <v>7</v>
      </c>
      <c r="H930" s="29">
        <v>0.89861111111111114</v>
      </c>
      <c r="I930" s="22">
        <v>133.65493333333333</v>
      </c>
      <c r="J930" s="22">
        <v>37.007266666666666</v>
      </c>
      <c r="K930" s="27">
        <v>10</v>
      </c>
      <c r="L930" s="27">
        <v>10</v>
      </c>
      <c r="M930" s="27" t="s">
        <v>287</v>
      </c>
      <c r="N930" s="21">
        <v>24.692</v>
      </c>
      <c r="O930" s="22">
        <v>33.317999999999998</v>
      </c>
      <c r="P930" s="20">
        <v>-0.12549116705882368</v>
      </c>
      <c r="Q930" s="20">
        <v>-1.3778477411764714</v>
      </c>
      <c r="R930" s="1" t="s">
        <v>281</v>
      </c>
      <c r="T930" s="71" t="s">
        <v>626</v>
      </c>
    </row>
    <row r="931" spans="1:20" ht="12.75" customHeight="1">
      <c r="A931" s="26" t="s">
        <v>164</v>
      </c>
      <c r="B931" s="1">
        <v>25</v>
      </c>
      <c r="C931" s="1" t="s">
        <v>515</v>
      </c>
      <c r="D931" s="25">
        <v>42621</v>
      </c>
      <c r="E931" s="19">
        <f t="shared" si="69"/>
        <v>2016</v>
      </c>
      <c r="F931" s="19">
        <f t="shared" si="67"/>
        <v>9</v>
      </c>
      <c r="G931" s="30">
        <f t="shared" si="68"/>
        <v>8</v>
      </c>
      <c r="H931" s="29">
        <v>0.27708333333333335</v>
      </c>
      <c r="I931" s="22">
        <v>133.66526666666667</v>
      </c>
      <c r="J931" s="22">
        <v>36.000950000000003</v>
      </c>
      <c r="K931" s="27">
        <v>10</v>
      </c>
      <c r="L931" s="27">
        <v>10</v>
      </c>
      <c r="M931" s="27" t="s">
        <v>287</v>
      </c>
      <c r="N931" s="21">
        <v>24.652000000000001</v>
      </c>
      <c r="O931" s="22">
        <v>32.862000000000002</v>
      </c>
      <c r="P931" s="20">
        <v>-0.19203562352941161</v>
      </c>
      <c r="Q931" s="20">
        <v>-1.5860703505882343</v>
      </c>
      <c r="R931" s="1" t="s">
        <v>281</v>
      </c>
      <c r="T931" s="71" t="s">
        <v>626</v>
      </c>
    </row>
    <row r="932" spans="1:20" ht="12.75" customHeight="1">
      <c r="A932" s="26" t="s">
        <v>165</v>
      </c>
      <c r="B932" s="1">
        <v>22</v>
      </c>
      <c r="C932" s="1" t="s">
        <v>515</v>
      </c>
      <c r="D932" s="25">
        <v>42688</v>
      </c>
      <c r="E932" s="19">
        <f t="shared" si="69"/>
        <v>2016</v>
      </c>
      <c r="F932" s="19">
        <f t="shared" si="67"/>
        <v>11</v>
      </c>
      <c r="G932" s="30">
        <f t="shared" si="68"/>
        <v>14</v>
      </c>
      <c r="H932" s="29">
        <v>0.9555555555555556</v>
      </c>
      <c r="I932" s="22">
        <v>133.66816666666668</v>
      </c>
      <c r="J932" s="22">
        <v>36.998600000000003</v>
      </c>
      <c r="K932" s="27">
        <v>10</v>
      </c>
      <c r="L932" s="27">
        <v>10</v>
      </c>
      <c r="M932" s="27" t="s">
        <v>287</v>
      </c>
      <c r="N932" s="21">
        <v>17.12</v>
      </c>
      <c r="O932" s="22">
        <v>33.479999999999997</v>
      </c>
      <c r="P932" s="20">
        <v>-3.0516136470588373E-2</v>
      </c>
      <c r="Q932" s="20">
        <v>-0.58156256941176387</v>
      </c>
      <c r="R932" s="1" t="s">
        <v>281</v>
      </c>
      <c r="T932" s="71" t="s">
        <v>626</v>
      </c>
    </row>
    <row r="933" spans="1:20" ht="12.75" customHeight="1">
      <c r="A933" s="26" t="s">
        <v>165</v>
      </c>
      <c r="B933" s="1">
        <v>25</v>
      </c>
      <c r="C933" s="1" t="s">
        <v>515</v>
      </c>
      <c r="D933" s="25">
        <v>42689</v>
      </c>
      <c r="E933" s="19">
        <f t="shared" si="69"/>
        <v>2016</v>
      </c>
      <c r="F933" s="19">
        <f t="shared" si="67"/>
        <v>11</v>
      </c>
      <c r="G933" s="30">
        <f t="shared" si="68"/>
        <v>15</v>
      </c>
      <c r="H933" s="29">
        <v>0.18819444444444444</v>
      </c>
      <c r="I933" s="22">
        <v>133.66608333333335</v>
      </c>
      <c r="J933" s="22">
        <v>36.00651666666667</v>
      </c>
      <c r="K933" s="27">
        <v>10</v>
      </c>
      <c r="L933" s="27">
        <v>10</v>
      </c>
      <c r="M933" s="27" t="s">
        <v>287</v>
      </c>
      <c r="N933" s="21">
        <v>18.350000000000001</v>
      </c>
      <c r="O933" s="22">
        <v>33.340000000000003</v>
      </c>
      <c r="P933" s="20">
        <v>-6.9928272941176539E-2</v>
      </c>
      <c r="Q933" s="20">
        <v>-0.78763665882352907</v>
      </c>
      <c r="R933" s="1" t="s">
        <v>281</v>
      </c>
      <c r="T933" s="71" t="s">
        <v>626</v>
      </c>
    </row>
    <row r="934" spans="1:20" ht="12.75" customHeight="1">
      <c r="A934" s="26" t="s">
        <v>166</v>
      </c>
      <c r="B934" s="18">
        <v>16</v>
      </c>
      <c r="C934" s="1" t="s">
        <v>515</v>
      </c>
      <c r="D934" s="25">
        <v>42794</v>
      </c>
      <c r="E934" s="19">
        <f t="shared" si="69"/>
        <v>2017</v>
      </c>
      <c r="F934" s="19">
        <v>2</v>
      </c>
      <c r="G934" s="30">
        <v>28</v>
      </c>
      <c r="H934" s="29">
        <v>0.40902777777777777</v>
      </c>
      <c r="I934" s="22">
        <v>133.66283333333334</v>
      </c>
      <c r="J934" s="22">
        <v>39.003583333333331</v>
      </c>
      <c r="K934" s="27">
        <v>10</v>
      </c>
      <c r="L934" s="27">
        <v>10</v>
      </c>
      <c r="M934" s="27" t="s">
        <v>287</v>
      </c>
      <c r="N934" s="21">
        <v>10.352</v>
      </c>
      <c r="O934" s="24">
        <v>34.078000000000003</v>
      </c>
      <c r="P934" s="23">
        <v>0.22829875294117641</v>
      </c>
      <c r="Q934" s="23">
        <v>0.44980793098039218</v>
      </c>
      <c r="R934" s="18" t="s">
        <v>282</v>
      </c>
      <c r="S934" s="18"/>
      <c r="T934" s="71" t="s">
        <v>626</v>
      </c>
    </row>
    <row r="935" spans="1:20" ht="12.75" customHeight="1">
      <c r="A935" s="26" t="s">
        <v>166</v>
      </c>
      <c r="B935" s="18">
        <v>19</v>
      </c>
      <c r="C935" s="1" t="s">
        <v>515</v>
      </c>
      <c r="D935" s="25">
        <v>42794</v>
      </c>
      <c r="E935" s="19">
        <f t="shared" si="69"/>
        <v>2017</v>
      </c>
      <c r="F935" s="19">
        <v>2</v>
      </c>
      <c r="G935" s="30">
        <v>28</v>
      </c>
      <c r="H935" s="29">
        <v>0.66388888888888886</v>
      </c>
      <c r="I935" s="22">
        <v>133.66866666666667</v>
      </c>
      <c r="J935" s="22">
        <v>38.009616666666666</v>
      </c>
      <c r="K935" s="27">
        <v>10</v>
      </c>
      <c r="L935" s="27">
        <v>10</v>
      </c>
      <c r="M935" s="27" t="s">
        <v>287</v>
      </c>
      <c r="N935" s="21">
        <v>11.539</v>
      </c>
      <c r="O935" s="24">
        <v>34.283000000000001</v>
      </c>
      <c r="P935" s="23">
        <v>0.17033374117647049</v>
      </c>
      <c r="Q935" s="23">
        <v>0.74235095372548887</v>
      </c>
      <c r="R935" s="18" t="s">
        <v>282</v>
      </c>
      <c r="S935" s="18"/>
      <c r="T935" s="71" t="s">
        <v>626</v>
      </c>
    </row>
    <row r="936" spans="1:20" ht="12.75" customHeight="1">
      <c r="A936" s="26" t="s">
        <v>166</v>
      </c>
      <c r="B936" s="18">
        <v>22</v>
      </c>
      <c r="C936" s="1" t="s">
        <v>515</v>
      </c>
      <c r="D936" s="25">
        <v>42794</v>
      </c>
      <c r="E936" s="19">
        <f t="shared" si="69"/>
        <v>2017</v>
      </c>
      <c r="F936" s="19">
        <v>2</v>
      </c>
      <c r="G936" s="30">
        <v>28</v>
      </c>
      <c r="H936" s="29">
        <v>0.92222222222222217</v>
      </c>
      <c r="I936" s="22">
        <v>133.66849999999999</v>
      </c>
      <c r="J936" s="22">
        <v>37.004333333333335</v>
      </c>
      <c r="K936" s="27">
        <v>10</v>
      </c>
      <c r="L936" s="27">
        <v>10</v>
      </c>
      <c r="M936" s="27" t="s">
        <v>287</v>
      </c>
      <c r="N936" s="21">
        <v>11.999000000000001</v>
      </c>
      <c r="O936" s="24">
        <v>34.4</v>
      </c>
      <c r="P936" s="23">
        <v>0.2630849176470591</v>
      </c>
      <c r="Q936" s="23">
        <v>0.99421179921568648</v>
      </c>
      <c r="R936" s="18" t="s">
        <v>282</v>
      </c>
      <c r="S936" s="18"/>
      <c r="T936" s="71" t="s">
        <v>626</v>
      </c>
    </row>
    <row r="937" spans="1:20" ht="12.75" customHeight="1">
      <c r="A937" s="26" t="s">
        <v>166</v>
      </c>
      <c r="B937" s="18">
        <v>25</v>
      </c>
      <c r="C937" s="1" t="s">
        <v>515</v>
      </c>
      <c r="D937" s="25">
        <v>42795</v>
      </c>
      <c r="E937" s="19">
        <f t="shared" si="69"/>
        <v>2017</v>
      </c>
      <c r="F937" s="19">
        <f>MONTH(D937)</f>
        <v>3</v>
      </c>
      <c r="G937" s="30">
        <v>1</v>
      </c>
      <c r="H937" s="29">
        <v>0.78680555555555554</v>
      </c>
      <c r="I937" s="22">
        <v>133.66733333333335</v>
      </c>
      <c r="J937" s="22">
        <v>35.998933333333333</v>
      </c>
      <c r="K937" s="27">
        <v>10</v>
      </c>
      <c r="L937" s="27">
        <v>10</v>
      </c>
      <c r="M937" s="27" t="s">
        <v>287</v>
      </c>
      <c r="N937" s="21">
        <v>13.212</v>
      </c>
      <c r="O937" s="24">
        <v>34.533000000000001</v>
      </c>
      <c r="P937" s="23">
        <v>0.27735249411764751</v>
      </c>
      <c r="Q937" s="23">
        <v>1.3579946180392133</v>
      </c>
      <c r="R937" s="18" t="s">
        <v>282</v>
      </c>
      <c r="S937" s="18"/>
      <c r="T937" s="71" t="s">
        <v>626</v>
      </c>
    </row>
    <row r="938" spans="1:20" ht="12.75" customHeight="1">
      <c r="A938" s="26" t="s">
        <v>168</v>
      </c>
      <c r="B938" s="18">
        <v>19</v>
      </c>
      <c r="C938" s="1" t="s">
        <v>515</v>
      </c>
      <c r="D938" s="25">
        <v>42886</v>
      </c>
      <c r="E938" s="19">
        <f t="shared" si="69"/>
        <v>2017</v>
      </c>
      <c r="F938" s="19">
        <v>5</v>
      </c>
      <c r="G938" s="30">
        <v>31</v>
      </c>
      <c r="H938" s="29">
        <v>0.3666666666666667</v>
      </c>
      <c r="I938" s="22">
        <v>133.66758333333334</v>
      </c>
      <c r="J938" s="22">
        <v>38.000599999999999</v>
      </c>
      <c r="K938" s="27">
        <v>10</v>
      </c>
      <c r="L938" s="27">
        <v>10</v>
      </c>
      <c r="M938" s="27" t="s">
        <v>287</v>
      </c>
      <c r="N938" s="21">
        <v>16.745999999999999</v>
      </c>
      <c r="O938" s="24">
        <v>34.225999999999999</v>
      </c>
      <c r="P938" s="23">
        <v>0.19560023529411752</v>
      </c>
      <c r="Q938" s="23">
        <v>0.66005538509803952</v>
      </c>
      <c r="R938" s="18" t="s">
        <v>282</v>
      </c>
      <c r="S938" s="18"/>
      <c r="T938" s="71" t="s">
        <v>626</v>
      </c>
    </row>
    <row r="939" spans="1:20" ht="12.75" customHeight="1">
      <c r="A939" s="26" t="s">
        <v>168</v>
      </c>
      <c r="B939" s="18">
        <v>22</v>
      </c>
      <c r="C939" s="1" t="s">
        <v>515</v>
      </c>
      <c r="D939" s="25">
        <v>42886</v>
      </c>
      <c r="E939" s="19">
        <f t="shared" si="69"/>
        <v>2017</v>
      </c>
      <c r="F939" s="19">
        <v>5</v>
      </c>
      <c r="G939" s="30">
        <v>31</v>
      </c>
      <c r="H939" s="29">
        <v>0.61805555555555558</v>
      </c>
      <c r="I939" s="22">
        <v>133.67148333333333</v>
      </c>
      <c r="J939" s="22">
        <v>37.001616666666663</v>
      </c>
      <c r="K939" s="27">
        <v>10</v>
      </c>
      <c r="L939" s="27">
        <v>10</v>
      </c>
      <c r="M939" s="27" t="s">
        <v>287</v>
      </c>
      <c r="N939" s="21">
        <v>17.084</v>
      </c>
      <c r="O939" s="24">
        <v>34.459000000000003</v>
      </c>
      <c r="P939" s="23">
        <v>0.25448381176470614</v>
      </c>
      <c r="Q939" s="23">
        <v>1.2634476439215669</v>
      </c>
      <c r="R939" s="18" t="s">
        <v>282</v>
      </c>
      <c r="S939" s="18"/>
      <c r="T939" s="71" t="s">
        <v>626</v>
      </c>
    </row>
    <row r="940" spans="1:20" ht="12.75" customHeight="1">
      <c r="A940" s="26" t="s">
        <v>168</v>
      </c>
      <c r="B940" s="18">
        <v>25</v>
      </c>
      <c r="C940" s="1" t="s">
        <v>515</v>
      </c>
      <c r="D940" s="25">
        <v>42887</v>
      </c>
      <c r="E940" s="19">
        <f t="shared" si="69"/>
        <v>2017</v>
      </c>
      <c r="F940" s="19">
        <v>6</v>
      </c>
      <c r="G940" s="30">
        <v>1</v>
      </c>
      <c r="H940" s="29">
        <v>0.15972222222222224</v>
      </c>
      <c r="I940" s="22">
        <v>133.66903333333335</v>
      </c>
      <c r="J940" s="22">
        <v>35.996466666666663</v>
      </c>
      <c r="K940" s="28">
        <v>10</v>
      </c>
      <c r="L940" s="28">
        <v>10</v>
      </c>
      <c r="M940" s="27" t="s">
        <v>287</v>
      </c>
      <c r="N940" s="21">
        <v>18.709</v>
      </c>
      <c r="O940" s="24">
        <v>34.697000000000003</v>
      </c>
      <c r="P940" s="23">
        <v>0.34885738823529455</v>
      </c>
      <c r="Q940" s="23">
        <v>1.7316605694117646</v>
      </c>
      <c r="R940" s="18" t="s">
        <v>282</v>
      </c>
      <c r="S940" s="18"/>
      <c r="T940" s="71" t="s">
        <v>626</v>
      </c>
    </row>
    <row r="941" spans="1:20" ht="12.75" customHeight="1">
      <c r="A941" s="26" t="s">
        <v>167</v>
      </c>
      <c r="B941" s="18">
        <v>16</v>
      </c>
      <c r="C941" s="1" t="s">
        <v>515</v>
      </c>
      <c r="D941" s="25">
        <v>42984</v>
      </c>
      <c r="E941" s="19">
        <f t="shared" si="69"/>
        <v>2017</v>
      </c>
      <c r="F941" s="19">
        <f t="shared" ref="F941:F946" si="70">MONTH(D941)</f>
        <v>9</v>
      </c>
      <c r="G941" s="30">
        <v>6</v>
      </c>
      <c r="H941" s="29">
        <v>0.42708333333333331</v>
      </c>
      <c r="I941" s="22">
        <v>133.66601666666668</v>
      </c>
      <c r="J941" s="22">
        <v>39.001483333333333</v>
      </c>
      <c r="K941" s="27">
        <v>10</v>
      </c>
      <c r="L941" s="27">
        <v>10</v>
      </c>
      <c r="M941" s="27" t="s">
        <v>287</v>
      </c>
      <c r="N941" s="21">
        <v>23.494</v>
      </c>
      <c r="O941" s="24">
        <v>33.759</v>
      </c>
      <c r="P941" s="23">
        <v>1.9331247058823602E-2</v>
      </c>
      <c r="Q941" s="23">
        <v>-0.58916643764705801</v>
      </c>
      <c r="R941" s="18" t="s">
        <v>282</v>
      </c>
      <c r="S941" s="18"/>
      <c r="T941" s="71" t="s">
        <v>626</v>
      </c>
    </row>
    <row r="942" spans="1:20" ht="12.75" customHeight="1">
      <c r="A942" s="26" t="s">
        <v>167</v>
      </c>
      <c r="B942" s="18">
        <v>19</v>
      </c>
      <c r="C942" s="1" t="s">
        <v>515</v>
      </c>
      <c r="D942" s="25">
        <v>42984</v>
      </c>
      <c r="E942" s="19">
        <f t="shared" si="69"/>
        <v>2017</v>
      </c>
      <c r="F942" s="19">
        <f t="shared" si="70"/>
        <v>9</v>
      </c>
      <c r="G942" s="30">
        <v>6</v>
      </c>
      <c r="H942" s="29">
        <v>0.67708333333333337</v>
      </c>
      <c r="I942" s="22">
        <v>133.6636</v>
      </c>
      <c r="J942" s="22">
        <v>37.999466666666663</v>
      </c>
      <c r="K942" s="27">
        <v>10</v>
      </c>
      <c r="L942" s="27">
        <v>10</v>
      </c>
      <c r="M942" s="27" t="s">
        <v>287</v>
      </c>
      <c r="N942" s="21">
        <v>24.276</v>
      </c>
      <c r="O942" s="24">
        <v>33.603900000000003</v>
      </c>
      <c r="P942" s="23">
        <v>9.5491294117646675E-3</v>
      </c>
      <c r="Q942" s="23">
        <v>-0.54543386352941248</v>
      </c>
      <c r="R942" s="18" t="s">
        <v>282</v>
      </c>
      <c r="S942" s="18"/>
      <c r="T942" s="71" t="s">
        <v>626</v>
      </c>
    </row>
    <row r="943" spans="1:20" ht="12.75" customHeight="1">
      <c r="A943" s="26" t="s">
        <v>167</v>
      </c>
      <c r="B943" s="18">
        <v>22</v>
      </c>
      <c r="C943" s="1" t="s">
        <v>515</v>
      </c>
      <c r="D943" s="25">
        <v>42984</v>
      </c>
      <c r="E943" s="19">
        <f t="shared" si="69"/>
        <v>2017</v>
      </c>
      <c r="F943" s="19">
        <f t="shared" si="70"/>
        <v>9</v>
      </c>
      <c r="G943" s="30">
        <v>6</v>
      </c>
      <c r="H943" s="29">
        <v>0.92361111111111116</v>
      </c>
      <c r="I943" s="22">
        <v>133.66848333333334</v>
      </c>
      <c r="J943" s="22">
        <v>36.998266666666666</v>
      </c>
      <c r="K943" s="27">
        <v>10</v>
      </c>
      <c r="L943" s="27">
        <v>10</v>
      </c>
      <c r="M943" s="27" t="s">
        <v>287</v>
      </c>
      <c r="N943" s="21">
        <v>25.731000000000002</v>
      </c>
      <c r="O943" s="24">
        <v>33.4345</v>
      </c>
      <c r="P943" s="23">
        <v>-6.500969411764701E-2</v>
      </c>
      <c r="Q943" s="23">
        <v>-0.74393192470588243</v>
      </c>
      <c r="R943" s="18" t="s">
        <v>282</v>
      </c>
      <c r="S943" s="18"/>
      <c r="T943" s="71" t="s">
        <v>626</v>
      </c>
    </row>
    <row r="944" spans="1:20" ht="12.75" customHeight="1">
      <c r="A944" s="26" t="s">
        <v>167</v>
      </c>
      <c r="B944" s="18">
        <v>25</v>
      </c>
      <c r="C944" s="1" t="s">
        <v>515</v>
      </c>
      <c r="D944" s="25">
        <v>42985</v>
      </c>
      <c r="E944" s="19">
        <f t="shared" si="69"/>
        <v>2017</v>
      </c>
      <c r="F944" s="19">
        <f t="shared" si="70"/>
        <v>9</v>
      </c>
      <c r="G944" s="30">
        <v>7</v>
      </c>
      <c r="H944" s="29">
        <v>0.18472222222222223</v>
      </c>
      <c r="I944" s="22">
        <v>133.67123333333333</v>
      </c>
      <c r="J944" s="22">
        <v>36.006933333333336</v>
      </c>
      <c r="K944" s="28">
        <v>10</v>
      </c>
      <c r="L944" s="28">
        <v>10</v>
      </c>
      <c r="M944" s="27" t="s">
        <v>287</v>
      </c>
      <c r="N944" s="21">
        <v>26.152999999999999</v>
      </c>
      <c r="O944" s="24">
        <v>32.7348</v>
      </c>
      <c r="P944" s="23">
        <v>-0.14626091764705862</v>
      </c>
      <c r="Q944" s="23">
        <v>-1.7845157992156873</v>
      </c>
      <c r="R944" s="18" t="s">
        <v>282</v>
      </c>
      <c r="S944" s="18"/>
      <c r="T944" s="71" t="s">
        <v>626</v>
      </c>
    </row>
    <row r="945" spans="1:20" ht="12.75" customHeight="1">
      <c r="A945" s="26" t="s">
        <v>169</v>
      </c>
      <c r="B945" s="18">
        <v>19</v>
      </c>
      <c r="C945" s="1" t="s">
        <v>515</v>
      </c>
      <c r="D945" s="25">
        <v>43046</v>
      </c>
      <c r="E945" s="19">
        <f t="shared" si="69"/>
        <v>2017</v>
      </c>
      <c r="F945" s="19">
        <f t="shared" si="70"/>
        <v>11</v>
      </c>
      <c r="G945" s="30">
        <v>7</v>
      </c>
      <c r="H945" s="29">
        <v>0.11319444444444444</v>
      </c>
      <c r="I945" s="22">
        <v>133.65305000000001</v>
      </c>
      <c r="J945" s="22">
        <v>37.986466666666665</v>
      </c>
      <c r="K945" s="27">
        <v>10</v>
      </c>
      <c r="L945" s="27">
        <v>10</v>
      </c>
      <c r="M945" s="27" t="s">
        <v>287</v>
      </c>
      <c r="N945" s="21">
        <v>19.213000000000001</v>
      </c>
      <c r="O945" s="24">
        <v>33.703000000000003</v>
      </c>
      <c r="P945" s="23">
        <v>7.6389623529411699E-2</v>
      </c>
      <c r="Q945" s="23">
        <v>-0.26655631215686437</v>
      </c>
      <c r="R945" s="18" t="s">
        <v>282</v>
      </c>
      <c r="S945" s="18"/>
      <c r="T945" s="71" t="s">
        <v>626</v>
      </c>
    </row>
    <row r="946" spans="1:20" ht="12.75" customHeight="1">
      <c r="A946" s="26" t="s">
        <v>169</v>
      </c>
      <c r="B946" s="18">
        <v>22</v>
      </c>
      <c r="C946" s="1" t="s">
        <v>515</v>
      </c>
      <c r="D946" s="25">
        <v>43046</v>
      </c>
      <c r="E946" s="19">
        <f t="shared" si="69"/>
        <v>2017</v>
      </c>
      <c r="F946" s="19">
        <f t="shared" si="70"/>
        <v>11</v>
      </c>
      <c r="G946" s="30">
        <v>7</v>
      </c>
      <c r="H946" s="29">
        <v>0.43888888888888888</v>
      </c>
      <c r="I946" s="22">
        <v>133.6729</v>
      </c>
      <c r="J946" s="22">
        <v>37.00268333333333</v>
      </c>
      <c r="K946" s="27">
        <v>10</v>
      </c>
      <c r="L946" s="27">
        <v>10</v>
      </c>
      <c r="M946" s="27" t="s">
        <v>287</v>
      </c>
      <c r="N946" s="21">
        <v>18.689</v>
      </c>
      <c r="O946" s="24">
        <v>33.735100000000003</v>
      </c>
      <c r="P946" s="23">
        <v>-4.6587999999996299E-3</v>
      </c>
      <c r="Q946" s="23">
        <v>-0.42049405333333478</v>
      </c>
      <c r="R946" s="18" t="s">
        <v>282</v>
      </c>
      <c r="S946" s="18"/>
      <c r="T946" s="71" t="s">
        <v>626</v>
      </c>
    </row>
    <row r="947" spans="1:20" ht="12.75" customHeight="1">
      <c r="A947" s="26" t="s">
        <v>169</v>
      </c>
      <c r="B947" s="18">
        <v>25</v>
      </c>
      <c r="C947" s="1" t="s">
        <v>515</v>
      </c>
      <c r="D947" s="25">
        <v>43039</v>
      </c>
      <c r="E947" s="19">
        <f t="shared" si="69"/>
        <v>2017</v>
      </c>
      <c r="F947" s="19">
        <v>10</v>
      </c>
      <c r="G947" s="30">
        <v>31</v>
      </c>
      <c r="H947" s="29">
        <v>0.86805555555555547</v>
      </c>
      <c r="I947" s="22">
        <v>133.6703</v>
      </c>
      <c r="J947" s="22">
        <v>36.010199999999998</v>
      </c>
      <c r="K947" s="28">
        <v>10</v>
      </c>
      <c r="L947" s="28">
        <v>10</v>
      </c>
      <c r="M947" s="27" t="s">
        <v>287</v>
      </c>
      <c r="N947" s="21">
        <v>20.474</v>
      </c>
      <c r="O947" s="24">
        <v>33.478900000000003</v>
      </c>
      <c r="P947" s="20">
        <v>8.5947764705884833E-3</v>
      </c>
      <c r="Q947" s="20">
        <v>-0.82570248784313716</v>
      </c>
      <c r="R947" s="18" t="s">
        <v>282</v>
      </c>
      <c r="S947" s="18"/>
      <c r="T947" s="71" t="s">
        <v>626</v>
      </c>
    </row>
    <row r="948" spans="1:20" ht="12.75" customHeight="1">
      <c r="A948" s="26" t="s">
        <v>170</v>
      </c>
      <c r="B948" s="26">
        <v>12</v>
      </c>
      <c r="C948" s="1" t="s">
        <v>515</v>
      </c>
      <c r="D948" s="25">
        <v>42681</v>
      </c>
      <c r="E948" s="19">
        <f t="shared" si="69"/>
        <v>2016</v>
      </c>
      <c r="F948" s="19">
        <f t="shared" ref="F948:F982" si="71">MONTH(D948)</f>
        <v>11</v>
      </c>
      <c r="G948" s="30">
        <f t="shared" ref="G948:G982" si="72">DAY(D948)</f>
        <v>7</v>
      </c>
      <c r="H948" s="29">
        <v>0.87013888888888891</v>
      </c>
      <c r="I948" s="22">
        <v>132.32705000000001</v>
      </c>
      <c r="J948" s="22">
        <v>36.003566666666664</v>
      </c>
      <c r="K948" s="27">
        <v>10</v>
      </c>
      <c r="L948" s="27">
        <v>10</v>
      </c>
      <c r="M948" s="27" t="s">
        <v>287</v>
      </c>
      <c r="N948" s="21">
        <v>20.231000000000002</v>
      </c>
      <c r="O948" s="24">
        <v>33.792000000000002</v>
      </c>
      <c r="P948" s="20">
        <v>1.9127858823529298E-2</v>
      </c>
      <c r="Q948" s="20">
        <v>-3.6604835294118843E-2</v>
      </c>
      <c r="R948" s="26" t="s">
        <v>283</v>
      </c>
      <c r="S948" s="26"/>
      <c r="T948" s="71" t="s">
        <v>626</v>
      </c>
    </row>
    <row r="949" spans="1:20" ht="12.75" customHeight="1">
      <c r="A949" s="26" t="s">
        <v>523</v>
      </c>
      <c r="B949" s="26">
        <v>13</v>
      </c>
      <c r="C949" s="1" t="s">
        <v>515</v>
      </c>
      <c r="D949" s="25">
        <v>42821</v>
      </c>
      <c r="E949" s="19">
        <f t="shared" si="69"/>
        <v>2017</v>
      </c>
      <c r="F949" s="19">
        <f t="shared" si="71"/>
        <v>3</v>
      </c>
      <c r="G949" s="30">
        <f t="shared" si="72"/>
        <v>27</v>
      </c>
      <c r="H949" s="29">
        <v>0.93125000000000002</v>
      </c>
      <c r="I949" s="22">
        <v>132.3297</v>
      </c>
      <c r="J949" s="22">
        <v>36.335183333333333</v>
      </c>
      <c r="K949" s="27">
        <v>10</v>
      </c>
      <c r="L949" s="27">
        <v>10</v>
      </c>
      <c r="M949" s="27" t="s">
        <v>287</v>
      </c>
      <c r="N949" s="21">
        <v>12.699</v>
      </c>
      <c r="O949" s="24">
        <v>34.585999999999999</v>
      </c>
      <c r="P949" s="20">
        <v>0.20824227058823519</v>
      </c>
      <c r="Q949" s="20">
        <v>1.0155897776470582</v>
      </c>
      <c r="R949" s="26" t="s">
        <v>283</v>
      </c>
      <c r="S949" s="26"/>
      <c r="T949" s="71" t="s">
        <v>626</v>
      </c>
    </row>
    <row r="950" spans="1:20" ht="12.75" customHeight="1">
      <c r="A950" s="26" t="s">
        <v>523</v>
      </c>
      <c r="B950" s="26">
        <v>12</v>
      </c>
      <c r="C950" s="1" t="s">
        <v>515</v>
      </c>
      <c r="D950" s="25">
        <v>42822</v>
      </c>
      <c r="E950" s="19">
        <f t="shared" si="69"/>
        <v>2017</v>
      </c>
      <c r="F950" s="19">
        <f t="shared" si="71"/>
        <v>3</v>
      </c>
      <c r="G950" s="30">
        <f t="shared" si="72"/>
        <v>28</v>
      </c>
      <c r="H950" s="29">
        <v>3.4027777777777775E-2</v>
      </c>
      <c r="I950" s="22">
        <v>132.33251666666666</v>
      </c>
      <c r="J950" s="22">
        <v>36.005816666666668</v>
      </c>
      <c r="K950" s="27">
        <v>10</v>
      </c>
      <c r="L950" s="27">
        <v>10</v>
      </c>
      <c r="M950" s="27" t="s">
        <v>287</v>
      </c>
      <c r="N950" s="21">
        <v>14.082000000000001</v>
      </c>
      <c r="O950" s="24">
        <v>34.725000000000001</v>
      </c>
      <c r="P950" s="20">
        <v>0.23146348235294112</v>
      </c>
      <c r="Q950" s="20">
        <v>1.2846286505882354</v>
      </c>
      <c r="R950" s="26" t="s">
        <v>283</v>
      </c>
      <c r="S950" s="26"/>
      <c r="T950" s="71" t="s">
        <v>626</v>
      </c>
    </row>
    <row r="951" spans="1:20" ht="12.75" customHeight="1">
      <c r="A951" s="26" t="s">
        <v>523</v>
      </c>
      <c r="B951" s="26">
        <v>11</v>
      </c>
      <c r="C951" s="1" t="s">
        <v>515</v>
      </c>
      <c r="D951" s="25">
        <v>42822</v>
      </c>
      <c r="E951" s="19">
        <f t="shared" si="69"/>
        <v>2017</v>
      </c>
      <c r="F951" s="19">
        <f t="shared" si="71"/>
        <v>3</v>
      </c>
      <c r="G951" s="30">
        <f t="shared" si="72"/>
        <v>28</v>
      </c>
      <c r="H951" s="29">
        <v>0.57986111111111105</v>
      </c>
      <c r="I951" s="22">
        <v>132.33006666666665</v>
      </c>
      <c r="J951" s="22">
        <v>35.667883333333336</v>
      </c>
      <c r="K951" s="27">
        <v>10</v>
      </c>
      <c r="L951" s="27">
        <v>10</v>
      </c>
      <c r="M951" s="27" t="s">
        <v>287</v>
      </c>
      <c r="N951" s="21">
        <v>14.225</v>
      </c>
      <c r="O951" s="24">
        <v>34.747</v>
      </c>
      <c r="P951" s="20">
        <v>0.27465709411764694</v>
      </c>
      <c r="Q951" s="20">
        <v>1.4524699435294117</v>
      </c>
      <c r="R951" s="26" t="s">
        <v>283</v>
      </c>
      <c r="S951" s="26"/>
      <c r="T951" s="71" t="s">
        <v>626</v>
      </c>
    </row>
    <row r="952" spans="1:20" ht="12.75" customHeight="1">
      <c r="A952" s="26" t="s">
        <v>173</v>
      </c>
      <c r="B952" s="26">
        <v>6</v>
      </c>
      <c r="C952" s="1" t="s">
        <v>515</v>
      </c>
      <c r="D952" s="25">
        <v>42928</v>
      </c>
      <c r="E952" s="19">
        <f t="shared" si="69"/>
        <v>2017</v>
      </c>
      <c r="F952" s="19">
        <f t="shared" si="71"/>
        <v>7</v>
      </c>
      <c r="G952" s="30">
        <f t="shared" si="72"/>
        <v>12</v>
      </c>
      <c r="H952" s="29" t="s">
        <v>287</v>
      </c>
      <c r="I952" s="22">
        <v>133.47223333333332</v>
      </c>
      <c r="J952" s="22">
        <v>36.595116666666669</v>
      </c>
      <c r="K952" s="27">
        <v>0</v>
      </c>
      <c r="L952" s="27">
        <v>0</v>
      </c>
      <c r="M952" s="27">
        <v>0</v>
      </c>
      <c r="N952" s="21">
        <v>24</v>
      </c>
      <c r="O952" s="24">
        <v>33.8384</v>
      </c>
      <c r="P952" s="20">
        <v>7.9812305882352552E-2</v>
      </c>
      <c r="Q952" s="20">
        <v>-0.11942588352941286</v>
      </c>
      <c r="R952" s="26" t="s">
        <v>283</v>
      </c>
      <c r="S952" s="26"/>
      <c r="T952" s="71" t="s">
        <v>626</v>
      </c>
    </row>
    <row r="953" spans="1:20" ht="12.75" customHeight="1">
      <c r="A953" s="26" t="s">
        <v>173</v>
      </c>
      <c r="B953" s="26">
        <v>7</v>
      </c>
      <c r="C953" s="1" t="s">
        <v>515</v>
      </c>
      <c r="D953" s="25">
        <v>42928</v>
      </c>
      <c r="E953" s="19">
        <f t="shared" si="69"/>
        <v>2017</v>
      </c>
      <c r="F953" s="19">
        <f t="shared" si="71"/>
        <v>7</v>
      </c>
      <c r="G953" s="30">
        <f t="shared" si="72"/>
        <v>12</v>
      </c>
      <c r="H953" s="29" t="s">
        <v>287</v>
      </c>
      <c r="I953" s="22">
        <v>133.46084999999999</v>
      </c>
      <c r="J953" s="22">
        <v>36.73115</v>
      </c>
      <c r="K953" s="27">
        <v>0</v>
      </c>
      <c r="L953" s="27">
        <v>0</v>
      </c>
      <c r="M953" s="27">
        <v>0</v>
      </c>
      <c r="N953" s="21">
        <v>24</v>
      </c>
      <c r="O953" s="24">
        <v>33.8399</v>
      </c>
      <c r="P953" s="20">
        <v>7.3482517647058376E-2</v>
      </c>
      <c r="Q953" s="20">
        <v>-0.20408919058823294</v>
      </c>
      <c r="R953" s="26" t="s">
        <v>283</v>
      </c>
      <c r="S953" s="26"/>
      <c r="T953" s="71" t="s">
        <v>626</v>
      </c>
    </row>
    <row r="954" spans="1:20" ht="12.75" customHeight="1">
      <c r="A954" s="26" t="s">
        <v>173</v>
      </c>
      <c r="B954" s="26">
        <v>8</v>
      </c>
      <c r="C954" s="1" t="s">
        <v>515</v>
      </c>
      <c r="D954" s="25">
        <v>42929</v>
      </c>
      <c r="E954" s="19">
        <f t="shared" si="69"/>
        <v>2017</v>
      </c>
      <c r="F954" s="19">
        <f t="shared" si="71"/>
        <v>7</v>
      </c>
      <c r="G954" s="30">
        <f t="shared" si="72"/>
        <v>13</v>
      </c>
      <c r="H954" s="29" t="s">
        <v>287</v>
      </c>
      <c r="I954" s="22">
        <v>133.46146666666667</v>
      </c>
      <c r="J954" s="22">
        <v>36.998916666666666</v>
      </c>
      <c r="K954" s="27">
        <v>0</v>
      </c>
      <c r="L954" s="27">
        <v>0</v>
      </c>
      <c r="M954" s="27">
        <v>0</v>
      </c>
      <c r="N954" s="21">
        <v>23.7</v>
      </c>
      <c r="O954" s="24">
        <v>34.3292</v>
      </c>
      <c r="P954" s="20">
        <v>0.17007172941176441</v>
      </c>
      <c r="Q954" s="20">
        <v>0.39105252235294152</v>
      </c>
      <c r="R954" s="26" t="s">
        <v>283</v>
      </c>
      <c r="S954" s="26"/>
      <c r="T954" s="71" t="s">
        <v>626</v>
      </c>
    </row>
    <row r="955" spans="1:20" ht="12.75" customHeight="1">
      <c r="A955" s="26" t="s">
        <v>173</v>
      </c>
      <c r="B955" s="26">
        <v>9</v>
      </c>
      <c r="C955" s="1" t="s">
        <v>515</v>
      </c>
      <c r="D955" s="25">
        <v>42929</v>
      </c>
      <c r="E955" s="19">
        <f t="shared" si="69"/>
        <v>2017</v>
      </c>
      <c r="F955" s="19">
        <f t="shared" si="71"/>
        <v>7</v>
      </c>
      <c r="G955" s="30">
        <f t="shared" si="72"/>
        <v>13</v>
      </c>
      <c r="H955" s="29" t="s">
        <v>287</v>
      </c>
      <c r="I955" s="22">
        <v>133.46446666666668</v>
      </c>
      <c r="J955" s="22">
        <v>37.242683333333332</v>
      </c>
      <c r="K955" s="27">
        <v>0</v>
      </c>
      <c r="L955" s="27">
        <v>0</v>
      </c>
      <c r="M955" s="27">
        <v>0</v>
      </c>
      <c r="N955" s="21">
        <v>23.8</v>
      </c>
      <c r="O955" s="24">
        <v>34.270299999999999</v>
      </c>
      <c r="P955" s="20">
        <v>0.13761957647058809</v>
      </c>
      <c r="Q955" s="20">
        <v>0.27652159411764821</v>
      </c>
      <c r="R955" s="26" t="s">
        <v>283</v>
      </c>
      <c r="S955" s="26"/>
      <c r="T955" s="71" t="s">
        <v>626</v>
      </c>
    </row>
    <row r="956" spans="1:20" ht="12.75" customHeight="1">
      <c r="A956" s="26" t="s">
        <v>524</v>
      </c>
      <c r="B956" s="26">
        <v>52</v>
      </c>
      <c r="C956" s="1" t="s">
        <v>515</v>
      </c>
      <c r="D956" s="25">
        <v>42976</v>
      </c>
      <c r="E956" s="19">
        <f t="shared" si="69"/>
        <v>2017</v>
      </c>
      <c r="F956" s="19">
        <f t="shared" si="71"/>
        <v>8</v>
      </c>
      <c r="G956" s="30">
        <f t="shared" si="72"/>
        <v>29</v>
      </c>
      <c r="H956" s="29">
        <v>42976.190972222219</v>
      </c>
      <c r="I956" s="22">
        <v>132.32753333333332</v>
      </c>
      <c r="J956" s="22">
        <v>37.665216666666666</v>
      </c>
      <c r="K956" s="27">
        <v>0</v>
      </c>
      <c r="L956" s="27">
        <v>0</v>
      </c>
      <c r="M956" s="27">
        <v>0</v>
      </c>
      <c r="N956" s="21">
        <v>26.4</v>
      </c>
      <c r="O956" s="24">
        <v>33.705100000000002</v>
      </c>
      <c r="P956" s="20">
        <v>-3.3584411764705946E-2</v>
      </c>
      <c r="Q956" s="20">
        <v>-0.92151083294117697</v>
      </c>
      <c r="R956" s="26" t="s">
        <v>283</v>
      </c>
      <c r="S956" s="26"/>
      <c r="T956" s="71" t="s">
        <v>626</v>
      </c>
    </row>
    <row r="957" spans="1:20" ht="12.75" customHeight="1">
      <c r="A957" s="26" t="s">
        <v>524</v>
      </c>
      <c r="B957" s="26">
        <v>51</v>
      </c>
      <c r="C957" s="1" t="s">
        <v>515</v>
      </c>
      <c r="D957" s="25">
        <v>42976</v>
      </c>
      <c r="E957" s="19">
        <f t="shared" si="69"/>
        <v>2017</v>
      </c>
      <c r="F957" s="19">
        <f t="shared" si="71"/>
        <v>8</v>
      </c>
      <c r="G957" s="30">
        <f t="shared" si="72"/>
        <v>29</v>
      </c>
      <c r="H957" s="29">
        <v>42976.267361111109</v>
      </c>
      <c r="I957" s="22">
        <v>132.32811666666666</v>
      </c>
      <c r="J957" s="22">
        <v>37.3371</v>
      </c>
      <c r="K957" s="27">
        <v>0</v>
      </c>
      <c r="L957" s="27">
        <v>0</v>
      </c>
      <c r="M957" s="27">
        <v>0</v>
      </c>
      <c r="N957" s="21">
        <v>26.6</v>
      </c>
      <c r="O957" s="24">
        <v>33.328000000000003</v>
      </c>
      <c r="P957" s="20">
        <v>-0.13997999999999999</v>
      </c>
      <c r="Q957" s="20">
        <v>-1.2698359199999993</v>
      </c>
      <c r="R957" s="26" t="s">
        <v>283</v>
      </c>
      <c r="S957" s="26"/>
      <c r="T957" s="71" t="s">
        <v>626</v>
      </c>
    </row>
    <row r="958" spans="1:20" ht="12.75" customHeight="1">
      <c r="A958" s="26" t="s">
        <v>524</v>
      </c>
      <c r="B958" s="26">
        <v>15</v>
      </c>
      <c r="C958" s="1" t="s">
        <v>515</v>
      </c>
      <c r="D958" s="25">
        <v>42976</v>
      </c>
      <c r="E958" s="19">
        <f t="shared" si="69"/>
        <v>2017</v>
      </c>
      <c r="F958" s="19">
        <f t="shared" si="71"/>
        <v>8</v>
      </c>
      <c r="G958" s="30">
        <f t="shared" si="72"/>
        <v>29</v>
      </c>
      <c r="H958" s="29">
        <v>42976.35</v>
      </c>
      <c r="I958" s="22">
        <v>132.33248333333333</v>
      </c>
      <c r="J958" s="22">
        <v>37.002733333333332</v>
      </c>
      <c r="K958" s="27">
        <v>0</v>
      </c>
      <c r="L958" s="27">
        <v>0</v>
      </c>
      <c r="M958" s="27">
        <v>0</v>
      </c>
      <c r="N958" s="21">
        <v>26.6</v>
      </c>
      <c r="O958" s="24">
        <v>33.332700000000003</v>
      </c>
      <c r="P958" s="20">
        <v>-0.14997818823529419</v>
      </c>
      <c r="Q958" s="20">
        <v>-1.3484312870588226</v>
      </c>
      <c r="R958" s="26" t="s">
        <v>283</v>
      </c>
      <c r="S958" s="26"/>
      <c r="T958" s="71" t="s">
        <v>626</v>
      </c>
    </row>
    <row r="959" spans="1:20" ht="12.75" customHeight="1">
      <c r="A959" s="26" t="s">
        <v>525</v>
      </c>
      <c r="B959" s="26">
        <v>54</v>
      </c>
      <c r="C959" s="1" t="s">
        <v>515</v>
      </c>
      <c r="D959" s="25">
        <v>43034</v>
      </c>
      <c r="E959" s="19">
        <f t="shared" si="69"/>
        <v>2017</v>
      </c>
      <c r="F959" s="19">
        <f t="shared" si="71"/>
        <v>10</v>
      </c>
      <c r="G959" s="30">
        <f t="shared" si="72"/>
        <v>26</v>
      </c>
      <c r="H959" s="29" t="s">
        <v>287</v>
      </c>
      <c r="I959" s="22">
        <v>132.33385000000001</v>
      </c>
      <c r="J959" s="22">
        <v>38.337400000000002</v>
      </c>
      <c r="K959" s="27">
        <v>0</v>
      </c>
      <c r="L959" s="27">
        <v>0</v>
      </c>
      <c r="M959" s="27">
        <v>0</v>
      </c>
      <c r="N959" s="21">
        <v>18.399999999999999</v>
      </c>
      <c r="O959" s="24">
        <v>33.533499999999997</v>
      </c>
      <c r="P959" s="20">
        <v>-5.7668776470588101E-2</v>
      </c>
      <c r="Q959" s="20">
        <v>-0.8540956741176462</v>
      </c>
      <c r="R959" s="26" t="s">
        <v>283</v>
      </c>
      <c r="S959" s="26"/>
      <c r="T959" s="71" t="s">
        <v>626</v>
      </c>
    </row>
    <row r="960" spans="1:20" ht="12.75" customHeight="1">
      <c r="A960" s="26" t="s">
        <v>525</v>
      </c>
      <c r="B960" s="26">
        <v>53</v>
      </c>
      <c r="C960" s="1" t="s">
        <v>515</v>
      </c>
      <c r="D960" s="25">
        <v>43034</v>
      </c>
      <c r="E960" s="19">
        <f t="shared" si="69"/>
        <v>2017</v>
      </c>
      <c r="F960" s="19">
        <f t="shared" si="71"/>
        <v>10</v>
      </c>
      <c r="G960" s="30">
        <f t="shared" si="72"/>
        <v>26</v>
      </c>
      <c r="H960" s="29" t="s">
        <v>287</v>
      </c>
      <c r="I960" s="22">
        <v>132.32856666666666</v>
      </c>
      <c r="J960" s="22">
        <v>38.007816666666663</v>
      </c>
      <c r="K960" s="27">
        <v>0</v>
      </c>
      <c r="L960" s="27">
        <v>0</v>
      </c>
      <c r="M960" s="27">
        <v>0</v>
      </c>
      <c r="N960" s="21">
        <v>18.8</v>
      </c>
      <c r="O960" s="24">
        <v>33.428100000000001</v>
      </c>
      <c r="P960" s="20">
        <v>-8.2340564705882358E-2</v>
      </c>
      <c r="Q960" s="20">
        <v>-0.9689029411764718</v>
      </c>
      <c r="R960" s="26" t="s">
        <v>283</v>
      </c>
      <c r="S960" s="26"/>
      <c r="T960" s="71" t="s">
        <v>626</v>
      </c>
    </row>
    <row r="961" spans="1:20" ht="12.75" customHeight="1">
      <c r="A961" s="26" t="s">
        <v>525</v>
      </c>
      <c r="B961" s="26">
        <v>52</v>
      </c>
      <c r="C961" s="1" t="s">
        <v>515</v>
      </c>
      <c r="D961" s="25">
        <v>43034</v>
      </c>
      <c r="E961" s="19">
        <f t="shared" si="69"/>
        <v>2017</v>
      </c>
      <c r="F961" s="19">
        <f t="shared" si="71"/>
        <v>10</v>
      </c>
      <c r="G961" s="30">
        <f t="shared" si="72"/>
        <v>26</v>
      </c>
      <c r="H961" s="29" t="s">
        <v>287</v>
      </c>
      <c r="I961" s="22">
        <v>132.33141666666666</v>
      </c>
      <c r="J961" s="22">
        <v>37.673016666666669</v>
      </c>
      <c r="K961" s="27">
        <v>0</v>
      </c>
      <c r="L961" s="27">
        <v>0</v>
      </c>
      <c r="M961" s="27">
        <v>0</v>
      </c>
      <c r="N961" s="21">
        <v>19.8</v>
      </c>
      <c r="O961" s="24">
        <v>33.451799999999999</v>
      </c>
      <c r="P961" s="20">
        <v>-8.5613352941176224E-2</v>
      </c>
      <c r="Q961" s="20">
        <v>-0.99660590823529382</v>
      </c>
      <c r="R961" s="26" t="s">
        <v>283</v>
      </c>
      <c r="S961" s="26"/>
      <c r="T961" s="71" t="s">
        <v>626</v>
      </c>
    </row>
    <row r="962" spans="1:20" ht="12.75" customHeight="1">
      <c r="A962" s="26" t="s">
        <v>525</v>
      </c>
      <c r="B962" s="26">
        <v>51</v>
      </c>
      <c r="C962" s="1" t="s">
        <v>515</v>
      </c>
      <c r="D962" s="25">
        <v>43034</v>
      </c>
      <c r="E962" s="19">
        <f t="shared" ref="E962:E993" si="73">YEAR(D962)</f>
        <v>2017</v>
      </c>
      <c r="F962" s="19">
        <f t="shared" si="71"/>
        <v>10</v>
      </c>
      <c r="G962" s="30">
        <f t="shared" si="72"/>
        <v>26</v>
      </c>
      <c r="H962" s="29" t="s">
        <v>287</v>
      </c>
      <c r="I962" s="22">
        <v>132.33335</v>
      </c>
      <c r="J962" s="22">
        <v>37.324133333333336</v>
      </c>
      <c r="K962" s="27">
        <v>0</v>
      </c>
      <c r="L962" s="27">
        <v>0</v>
      </c>
      <c r="M962" s="27">
        <v>0</v>
      </c>
      <c r="N962" s="21">
        <v>19.8</v>
      </c>
      <c r="O962" s="24">
        <v>33.529800000000002</v>
      </c>
      <c r="P962" s="20">
        <v>-7.5588191176470865E-2</v>
      </c>
      <c r="Q962" s="20">
        <v>-1.2981491352941177</v>
      </c>
      <c r="R962" s="26" t="s">
        <v>283</v>
      </c>
      <c r="S962" s="26"/>
      <c r="T962" s="71" t="s">
        <v>626</v>
      </c>
    </row>
    <row r="963" spans="1:20" ht="12.75" customHeight="1">
      <c r="A963" s="26" t="s">
        <v>525</v>
      </c>
      <c r="B963" s="26">
        <v>15</v>
      </c>
      <c r="C963" s="1" t="s">
        <v>515</v>
      </c>
      <c r="D963" s="25">
        <v>43034</v>
      </c>
      <c r="E963" s="19">
        <f t="shared" si="73"/>
        <v>2017</v>
      </c>
      <c r="F963" s="19">
        <f t="shared" si="71"/>
        <v>10</v>
      </c>
      <c r="G963" s="30">
        <f t="shared" si="72"/>
        <v>26</v>
      </c>
      <c r="H963" s="29" t="s">
        <v>287</v>
      </c>
      <c r="I963" s="22">
        <v>132.33255</v>
      </c>
      <c r="J963" s="22">
        <v>37.007150000000003</v>
      </c>
      <c r="K963" s="27">
        <v>0</v>
      </c>
      <c r="L963" s="27">
        <v>0</v>
      </c>
      <c r="M963" s="27">
        <v>0</v>
      </c>
      <c r="N963" s="21">
        <v>20.9</v>
      </c>
      <c r="O963" s="24">
        <v>33.748899999999999</v>
      </c>
      <c r="P963" s="20">
        <v>-4.3666094117646992E-2</v>
      </c>
      <c r="Q963" s="20">
        <v>-0.44741932823529496</v>
      </c>
      <c r="R963" s="26" t="s">
        <v>283</v>
      </c>
      <c r="S963" s="26"/>
      <c r="T963" s="71" t="s">
        <v>626</v>
      </c>
    </row>
    <row r="964" spans="1:20" ht="12.75" customHeight="1">
      <c r="A964" s="26" t="s">
        <v>526</v>
      </c>
      <c r="B964" s="26">
        <v>52</v>
      </c>
      <c r="C964" s="1" t="s">
        <v>515</v>
      </c>
      <c r="D964" s="25">
        <v>43158</v>
      </c>
      <c r="E964" s="19">
        <f t="shared" si="73"/>
        <v>2018</v>
      </c>
      <c r="F964" s="19">
        <f t="shared" si="71"/>
        <v>2</v>
      </c>
      <c r="G964" s="30">
        <f t="shared" si="72"/>
        <v>27</v>
      </c>
      <c r="H964" s="29" t="s">
        <v>287</v>
      </c>
      <c r="I964" s="22">
        <v>132.32796666666667</v>
      </c>
      <c r="J964" s="22">
        <v>37.671733333333336</v>
      </c>
      <c r="K964" s="27">
        <v>0</v>
      </c>
      <c r="L964" s="27">
        <v>0</v>
      </c>
      <c r="M964" s="27">
        <v>0</v>
      </c>
      <c r="N964" s="21">
        <v>7.8</v>
      </c>
      <c r="O964" s="24">
        <v>34.232100000000003</v>
      </c>
      <c r="P964" s="20">
        <v>9.1101923529411932E-2</v>
      </c>
      <c r="Q964" s="20">
        <v>0.23005072705882412</v>
      </c>
      <c r="R964" s="26" t="s">
        <v>283</v>
      </c>
      <c r="S964" s="26"/>
      <c r="T964" s="71" t="s">
        <v>626</v>
      </c>
    </row>
    <row r="965" spans="1:20" ht="12.75" customHeight="1">
      <c r="A965" s="26" t="s">
        <v>526</v>
      </c>
      <c r="B965" s="26">
        <v>51</v>
      </c>
      <c r="C965" s="1" t="s">
        <v>515</v>
      </c>
      <c r="D965" s="25">
        <v>43158</v>
      </c>
      <c r="E965" s="19">
        <f t="shared" si="73"/>
        <v>2018</v>
      </c>
      <c r="F965" s="19">
        <f t="shared" si="71"/>
        <v>2</v>
      </c>
      <c r="G965" s="30">
        <f t="shared" si="72"/>
        <v>27</v>
      </c>
      <c r="H965" s="29" t="s">
        <v>287</v>
      </c>
      <c r="I965" s="22">
        <v>132.33303333333333</v>
      </c>
      <c r="J965" s="22">
        <v>37.338833333333334</v>
      </c>
      <c r="K965" s="27">
        <v>0</v>
      </c>
      <c r="L965" s="27">
        <v>0</v>
      </c>
      <c r="M965" s="27">
        <v>0</v>
      </c>
      <c r="N965" s="21">
        <v>10.6</v>
      </c>
      <c r="O965" s="24">
        <v>34.505800000000001</v>
      </c>
      <c r="P965" s="20">
        <v>0.17371250117647041</v>
      </c>
      <c r="Q965" s="20">
        <v>0.87186998235294055</v>
      </c>
      <c r="R965" s="26" t="s">
        <v>283</v>
      </c>
      <c r="S965" s="26"/>
      <c r="T965" s="71" t="s">
        <v>626</v>
      </c>
    </row>
    <row r="966" spans="1:20" ht="12.75" customHeight="1">
      <c r="A966" s="26" t="s">
        <v>526</v>
      </c>
      <c r="B966" s="26">
        <v>15</v>
      </c>
      <c r="C966" s="1" t="s">
        <v>515</v>
      </c>
      <c r="D966" s="25">
        <v>43158</v>
      </c>
      <c r="E966" s="19">
        <f t="shared" si="73"/>
        <v>2018</v>
      </c>
      <c r="F966" s="19">
        <f t="shared" si="71"/>
        <v>2</v>
      </c>
      <c r="G966" s="30">
        <f t="shared" si="72"/>
        <v>27</v>
      </c>
      <c r="H966" s="29" t="s">
        <v>287</v>
      </c>
      <c r="I966" s="22">
        <v>132.33391666666665</v>
      </c>
      <c r="J966" s="22">
        <v>37.00515</v>
      </c>
      <c r="K966" s="27">
        <v>0</v>
      </c>
      <c r="L966" s="27">
        <v>0</v>
      </c>
      <c r="M966" s="27">
        <v>0</v>
      </c>
      <c r="N966" s="21">
        <v>10.8</v>
      </c>
      <c r="O966" s="24">
        <v>34.5321</v>
      </c>
      <c r="P966" s="20">
        <v>0.20844417882352917</v>
      </c>
      <c r="Q966" s="20">
        <v>1.0104187776470592</v>
      </c>
      <c r="R966" s="26" t="s">
        <v>283</v>
      </c>
      <c r="S966" s="26"/>
      <c r="T966" s="71" t="s">
        <v>626</v>
      </c>
    </row>
    <row r="967" spans="1:20" ht="12.75" customHeight="1">
      <c r="A967" s="26" t="s">
        <v>520</v>
      </c>
      <c r="B967" s="26">
        <v>54</v>
      </c>
      <c r="C967" s="1" t="s">
        <v>515</v>
      </c>
      <c r="D967" s="25">
        <v>43249</v>
      </c>
      <c r="E967" s="19">
        <f t="shared" si="73"/>
        <v>2018</v>
      </c>
      <c r="F967" s="19">
        <f t="shared" si="71"/>
        <v>5</v>
      </c>
      <c r="G967" s="30">
        <f t="shared" si="72"/>
        <v>29</v>
      </c>
      <c r="H967" s="29">
        <v>0.32500000000000001</v>
      </c>
      <c r="I967" s="22">
        <v>132.32938333333334</v>
      </c>
      <c r="J967" s="22">
        <v>38.33571666666667</v>
      </c>
      <c r="K967" s="27">
        <v>0</v>
      </c>
      <c r="L967" s="27">
        <v>0</v>
      </c>
      <c r="M967" s="27">
        <v>0</v>
      </c>
      <c r="N967" s="21">
        <v>15.196999999999999</v>
      </c>
      <c r="O967" s="24">
        <v>34.356999999999999</v>
      </c>
      <c r="P967" s="20">
        <v>0.22334736941176514</v>
      </c>
      <c r="Q967" s="20">
        <v>0.70448281058823525</v>
      </c>
      <c r="R967" s="26" t="s">
        <v>283</v>
      </c>
      <c r="S967" s="26"/>
      <c r="T967" s="71" t="s">
        <v>626</v>
      </c>
    </row>
    <row r="968" spans="1:20" ht="12.75" customHeight="1">
      <c r="A968" s="26" t="s">
        <v>520</v>
      </c>
      <c r="B968" s="26">
        <v>53</v>
      </c>
      <c r="C968" s="1" t="s">
        <v>515</v>
      </c>
      <c r="D968" s="25">
        <v>43249</v>
      </c>
      <c r="E968" s="19">
        <f t="shared" si="73"/>
        <v>2018</v>
      </c>
      <c r="F968" s="19">
        <f t="shared" si="71"/>
        <v>5</v>
      </c>
      <c r="G968" s="30">
        <f t="shared" si="72"/>
        <v>29</v>
      </c>
      <c r="H968" s="29">
        <v>0.40208333333333335</v>
      </c>
      <c r="I968" s="22">
        <v>132.32586666666666</v>
      </c>
      <c r="J968" s="22">
        <v>38.00483333333333</v>
      </c>
      <c r="K968" s="27">
        <v>0</v>
      </c>
      <c r="L968" s="27">
        <v>0</v>
      </c>
      <c r="M968" s="27">
        <v>0</v>
      </c>
      <c r="N968" s="21">
        <v>16.451000000000001</v>
      </c>
      <c r="O968" s="24">
        <v>34.357999999999997</v>
      </c>
      <c r="P968" s="20">
        <v>0.25144693647058824</v>
      </c>
      <c r="Q968" s="20">
        <v>1.012002783529411</v>
      </c>
      <c r="R968" s="26" t="s">
        <v>283</v>
      </c>
      <c r="S968" s="26"/>
      <c r="T968" s="71" t="s">
        <v>626</v>
      </c>
    </row>
    <row r="969" spans="1:20" ht="12.75" customHeight="1">
      <c r="A969" s="26" t="s">
        <v>520</v>
      </c>
      <c r="B969" s="26">
        <v>52</v>
      </c>
      <c r="C969" s="1" t="s">
        <v>515</v>
      </c>
      <c r="D969" s="25">
        <v>43249</v>
      </c>
      <c r="E969" s="19">
        <f t="shared" si="73"/>
        <v>2018</v>
      </c>
      <c r="F969" s="19">
        <f t="shared" si="71"/>
        <v>5</v>
      </c>
      <c r="G969" s="30">
        <f t="shared" si="72"/>
        <v>29</v>
      </c>
      <c r="H969" s="29">
        <v>0.47986111111111113</v>
      </c>
      <c r="I969" s="22">
        <v>132.33085</v>
      </c>
      <c r="J969" s="22">
        <v>37.670883333333336</v>
      </c>
      <c r="K969" s="27">
        <v>0</v>
      </c>
      <c r="L969" s="27">
        <v>0</v>
      </c>
      <c r="M969" s="27">
        <v>0</v>
      </c>
      <c r="N969" s="21">
        <v>18.175999999999998</v>
      </c>
      <c r="O969" s="24">
        <v>34.308</v>
      </c>
      <c r="P969" s="20">
        <v>0.2122582682352947</v>
      </c>
      <c r="Q969" s="20">
        <v>0.94120839176470561</v>
      </c>
      <c r="R969" s="26" t="s">
        <v>283</v>
      </c>
      <c r="S969" s="26"/>
      <c r="T969" s="71" t="s">
        <v>626</v>
      </c>
    </row>
    <row r="970" spans="1:20" ht="12.75" customHeight="1">
      <c r="A970" s="26" t="s">
        <v>520</v>
      </c>
      <c r="B970" s="26">
        <v>51</v>
      </c>
      <c r="C970" s="1" t="s">
        <v>515</v>
      </c>
      <c r="D970" s="25">
        <v>43249</v>
      </c>
      <c r="E970" s="19">
        <f t="shared" si="73"/>
        <v>2018</v>
      </c>
      <c r="F970" s="19">
        <f t="shared" si="71"/>
        <v>5</v>
      </c>
      <c r="G970" s="30">
        <f t="shared" si="72"/>
        <v>29</v>
      </c>
      <c r="H970" s="29">
        <v>0.55694444444444446</v>
      </c>
      <c r="I970" s="22">
        <v>132.32608333333334</v>
      </c>
      <c r="J970" s="22">
        <v>37.33721666666667</v>
      </c>
      <c r="K970" s="27">
        <v>0</v>
      </c>
      <c r="L970" s="27">
        <v>0</v>
      </c>
      <c r="M970" s="27">
        <v>0</v>
      </c>
      <c r="N970" s="21">
        <v>17.989000000000001</v>
      </c>
      <c r="O970" s="24">
        <v>34.435600000000001</v>
      </c>
      <c r="P970" s="20">
        <v>0.13727824000000055</v>
      </c>
      <c r="Q970" s="20">
        <v>0.98115755999999799</v>
      </c>
      <c r="R970" s="26" t="s">
        <v>283</v>
      </c>
      <c r="S970" s="26"/>
      <c r="T970" s="71" t="s">
        <v>626</v>
      </c>
    </row>
    <row r="971" spans="1:20" ht="12.75" customHeight="1">
      <c r="A971" s="26" t="s">
        <v>520</v>
      </c>
      <c r="B971" s="26">
        <v>15</v>
      </c>
      <c r="C971" s="1" t="s">
        <v>515</v>
      </c>
      <c r="D971" s="25">
        <v>43249</v>
      </c>
      <c r="E971" s="19">
        <f t="shared" si="73"/>
        <v>2018</v>
      </c>
      <c r="F971" s="19">
        <f t="shared" si="71"/>
        <v>5</v>
      </c>
      <c r="G971" s="30">
        <f t="shared" si="72"/>
        <v>29</v>
      </c>
      <c r="H971" s="29">
        <v>0.63263888888888886</v>
      </c>
      <c r="I971" s="22">
        <v>132.32646666666668</v>
      </c>
      <c r="J971" s="22">
        <v>37.004083333333334</v>
      </c>
      <c r="K971" s="27">
        <v>0</v>
      </c>
      <c r="L971" s="27">
        <v>0</v>
      </c>
      <c r="M971" s="27">
        <v>0</v>
      </c>
      <c r="N971" s="21">
        <v>17.859000000000002</v>
      </c>
      <c r="O971" s="24">
        <v>34.372999999999998</v>
      </c>
      <c r="P971" s="20">
        <v>8.5684611764706098E-2</v>
      </c>
      <c r="Q971" s="20">
        <v>0.68985434823529523</v>
      </c>
      <c r="R971" s="26" t="s">
        <v>283</v>
      </c>
      <c r="S971" s="26"/>
      <c r="T971" s="71" t="s">
        <v>626</v>
      </c>
    </row>
    <row r="972" spans="1:20" ht="12.75" customHeight="1">
      <c r="A972" s="26" t="s">
        <v>521</v>
      </c>
      <c r="B972" s="26">
        <v>15</v>
      </c>
      <c r="C972" s="1" t="s">
        <v>515</v>
      </c>
      <c r="D972" s="25">
        <v>43312</v>
      </c>
      <c r="E972" s="19">
        <f t="shared" si="73"/>
        <v>2018</v>
      </c>
      <c r="F972" s="19">
        <f t="shared" si="71"/>
        <v>7</v>
      </c>
      <c r="G972" s="30">
        <f t="shared" si="72"/>
        <v>31</v>
      </c>
      <c r="H972" s="29">
        <v>0.8847222222222223</v>
      </c>
      <c r="I972" s="22">
        <v>132.32763333333332</v>
      </c>
      <c r="J972" s="22">
        <v>37.005183333333335</v>
      </c>
      <c r="K972" s="27">
        <v>0</v>
      </c>
      <c r="L972" s="27">
        <v>0</v>
      </c>
      <c r="M972" s="27">
        <v>0</v>
      </c>
      <c r="N972" s="21">
        <v>26.78</v>
      </c>
      <c r="O972" s="24">
        <v>33.479500000000002</v>
      </c>
      <c r="P972" s="20">
        <v>-0.27786325647058807</v>
      </c>
      <c r="Q972" s="20">
        <v>-1.618312143529411</v>
      </c>
      <c r="R972" s="26" t="s">
        <v>283</v>
      </c>
      <c r="S972" s="26"/>
      <c r="T972" s="71" t="s">
        <v>626</v>
      </c>
    </row>
    <row r="973" spans="1:20" ht="12.75" customHeight="1">
      <c r="A973" s="1" t="s">
        <v>527</v>
      </c>
      <c r="B973" s="26">
        <v>54</v>
      </c>
      <c r="C973" s="1" t="s">
        <v>515</v>
      </c>
      <c r="D973" s="25">
        <v>43396</v>
      </c>
      <c r="E973" s="19">
        <f t="shared" si="73"/>
        <v>2018</v>
      </c>
      <c r="F973" s="19">
        <f t="shared" si="71"/>
        <v>10</v>
      </c>
      <c r="G973" s="30">
        <f t="shared" si="72"/>
        <v>23</v>
      </c>
      <c r="H973" s="29">
        <v>0.33958333333333335</v>
      </c>
      <c r="I973" s="22">
        <v>132.33205000000001</v>
      </c>
      <c r="J973" s="22">
        <v>38.336300000000001</v>
      </c>
      <c r="K973" s="27">
        <v>0</v>
      </c>
      <c r="L973" s="27">
        <v>0</v>
      </c>
      <c r="M973" s="27">
        <v>0</v>
      </c>
      <c r="N973" s="21">
        <v>18.931999999999999</v>
      </c>
      <c r="O973" s="24">
        <v>33.358199999999997</v>
      </c>
      <c r="P973" s="20">
        <v>-0.24119864470588204</v>
      </c>
      <c r="Q973" s="20">
        <v>-1.468206395294116</v>
      </c>
      <c r="R973" s="26" t="s">
        <v>283</v>
      </c>
      <c r="S973" s="26"/>
      <c r="T973" s="71" t="s">
        <v>626</v>
      </c>
    </row>
    <row r="974" spans="1:20" ht="12.75" customHeight="1">
      <c r="A974" s="1" t="s">
        <v>527</v>
      </c>
      <c r="B974" s="26">
        <v>53</v>
      </c>
      <c r="C974" s="1" t="s">
        <v>515</v>
      </c>
      <c r="D974" s="25">
        <v>43396</v>
      </c>
      <c r="E974" s="19">
        <f t="shared" si="73"/>
        <v>2018</v>
      </c>
      <c r="F974" s="19">
        <f t="shared" si="71"/>
        <v>10</v>
      </c>
      <c r="G974" s="30">
        <f t="shared" si="72"/>
        <v>23</v>
      </c>
      <c r="H974" s="29">
        <v>0.41597222222222219</v>
      </c>
      <c r="I974" s="22">
        <v>132.33241666666666</v>
      </c>
      <c r="J974" s="22">
        <v>38.005499999999998</v>
      </c>
      <c r="K974" s="27">
        <v>0</v>
      </c>
      <c r="L974" s="27">
        <v>0</v>
      </c>
      <c r="M974" s="27">
        <v>0</v>
      </c>
      <c r="N974" s="21">
        <v>18.91</v>
      </c>
      <c r="O974" s="24">
        <v>33.400100000000002</v>
      </c>
      <c r="P974" s="20">
        <v>-0.2055508329411766</v>
      </c>
      <c r="Q974" s="20">
        <v>-1.396951627058824</v>
      </c>
      <c r="R974" s="26" t="s">
        <v>283</v>
      </c>
      <c r="S974" s="26"/>
      <c r="T974" s="71" t="s">
        <v>626</v>
      </c>
    </row>
    <row r="975" spans="1:20" ht="12.75" customHeight="1">
      <c r="A975" s="1" t="s">
        <v>527</v>
      </c>
      <c r="B975" s="26">
        <v>52</v>
      </c>
      <c r="C975" s="1" t="s">
        <v>515</v>
      </c>
      <c r="D975" s="25">
        <v>43396</v>
      </c>
      <c r="E975" s="19">
        <f t="shared" si="73"/>
        <v>2018</v>
      </c>
      <c r="F975" s="19">
        <f t="shared" si="71"/>
        <v>10</v>
      </c>
      <c r="G975" s="30">
        <f t="shared" si="72"/>
        <v>23</v>
      </c>
      <c r="H975" s="29">
        <v>0.49513888888888885</v>
      </c>
      <c r="I975" s="22">
        <v>132.3322</v>
      </c>
      <c r="J975" s="22">
        <v>37.675649999999997</v>
      </c>
      <c r="K975" s="27">
        <v>0</v>
      </c>
      <c r="L975" s="27">
        <v>0</v>
      </c>
      <c r="M975" s="27">
        <v>0</v>
      </c>
      <c r="N975" s="21">
        <v>20.091000000000001</v>
      </c>
      <c r="O975" s="24">
        <v>33.475999999999999</v>
      </c>
      <c r="P975" s="20">
        <v>-0.18901886117647027</v>
      </c>
      <c r="Q975" s="20">
        <v>-1.2292364788235304</v>
      </c>
      <c r="R975" s="26" t="s">
        <v>283</v>
      </c>
      <c r="S975" s="26"/>
      <c r="T975" s="71" t="s">
        <v>626</v>
      </c>
    </row>
    <row r="976" spans="1:20" ht="12.75" customHeight="1">
      <c r="A976" s="1" t="s">
        <v>527</v>
      </c>
      <c r="B976" s="26">
        <v>51</v>
      </c>
      <c r="C976" s="1" t="s">
        <v>515</v>
      </c>
      <c r="D976" s="25">
        <v>43396</v>
      </c>
      <c r="E976" s="19">
        <f t="shared" si="73"/>
        <v>2018</v>
      </c>
      <c r="F976" s="19">
        <f t="shared" si="71"/>
        <v>10</v>
      </c>
      <c r="G976" s="30">
        <f t="shared" si="72"/>
        <v>23</v>
      </c>
      <c r="H976" s="29">
        <v>0.57708333333333328</v>
      </c>
      <c r="I976" s="22">
        <v>132.32868333333334</v>
      </c>
      <c r="J976" s="22">
        <v>37.341283333333337</v>
      </c>
      <c r="K976" s="27">
        <v>0</v>
      </c>
      <c r="L976" s="27">
        <v>0</v>
      </c>
      <c r="M976" s="27">
        <v>0</v>
      </c>
      <c r="N976" s="21">
        <v>20.542999999999999</v>
      </c>
      <c r="O976" s="24">
        <v>33.5349</v>
      </c>
      <c r="P976" s="20">
        <v>-8.7122164705881966E-2</v>
      </c>
      <c r="Q976" s="20">
        <v>-0.88339785882352828</v>
      </c>
      <c r="R976" s="26" t="s">
        <v>283</v>
      </c>
      <c r="S976" s="26"/>
      <c r="T976" s="71" t="s">
        <v>626</v>
      </c>
    </row>
    <row r="977" spans="1:20" ht="12.75" customHeight="1">
      <c r="A977" s="1" t="s">
        <v>527</v>
      </c>
      <c r="B977" s="26">
        <v>15</v>
      </c>
      <c r="C977" s="1" t="s">
        <v>515</v>
      </c>
      <c r="D977" s="25">
        <v>43396</v>
      </c>
      <c r="E977" s="19">
        <f t="shared" si="73"/>
        <v>2018</v>
      </c>
      <c r="F977" s="19">
        <f t="shared" si="71"/>
        <v>10</v>
      </c>
      <c r="G977" s="30">
        <f t="shared" si="72"/>
        <v>23</v>
      </c>
      <c r="H977" s="29">
        <v>0.65972222222222221</v>
      </c>
      <c r="I977" s="22">
        <v>132.33493333333334</v>
      </c>
      <c r="J977" s="22">
        <v>37.007350000000002</v>
      </c>
      <c r="K977" s="27">
        <v>0</v>
      </c>
      <c r="L977" s="27">
        <v>0</v>
      </c>
      <c r="M977" s="27">
        <v>0</v>
      </c>
      <c r="N977" s="21">
        <v>20.183</v>
      </c>
      <c r="O977" s="24">
        <v>33.518099999999997</v>
      </c>
      <c r="P977" s="20">
        <v>-8.835331764705856E-2</v>
      </c>
      <c r="Q977" s="20">
        <v>-0.89241847058823609</v>
      </c>
      <c r="R977" s="26" t="s">
        <v>283</v>
      </c>
      <c r="S977" s="26"/>
      <c r="T977" s="71" t="s">
        <v>626</v>
      </c>
    </row>
    <row r="978" spans="1:20" ht="12.75" customHeight="1">
      <c r="A978" s="1" t="s">
        <v>528</v>
      </c>
      <c r="B978" s="26">
        <v>54</v>
      </c>
      <c r="C978" s="1" t="s">
        <v>515</v>
      </c>
      <c r="D978" s="25">
        <v>43522</v>
      </c>
      <c r="E978" s="19">
        <f t="shared" si="73"/>
        <v>2019</v>
      </c>
      <c r="F978" s="19">
        <f t="shared" si="71"/>
        <v>2</v>
      </c>
      <c r="G978" s="30">
        <f t="shared" si="72"/>
        <v>26</v>
      </c>
      <c r="H978" s="29">
        <v>0.39305555555555555</v>
      </c>
      <c r="I978" s="22">
        <v>132.33029999999999</v>
      </c>
      <c r="J978" s="22">
        <v>38.321233333333332</v>
      </c>
      <c r="K978" s="27">
        <v>0</v>
      </c>
      <c r="L978" s="27">
        <v>0</v>
      </c>
      <c r="M978" s="27">
        <v>0</v>
      </c>
      <c r="N978" s="21">
        <v>11.794</v>
      </c>
      <c r="O978" s="24">
        <v>34.357599999999998</v>
      </c>
      <c r="P978" s="20">
        <v>0.18351632941176477</v>
      </c>
      <c r="Q978" s="20">
        <v>0.80458411764706028</v>
      </c>
      <c r="R978" s="26" t="s">
        <v>283</v>
      </c>
      <c r="S978" s="26"/>
      <c r="T978" s="71" t="s">
        <v>626</v>
      </c>
    </row>
    <row r="979" spans="1:20" ht="12.75" customHeight="1">
      <c r="A979" s="1" t="s">
        <v>528</v>
      </c>
      <c r="B979" s="26">
        <v>53</v>
      </c>
      <c r="C979" s="1" t="s">
        <v>515</v>
      </c>
      <c r="D979" s="25">
        <v>43522</v>
      </c>
      <c r="E979" s="19">
        <f t="shared" si="73"/>
        <v>2019</v>
      </c>
      <c r="F979" s="19">
        <f t="shared" si="71"/>
        <v>2</v>
      </c>
      <c r="G979" s="30">
        <f t="shared" si="72"/>
        <v>26</v>
      </c>
      <c r="H979" s="29">
        <v>0.46319444444444446</v>
      </c>
      <c r="I979" s="22">
        <v>132.3296</v>
      </c>
      <c r="J979" s="22">
        <v>38.001483333333333</v>
      </c>
      <c r="K979" s="27">
        <v>0</v>
      </c>
      <c r="L979" s="27">
        <v>0</v>
      </c>
      <c r="M979" s="27">
        <v>0</v>
      </c>
      <c r="N979" s="21">
        <v>11.679</v>
      </c>
      <c r="O979" s="24">
        <v>34.337699999999998</v>
      </c>
      <c r="P979" s="20">
        <v>0.15017957647058888</v>
      </c>
      <c r="Q979" s="20">
        <v>0.68015950588235441</v>
      </c>
      <c r="R979" s="26" t="s">
        <v>283</v>
      </c>
      <c r="S979" s="26"/>
      <c r="T979" s="71" t="s">
        <v>626</v>
      </c>
    </row>
    <row r="980" spans="1:20" ht="12.75" customHeight="1">
      <c r="A980" s="1" t="s">
        <v>528</v>
      </c>
      <c r="B980" s="26">
        <v>52</v>
      </c>
      <c r="C980" s="1" t="s">
        <v>515</v>
      </c>
      <c r="D980" s="25">
        <v>43522</v>
      </c>
      <c r="E980" s="19">
        <f t="shared" si="73"/>
        <v>2019</v>
      </c>
      <c r="F980" s="19">
        <f t="shared" si="71"/>
        <v>2</v>
      </c>
      <c r="G980" s="30">
        <f t="shared" si="72"/>
        <v>26</v>
      </c>
      <c r="H980" s="29">
        <v>0.53263888888888888</v>
      </c>
      <c r="I980" s="22">
        <v>132.33449999999999</v>
      </c>
      <c r="J980" s="22">
        <v>37.668366666666664</v>
      </c>
      <c r="K980" s="27">
        <v>0</v>
      </c>
      <c r="L980" s="27">
        <v>0</v>
      </c>
      <c r="M980" s="27">
        <v>0</v>
      </c>
      <c r="N980" s="21">
        <v>11.96</v>
      </c>
      <c r="O980" s="24">
        <v>34.337299999999999</v>
      </c>
      <c r="P980" s="20">
        <v>0.14935482352941176</v>
      </c>
      <c r="Q980" s="20">
        <v>0.73627369411764576</v>
      </c>
      <c r="R980" s="26" t="s">
        <v>283</v>
      </c>
      <c r="S980" s="26"/>
      <c r="T980" s="71" t="s">
        <v>626</v>
      </c>
    </row>
    <row r="981" spans="1:20" ht="12.75" customHeight="1">
      <c r="A981" s="1" t="s">
        <v>528</v>
      </c>
      <c r="B981" s="26">
        <v>51</v>
      </c>
      <c r="C981" s="1" t="s">
        <v>515</v>
      </c>
      <c r="D981" s="25">
        <v>43522</v>
      </c>
      <c r="E981" s="19">
        <f t="shared" si="73"/>
        <v>2019</v>
      </c>
      <c r="F981" s="19">
        <f t="shared" si="71"/>
        <v>2</v>
      </c>
      <c r="G981" s="30">
        <f t="shared" si="72"/>
        <v>26</v>
      </c>
      <c r="H981" s="29">
        <v>0.60555555555555551</v>
      </c>
      <c r="I981" s="22">
        <v>132.33009999999999</v>
      </c>
      <c r="J981" s="22">
        <v>37.336033333333333</v>
      </c>
      <c r="K981" s="27">
        <v>0</v>
      </c>
      <c r="L981" s="27">
        <v>0</v>
      </c>
      <c r="M981" s="27">
        <v>0</v>
      </c>
      <c r="N981" s="21">
        <v>11.872999999999999</v>
      </c>
      <c r="O981" s="24">
        <v>34.329099999999997</v>
      </c>
      <c r="P981" s="20">
        <v>0.18165167058823539</v>
      </c>
      <c r="Q981" s="20">
        <v>0.84637348235294141</v>
      </c>
      <c r="R981" s="26" t="s">
        <v>283</v>
      </c>
      <c r="S981" s="26"/>
      <c r="T981" s="71" t="s">
        <v>626</v>
      </c>
    </row>
    <row r="982" spans="1:20" ht="12.75" customHeight="1">
      <c r="A982" s="1" t="s">
        <v>528</v>
      </c>
      <c r="B982" s="26">
        <v>15</v>
      </c>
      <c r="C982" s="1" t="s">
        <v>515</v>
      </c>
      <c r="D982" s="25">
        <v>43522</v>
      </c>
      <c r="E982" s="19">
        <f t="shared" si="73"/>
        <v>2019</v>
      </c>
      <c r="F982" s="19">
        <f t="shared" si="71"/>
        <v>2</v>
      </c>
      <c r="G982" s="30">
        <f t="shared" si="72"/>
        <v>26</v>
      </c>
      <c r="H982" s="29">
        <v>0.67847222222222225</v>
      </c>
      <c r="I982" s="22">
        <v>132.32855000000001</v>
      </c>
      <c r="J982" s="22">
        <v>37.00365</v>
      </c>
      <c r="K982" s="27">
        <v>0</v>
      </c>
      <c r="L982" s="27">
        <v>0</v>
      </c>
      <c r="M982" s="27">
        <v>0</v>
      </c>
      <c r="N982" s="21">
        <v>11.907</v>
      </c>
      <c r="O982" s="24">
        <v>34.328400000000002</v>
      </c>
      <c r="P982" s="20">
        <v>0.13734211764705928</v>
      </c>
      <c r="Q982" s="20">
        <v>0.8113380705882367</v>
      </c>
      <c r="R982" s="26" t="s">
        <v>283</v>
      </c>
      <c r="S982" s="26"/>
      <c r="T982" s="71" t="s">
        <v>626</v>
      </c>
    </row>
    <row r="983" spans="1:20" ht="12.75" customHeight="1">
      <c r="A983" s="1" t="s">
        <v>468</v>
      </c>
      <c r="B983" s="26">
        <v>15</v>
      </c>
      <c r="C983" s="1" t="s">
        <v>515</v>
      </c>
      <c r="D983" s="25">
        <v>43578</v>
      </c>
      <c r="E983" s="19">
        <f t="shared" si="73"/>
        <v>2019</v>
      </c>
      <c r="F983" s="19">
        <v>4</v>
      </c>
      <c r="G983" s="30">
        <v>23</v>
      </c>
      <c r="H983" s="29">
        <v>0.11319444444444444</v>
      </c>
      <c r="I983" s="22">
        <v>132.32536666666667</v>
      </c>
      <c r="J983" s="22">
        <v>37.001233333333332</v>
      </c>
      <c r="K983" s="27">
        <v>0</v>
      </c>
      <c r="L983" s="27">
        <v>0</v>
      </c>
      <c r="M983" s="27">
        <v>0</v>
      </c>
      <c r="N983" s="21">
        <v>12.132</v>
      </c>
      <c r="O983" s="24">
        <v>34.414499999999997</v>
      </c>
      <c r="P983" s="20">
        <v>0.17499999999999999</v>
      </c>
      <c r="Q983" s="20">
        <v>0.61199999999999999</v>
      </c>
      <c r="R983" s="26" t="s">
        <v>283</v>
      </c>
      <c r="S983" s="26"/>
      <c r="T983" s="71" t="s">
        <v>626</v>
      </c>
    </row>
    <row r="984" spans="1:20" ht="12.75" customHeight="1">
      <c r="A984" s="1" t="s">
        <v>529</v>
      </c>
      <c r="B984" s="26">
        <v>54</v>
      </c>
      <c r="C984" s="1" t="s">
        <v>515</v>
      </c>
      <c r="D984" s="25">
        <v>43608</v>
      </c>
      <c r="E984" s="19">
        <f t="shared" si="73"/>
        <v>2019</v>
      </c>
      <c r="F984" s="19">
        <v>5</v>
      </c>
      <c r="G984" s="30">
        <v>23</v>
      </c>
      <c r="H984" s="29">
        <v>0.34027777777777773</v>
      </c>
      <c r="I984" s="22">
        <v>132.33600000000001</v>
      </c>
      <c r="J984" s="22">
        <v>38.336716666666668</v>
      </c>
      <c r="K984" s="27">
        <v>0</v>
      </c>
      <c r="L984" s="27">
        <v>0</v>
      </c>
      <c r="M984" s="27">
        <v>0</v>
      </c>
      <c r="N984" s="21">
        <v>14.574999999999999</v>
      </c>
      <c r="O984" s="24">
        <v>34.337699999999998</v>
      </c>
      <c r="P984" s="20">
        <v>6.3E-2</v>
      </c>
      <c r="Q984" s="20">
        <v>0.19800000000000001</v>
      </c>
      <c r="R984" s="26" t="s">
        <v>283</v>
      </c>
      <c r="S984" s="26"/>
      <c r="T984" s="71" t="s">
        <v>626</v>
      </c>
    </row>
    <row r="985" spans="1:20" ht="12.75" customHeight="1">
      <c r="A985" s="1" t="s">
        <v>529</v>
      </c>
      <c r="B985" s="26">
        <v>53</v>
      </c>
      <c r="C985" s="1" t="s">
        <v>515</v>
      </c>
      <c r="D985" s="25">
        <v>43608</v>
      </c>
      <c r="E985" s="19">
        <f t="shared" si="73"/>
        <v>2019</v>
      </c>
      <c r="F985" s="19">
        <v>5</v>
      </c>
      <c r="G985" s="30">
        <v>23</v>
      </c>
      <c r="H985" s="29">
        <v>0.41944444444444445</v>
      </c>
      <c r="I985" s="22">
        <v>132.33286666666666</v>
      </c>
      <c r="J985" s="22">
        <v>38.006966666666663</v>
      </c>
      <c r="K985" s="27">
        <v>0</v>
      </c>
      <c r="L985" s="27">
        <v>0</v>
      </c>
      <c r="M985" s="27">
        <v>0</v>
      </c>
      <c r="N985" s="21">
        <v>16.548999999999999</v>
      </c>
      <c r="O985" s="24">
        <v>34.4542</v>
      </c>
      <c r="P985" s="20">
        <v>0.10199999999999999</v>
      </c>
      <c r="Q985" s="20">
        <v>0.68600000000000005</v>
      </c>
      <c r="R985" s="26" t="s">
        <v>283</v>
      </c>
      <c r="S985" s="26"/>
      <c r="T985" s="71" t="s">
        <v>626</v>
      </c>
    </row>
    <row r="986" spans="1:20" ht="12.75" customHeight="1">
      <c r="A986" s="1" t="s">
        <v>529</v>
      </c>
      <c r="B986" s="26">
        <v>52</v>
      </c>
      <c r="C986" s="1" t="s">
        <v>515</v>
      </c>
      <c r="D986" s="25">
        <v>43608</v>
      </c>
      <c r="E986" s="19">
        <f t="shared" si="73"/>
        <v>2019</v>
      </c>
      <c r="F986" s="19">
        <v>5</v>
      </c>
      <c r="G986" s="30">
        <v>23</v>
      </c>
      <c r="H986" s="29">
        <v>0.50069444444444444</v>
      </c>
      <c r="I986" s="22">
        <v>132.33523333333332</v>
      </c>
      <c r="J986" s="22">
        <v>37.673083333333331</v>
      </c>
      <c r="K986" s="27">
        <v>0</v>
      </c>
      <c r="L986" s="27">
        <v>0</v>
      </c>
      <c r="M986" s="27">
        <v>0</v>
      </c>
      <c r="N986" s="21">
        <v>16.399000000000001</v>
      </c>
      <c r="O986" s="24">
        <v>34.3506</v>
      </c>
      <c r="P986" s="20">
        <v>0.105</v>
      </c>
      <c r="Q986" s="20">
        <v>0.56100000000000005</v>
      </c>
      <c r="R986" s="26" t="s">
        <v>283</v>
      </c>
      <c r="S986" s="26"/>
      <c r="T986" s="71" t="s">
        <v>626</v>
      </c>
    </row>
    <row r="987" spans="1:20" ht="12.75" customHeight="1">
      <c r="A987" s="1" t="s">
        <v>529</v>
      </c>
      <c r="B987" s="26">
        <v>51</v>
      </c>
      <c r="C987" s="1" t="s">
        <v>515</v>
      </c>
      <c r="D987" s="25">
        <v>43608</v>
      </c>
      <c r="E987" s="19">
        <f t="shared" si="73"/>
        <v>2019</v>
      </c>
      <c r="F987" s="19">
        <v>5</v>
      </c>
      <c r="G987" s="30">
        <v>23</v>
      </c>
      <c r="H987" s="29">
        <v>0.57916666666666672</v>
      </c>
      <c r="I987" s="22">
        <v>132.33828333333332</v>
      </c>
      <c r="J987" s="22">
        <v>37.337249999999997</v>
      </c>
      <c r="K987" s="27">
        <v>0</v>
      </c>
      <c r="L987" s="27">
        <v>0</v>
      </c>
      <c r="M987" s="27">
        <v>0</v>
      </c>
      <c r="N987" s="21">
        <v>17.542999999999999</v>
      </c>
      <c r="O987" s="24">
        <v>34.441099999999999</v>
      </c>
      <c r="P987" s="20">
        <v>0.17100000000000001</v>
      </c>
      <c r="Q987" s="20">
        <v>0.83299999999999996</v>
      </c>
      <c r="R987" s="26" t="s">
        <v>283</v>
      </c>
      <c r="S987" s="26"/>
      <c r="T987" s="71" t="s">
        <v>626</v>
      </c>
    </row>
    <row r="988" spans="1:20" ht="12.75" customHeight="1">
      <c r="A988" s="1" t="s">
        <v>529</v>
      </c>
      <c r="B988" s="26">
        <v>15</v>
      </c>
      <c r="C988" s="1" t="s">
        <v>515</v>
      </c>
      <c r="D988" s="25">
        <v>43608</v>
      </c>
      <c r="E988" s="19">
        <f t="shared" si="73"/>
        <v>2019</v>
      </c>
      <c r="F988" s="19">
        <v>5</v>
      </c>
      <c r="G988" s="30">
        <v>23</v>
      </c>
      <c r="H988" s="29">
        <v>0.65694444444444444</v>
      </c>
      <c r="I988" s="22">
        <v>132.33674999999999</v>
      </c>
      <c r="J988" s="22">
        <v>37.005299999999998</v>
      </c>
      <c r="K988" s="27">
        <v>0</v>
      </c>
      <c r="L988" s="27">
        <v>0</v>
      </c>
      <c r="M988" s="27">
        <v>0</v>
      </c>
      <c r="N988" s="21">
        <v>17.754999999999999</v>
      </c>
      <c r="O988" s="24">
        <v>34.446300000000001</v>
      </c>
      <c r="P988" s="20">
        <v>0.21299999999999999</v>
      </c>
      <c r="Q988" s="20">
        <v>1.0389999999999999</v>
      </c>
      <c r="R988" s="26" t="s">
        <v>283</v>
      </c>
      <c r="S988" s="26"/>
      <c r="T988" s="71" t="s">
        <v>626</v>
      </c>
    </row>
    <row r="989" spans="1:20" ht="12.75" customHeight="1">
      <c r="A989" s="26" t="s">
        <v>176</v>
      </c>
      <c r="B989" s="26">
        <v>1</v>
      </c>
      <c r="C989" s="26" t="s">
        <v>515</v>
      </c>
      <c r="D989" s="25">
        <v>42940</v>
      </c>
      <c r="E989" s="19">
        <f t="shared" si="73"/>
        <v>2017</v>
      </c>
      <c r="F989" s="19">
        <f t="shared" ref="F989:F1022" si="74">MONTH(D989)</f>
        <v>7</v>
      </c>
      <c r="G989" s="30">
        <f t="shared" ref="G989:G1022" si="75">DAY(D989)</f>
        <v>24</v>
      </c>
      <c r="H989" s="29" t="s">
        <v>287</v>
      </c>
      <c r="I989" s="22">
        <v>133.46350000000001</v>
      </c>
      <c r="J989" s="22">
        <v>35.746670000000002</v>
      </c>
      <c r="K989" s="27">
        <v>10</v>
      </c>
      <c r="L989" s="27">
        <v>10</v>
      </c>
      <c r="M989" s="27" t="s">
        <v>287</v>
      </c>
      <c r="N989" s="21">
        <v>27.279299999999999</v>
      </c>
      <c r="O989" s="24">
        <v>32.210299999999997</v>
      </c>
      <c r="P989" s="20">
        <v>-0.37424112588235281</v>
      </c>
      <c r="Q989" s="20">
        <v>-2.5124931094117633</v>
      </c>
      <c r="R989" s="26" t="s">
        <v>279</v>
      </c>
      <c r="S989" s="26"/>
      <c r="T989" s="71" t="s">
        <v>626</v>
      </c>
    </row>
    <row r="990" spans="1:20" ht="12.75" customHeight="1">
      <c r="A990" s="26" t="s">
        <v>176</v>
      </c>
      <c r="B990" s="26">
        <v>5</v>
      </c>
      <c r="C990" s="26" t="s">
        <v>515</v>
      </c>
      <c r="D990" s="25">
        <v>42941</v>
      </c>
      <c r="E990" s="19">
        <f t="shared" si="73"/>
        <v>2017</v>
      </c>
      <c r="F990" s="19">
        <f t="shared" si="74"/>
        <v>7</v>
      </c>
      <c r="G990" s="30">
        <f t="shared" si="75"/>
        <v>25</v>
      </c>
      <c r="H990" s="29" t="s">
        <v>287</v>
      </c>
      <c r="I990" s="22">
        <v>133.46384</v>
      </c>
      <c r="J990" s="22">
        <v>36.414670000000001</v>
      </c>
      <c r="K990" s="27">
        <v>10</v>
      </c>
      <c r="L990" s="27">
        <v>10</v>
      </c>
      <c r="M990" s="27" t="s">
        <v>287</v>
      </c>
      <c r="N990" s="21">
        <v>26.568000000000001</v>
      </c>
      <c r="O990" s="24">
        <v>32.756700000000002</v>
      </c>
      <c r="P990" s="20">
        <v>-0.2811918670588236</v>
      </c>
      <c r="Q990" s="20">
        <v>-1.8388629152941167</v>
      </c>
      <c r="R990" s="26" t="s">
        <v>279</v>
      </c>
      <c r="S990" s="26"/>
      <c r="T990" s="71" t="s">
        <v>626</v>
      </c>
    </row>
    <row r="991" spans="1:20" ht="12.75" customHeight="1">
      <c r="A991" s="26" t="s">
        <v>176</v>
      </c>
      <c r="B991" s="26">
        <v>11</v>
      </c>
      <c r="C991" s="26" t="s">
        <v>515</v>
      </c>
      <c r="D991" s="25">
        <v>42943</v>
      </c>
      <c r="E991" s="19">
        <f t="shared" si="73"/>
        <v>2017</v>
      </c>
      <c r="F991" s="19">
        <f t="shared" si="74"/>
        <v>7</v>
      </c>
      <c r="G991" s="30">
        <f t="shared" si="75"/>
        <v>27</v>
      </c>
      <c r="H991" s="29" t="s">
        <v>287</v>
      </c>
      <c r="I991" s="22">
        <v>133.44717</v>
      </c>
      <c r="J991" s="22">
        <v>37.747500000000002</v>
      </c>
      <c r="K991" s="27">
        <v>10</v>
      </c>
      <c r="L991" s="27">
        <v>10</v>
      </c>
      <c r="M991" s="27" t="s">
        <v>287</v>
      </c>
      <c r="N991" s="21">
        <v>25.480599999999999</v>
      </c>
      <c r="O991" s="24">
        <v>34.251300000000001</v>
      </c>
      <c r="P991" s="20">
        <v>4.3548851764706242E-2</v>
      </c>
      <c r="Q991" s="20">
        <v>0.39817253882353221</v>
      </c>
      <c r="R991" s="26" t="s">
        <v>279</v>
      </c>
      <c r="S991" s="26"/>
      <c r="T991" s="71" t="s">
        <v>626</v>
      </c>
    </row>
    <row r="992" spans="1:20" ht="12.75" customHeight="1">
      <c r="A992" s="26" t="s">
        <v>176</v>
      </c>
      <c r="B992" s="26">
        <v>15</v>
      </c>
      <c r="C992" s="26" t="s">
        <v>515</v>
      </c>
      <c r="D992" s="25">
        <v>42944</v>
      </c>
      <c r="E992" s="19">
        <f t="shared" si="73"/>
        <v>2017</v>
      </c>
      <c r="F992" s="19">
        <f t="shared" si="74"/>
        <v>7</v>
      </c>
      <c r="G992" s="30">
        <f t="shared" si="75"/>
        <v>28</v>
      </c>
      <c r="H992" s="29" t="s">
        <v>287</v>
      </c>
      <c r="I992" s="22">
        <v>133.95416</v>
      </c>
      <c r="J992" s="22">
        <v>37.010669999999998</v>
      </c>
      <c r="K992" s="27">
        <v>10</v>
      </c>
      <c r="L992" s="27">
        <v>10</v>
      </c>
      <c r="M992" s="27" t="s">
        <v>287</v>
      </c>
      <c r="N992" s="21">
        <v>25.341100000000001</v>
      </c>
      <c r="O992" s="24">
        <v>34.301099999999998</v>
      </c>
      <c r="P992" s="20">
        <v>3.8926250588235511E-2</v>
      </c>
      <c r="Q992" s="20">
        <v>0.49221221294117612</v>
      </c>
      <c r="R992" s="26" t="s">
        <v>279</v>
      </c>
      <c r="S992" s="26"/>
      <c r="T992" s="71" t="s">
        <v>626</v>
      </c>
    </row>
    <row r="993" spans="1:20" ht="12.75" customHeight="1">
      <c r="A993" s="26" t="s">
        <v>176</v>
      </c>
      <c r="B993" s="26">
        <v>21</v>
      </c>
      <c r="C993" s="26" t="s">
        <v>515</v>
      </c>
      <c r="D993" s="25">
        <v>42944</v>
      </c>
      <c r="E993" s="19">
        <f t="shared" si="73"/>
        <v>2017</v>
      </c>
      <c r="F993" s="19">
        <f t="shared" si="74"/>
        <v>7</v>
      </c>
      <c r="G993" s="30">
        <f t="shared" si="75"/>
        <v>28</v>
      </c>
      <c r="H993" s="29" t="s">
        <v>287</v>
      </c>
      <c r="I993" s="22">
        <v>133.94299000000001</v>
      </c>
      <c r="J993" s="22">
        <v>35.922159999999998</v>
      </c>
      <c r="K993" s="27">
        <v>10</v>
      </c>
      <c r="L993" s="27">
        <v>10</v>
      </c>
      <c r="M993" s="27" t="s">
        <v>287</v>
      </c>
      <c r="N993" s="21">
        <v>27.425699999999999</v>
      </c>
      <c r="O993" s="24">
        <v>32.153100000000002</v>
      </c>
      <c r="P993" s="20">
        <v>-0.40857021058823495</v>
      </c>
      <c r="Q993" s="20">
        <v>-2.6904527329411758</v>
      </c>
      <c r="R993" s="26" t="s">
        <v>279</v>
      </c>
      <c r="S993" s="26"/>
      <c r="T993" s="71" t="s">
        <v>626</v>
      </c>
    </row>
    <row r="994" spans="1:20" ht="12.75" customHeight="1">
      <c r="A994" s="26" t="s">
        <v>141</v>
      </c>
      <c r="B994" s="26" t="s">
        <v>227</v>
      </c>
      <c r="C994" s="26" t="s">
        <v>515</v>
      </c>
      <c r="D994" s="25">
        <v>42615</v>
      </c>
      <c r="E994" s="1">
        <f t="shared" ref="E994:E1022" si="76">YEAR(D994)</f>
        <v>2016</v>
      </c>
      <c r="F994" s="1">
        <f t="shared" si="74"/>
        <v>9</v>
      </c>
      <c r="G994" s="4">
        <f t="shared" si="75"/>
        <v>2</v>
      </c>
      <c r="H994" s="6">
        <v>0.3258564814814815</v>
      </c>
      <c r="I994" s="22">
        <v>132.63533333333334</v>
      </c>
      <c r="J994" s="22">
        <v>35.672166666666669</v>
      </c>
      <c r="K994" s="27">
        <v>0</v>
      </c>
      <c r="L994" s="27">
        <v>0</v>
      </c>
      <c r="M994" s="27">
        <v>0</v>
      </c>
      <c r="N994" s="21">
        <v>24.9</v>
      </c>
      <c r="O994" s="24">
        <v>32.670122487723624</v>
      </c>
      <c r="P994" s="31">
        <v>-0.20809632235294107</v>
      </c>
      <c r="Q994" s="31">
        <v>-1.5414591117647056</v>
      </c>
      <c r="R994" s="26" t="s">
        <v>280</v>
      </c>
      <c r="S994" s="26">
        <v>1</v>
      </c>
      <c r="T994" s="71" t="s">
        <v>626</v>
      </c>
    </row>
    <row r="995" spans="1:20" ht="12.75" customHeight="1">
      <c r="A995" s="26" t="s">
        <v>141</v>
      </c>
      <c r="B995" s="26" t="s">
        <v>227</v>
      </c>
      <c r="C995" s="26" t="s">
        <v>515</v>
      </c>
      <c r="D995" s="25">
        <v>42615</v>
      </c>
      <c r="E995" s="1">
        <f t="shared" si="76"/>
        <v>2016</v>
      </c>
      <c r="F995" s="1">
        <f t="shared" si="74"/>
        <v>9</v>
      </c>
      <c r="G995" s="4">
        <f t="shared" si="75"/>
        <v>2</v>
      </c>
      <c r="H995" s="6">
        <v>0.3258564814814815</v>
      </c>
      <c r="I995" s="22">
        <v>132.63533333333334</v>
      </c>
      <c r="J995" s="22">
        <v>35.672166666666669</v>
      </c>
      <c r="K995" s="27">
        <v>9.8469999999999995</v>
      </c>
      <c r="L995" s="27">
        <v>10</v>
      </c>
      <c r="M995" s="27">
        <v>0</v>
      </c>
      <c r="N995" s="21">
        <v>24.9543</v>
      </c>
      <c r="O995" s="24">
        <v>32.645800000000001</v>
      </c>
      <c r="P995" s="31">
        <v>-0.15405825411764695</v>
      </c>
      <c r="Q995" s="31">
        <v>-1.3264759705882359</v>
      </c>
      <c r="R995" s="26" t="s">
        <v>280</v>
      </c>
      <c r="S995" s="26">
        <v>1</v>
      </c>
      <c r="T995" s="71" t="s">
        <v>626</v>
      </c>
    </row>
    <row r="996" spans="1:20" ht="12.75" customHeight="1">
      <c r="A996" s="26" t="s">
        <v>141</v>
      </c>
      <c r="B996" s="26" t="s">
        <v>227</v>
      </c>
      <c r="C996" s="26" t="s">
        <v>515</v>
      </c>
      <c r="D996" s="25">
        <v>42615</v>
      </c>
      <c r="E996" s="1">
        <f t="shared" si="76"/>
        <v>2016</v>
      </c>
      <c r="F996" s="1">
        <f t="shared" si="74"/>
        <v>9</v>
      </c>
      <c r="G996" s="4">
        <f t="shared" si="75"/>
        <v>2</v>
      </c>
      <c r="H996" s="6">
        <v>0.3258564814814815</v>
      </c>
      <c r="I996" s="22">
        <v>132.63533333333334</v>
      </c>
      <c r="J996" s="22">
        <v>35.672166666666669</v>
      </c>
      <c r="K996" s="27">
        <v>20.503</v>
      </c>
      <c r="L996" s="27">
        <v>20</v>
      </c>
      <c r="M996" s="27">
        <v>0</v>
      </c>
      <c r="N996" s="21">
        <v>24.906199999999998</v>
      </c>
      <c r="O996" s="24">
        <v>32.643099999999997</v>
      </c>
      <c r="P996" s="31">
        <v>-0.18969910588235295</v>
      </c>
      <c r="Q996" s="31">
        <v>-1.3435194294117654</v>
      </c>
      <c r="R996" s="26" t="s">
        <v>280</v>
      </c>
      <c r="S996" s="26">
        <v>1</v>
      </c>
      <c r="T996" s="71" t="s">
        <v>626</v>
      </c>
    </row>
    <row r="997" spans="1:20" ht="12.75" customHeight="1">
      <c r="A997" s="26" t="s">
        <v>141</v>
      </c>
      <c r="B997" s="26" t="s">
        <v>227</v>
      </c>
      <c r="C997" s="26" t="s">
        <v>515</v>
      </c>
      <c r="D997" s="25">
        <v>42615</v>
      </c>
      <c r="E997" s="1">
        <f t="shared" si="76"/>
        <v>2016</v>
      </c>
      <c r="F997" s="1">
        <f t="shared" si="74"/>
        <v>9</v>
      </c>
      <c r="G997" s="4">
        <f t="shared" si="75"/>
        <v>2</v>
      </c>
      <c r="H997" s="6">
        <v>0.3258564814814815</v>
      </c>
      <c r="I997" s="22">
        <v>132.63533333333334</v>
      </c>
      <c r="J997" s="22">
        <v>35.672166666666669</v>
      </c>
      <c r="K997" s="27">
        <v>30.408000000000001</v>
      </c>
      <c r="L997" s="27">
        <v>30</v>
      </c>
      <c r="M997" s="27">
        <v>0</v>
      </c>
      <c r="N997" s="21">
        <v>24.875299999999999</v>
      </c>
      <c r="O997" s="24">
        <v>32.642499999999998</v>
      </c>
      <c r="P997" s="31">
        <v>-0.14178943764705876</v>
      </c>
      <c r="Q997" s="31">
        <v>-1.1297140882352936</v>
      </c>
      <c r="R997" s="26" t="s">
        <v>280</v>
      </c>
      <c r="S997" s="26">
        <v>1</v>
      </c>
      <c r="T997" s="71" t="s">
        <v>626</v>
      </c>
    </row>
    <row r="998" spans="1:20" ht="12.75" customHeight="1">
      <c r="A998" s="26" t="s">
        <v>141</v>
      </c>
      <c r="B998" s="26" t="s">
        <v>227</v>
      </c>
      <c r="C998" s="26" t="s">
        <v>515</v>
      </c>
      <c r="D998" s="25">
        <v>42615</v>
      </c>
      <c r="E998" s="1">
        <f t="shared" si="76"/>
        <v>2016</v>
      </c>
      <c r="F998" s="1">
        <f t="shared" si="74"/>
        <v>9</v>
      </c>
      <c r="G998" s="4">
        <f t="shared" si="75"/>
        <v>2</v>
      </c>
      <c r="H998" s="6">
        <v>0.3258564814814815</v>
      </c>
      <c r="I998" s="22">
        <v>132.63533333333334</v>
      </c>
      <c r="J998" s="22">
        <v>35.672166666666669</v>
      </c>
      <c r="K998" s="27">
        <v>49.808999999999997</v>
      </c>
      <c r="L998" s="27">
        <v>50</v>
      </c>
      <c r="M998" s="27">
        <v>0</v>
      </c>
      <c r="N998" s="21">
        <v>21.686499999999999</v>
      </c>
      <c r="O998" s="24">
        <v>34.127800000000001</v>
      </c>
      <c r="P998" s="31">
        <v>0.18782235058823504</v>
      </c>
      <c r="Q998" s="31">
        <v>1.1157962529411769</v>
      </c>
      <c r="R998" s="26" t="s">
        <v>280</v>
      </c>
      <c r="S998" s="26">
        <v>1</v>
      </c>
      <c r="T998" s="71" t="s">
        <v>626</v>
      </c>
    </row>
    <row r="999" spans="1:20" ht="12.75" customHeight="1">
      <c r="A999" s="26" t="s">
        <v>141</v>
      </c>
      <c r="B999" s="26" t="s">
        <v>227</v>
      </c>
      <c r="C999" s="26" t="s">
        <v>515</v>
      </c>
      <c r="D999" s="25">
        <v>42615</v>
      </c>
      <c r="E999" s="1">
        <f t="shared" si="76"/>
        <v>2016</v>
      </c>
      <c r="F999" s="1">
        <f t="shared" si="74"/>
        <v>9</v>
      </c>
      <c r="G999" s="4">
        <f t="shared" si="75"/>
        <v>2</v>
      </c>
      <c r="H999" s="6">
        <v>0.3258564814814815</v>
      </c>
      <c r="I999" s="22">
        <v>132.63533333333334</v>
      </c>
      <c r="J999" s="22">
        <v>35.672166666666669</v>
      </c>
      <c r="K999" s="27">
        <v>74.227000000000004</v>
      </c>
      <c r="L999" s="27">
        <v>75</v>
      </c>
      <c r="M999" s="27">
        <v>0</v>
      </c>
      <c r="N999" s="21">
        <v>18.193300000000001</v>
      </c>
      <c r="O999" s="24">
        <v>34.366500000000002</v>
      </c>
      <c r="P999" s="31">
        <v>0.17558958352941212</v>
      </c>
      <c r="Q999" s="31">
        <v>1.0874713176470596</v>
      </c>
      <c r="R999" s="26" t="s">
        <v>280</v>
      </c>
      <c r="S999" s="26">
        <v>1</v>
      </c>
      <c r="T999" s="71" t="s">
        <v>626</v>
      </c>
    </row>
    <row r="1000" spans="1:20" ht="12.75" customHeight="1">
      <c r="A1000" s="26" t="s">
        <v>141</v>
      </c>
      <c r="B1000" s="26" t="s">
        <v>227</v>
      </c>
      <c r="C1000" s="26" t="s">
        <v>515</v>
      </c>
      <c r="D1000" s="25">
        <v>42615</v>
      </c>
      <c r="E1000" s="1">
        <f t="shared" si="76"/>
        <v>2016</v>
      </c>
      <c r="F1000" s="1">
        <f t="shared" si="74"/>
        <v>9</v>
      </c>
      <c r="G1000" s="4">
        <f t="shared" si="75"/>
        <v>2</v>
      </c>
      <c r="H1000" s="6">
        <v>0.3258564814814815</v>
      </c>
      <c r="I1000" s="22">
        <v>132.63533333333334</v>
      </c>
      <c r="J1000" s="22">
        <v>35.672166666666669</v>
      </c>
      <c r="K1000" s="27">
        <v>99.956999999999994</v>
      </c>
      <c r="L1000" s="27">
        <v>100</v>
      </c>
      <c r="M1000" s="27">
        <v>0</v>
      </c>
      <c r="N1000" s="21">
        <v>16.520800000000001</v>
      </c>
      <c r="O1000" s="24">
        <v>34.207999999999998</v>
      </c>
      <c r="P1000" s="31">
        <v>0.17283781176470625</v>
      </c>
      <c r="Q1000" s="31">
        <v>0.836634558823528</v>
      </c>
      <c r="R1000" s="26" t="s">
        <v>280</v>
      </c>
      <c r="S1000" s="26">
        <v>1</v>
      </c>
      <c r="T1000" s="71" t="s">
        <v>626</v>
      </c>
    </row>
    <row r="1001" spans="1:20" ht="12.75" customHeight="1">
      <c r="A1001" s="26" t="s">
        <v>141</v>
      </c>
      <c r="B1001" s="26" t="s">
        <v>227</v>
      </c>
      <c r="C1001" s="26" t="s">
        <v>515</v>
      </c>
      <c r="D1001" s="25">
        <v>42615</v>
      </c>
      <c r="E1001" s="1">
        <f t="shared" si="76"/>
        <v>2016</v>
      </c>
      <c r="F1001" s="1">
        <f t="shared" si="74"/>
        <v>9</v>
      </c>
      <c r="G1001" s="4">
        <f t="shared" si="75"/>
        <v>2</v>
      </c>
      <c r="H1001" s="6">
        <v>0.3258564814814815</v>
      </c>
      <c r="I1001" s="22">
        <v>132.63533333333334</v>
      </c>
      <c r="J1001" s="22">
        <v>35.672166666666669</v>
      </c>
      <c r="K1001" s="27">
        <v>119.32599999999999</v>
      </c>
      <c r="L1001" s="27">
        <v>119</v>
      </c>
      <c r="M1001" s="27">
        <v>0</v>
      </c>
      <c r="N1001" s="21">
        <v>15.642799999999999</v>
      </c>
      <c r="O1001" s="24">
        <v>34.394300000000001</v>
      </c>
      <c r="P1001" s="31">
        <v>0.21890896000000071</v>
      </c>
      <c r="Q1001" s="31">
        <v>1.2096392000000016</v>
      </c>
      <c r="R1001" s="26" t="s">
        <v>280</v>
      </c>
      <c r="S1001" s="26">
        <v>1</v>
      </c>
      <c r="T1001" s="71" t="s">
        <v>626</v>
      </c>
    </row>
    <row r="1002" spans="1:20" ht="12.75" customHeight="1">
      <c r="A1002" s="26" t="s">
        <v>142</v>
      </c>
      <c r="B1002" s="26" t="s">
        <v>247</v>
      </c>
      <c r="C1002" s="26" t="s">
        <v>515</v>
      </c>
      <c r="D1002" s="25">
        <v>42754</v>
      </c>
      <c r="E1002" s="1">
        <f t="shared" si="76"/>
        <v>2017</v>
      </c>
      <c r="F1002" s="1">
        <f t="shared" si="74"/>
        <v>1</v>
      </c>
      <c r="G1002" s="4">
        <f t="shared" si="75"/>
        <v>19</v>
      </c>
      <c r="H1002" s="6">
        <v>0.89930555555555547</v>
      </c>
      <c r="I1002" s="22">
        <v>132.24600000000001</v>
      </c>
      <c r="J1002" s="22">
        <v>36</v>
      </c>
      <c r="K1002" s="27">
        <v>0</v>
      </c>
      <c r="L1002" s="27">
        <v>0</v>
      </c>
      <c r="M1002" s="27">
        <v>0</v>
      </c>
      <c r="N1002" s="21">
        <v>14.2</v>
      </c>
      <c r="O1002" s="24">
        <v>34.302900000000001</v>
      </c>
      <c r="P1002" s="31">
        <v>0.20642800000000006</v>
      </c>
      <c r="Q1002" s="31">
        <v>1.1507897388235317</v>
      </c>
      <c r="R1002" s="26" t="s">
        <v>280</v>
      </c>
      <c r="S1002" s="26"/>
      <c r="T1002" s="71" t="s">
        <v>626</v>
      </c>
    </row>
    <row r="1003" spans="1:20" ht="12.75" customHeight="1">
      <c r="A1003" s="26" t="s">
        <v>142</v>
      </c>
      <c r="B1003" s="26" t="s">
        <v>248</v>
      </c>
      <c r="C1003" s="26" t="s">
        <v>515</v>
      </c>
      <c r="D1003" s="25">
        <v>42756</v>
      </c>
      <c r="E1003" s="1">
        <f t="shared" si="76"/>
        <v>2017</v>
      </c>
      <c r="F1003" s="1">
        <f t="shared" si="74"/>
        <v>1</v>
      </c>
      <c r="G1003" s="4">
        <f t="shared" si="75"/>
        <v>21</v>
      </c>
      <c r="H1003" s="6">
        <v>0.49791666666666662</v>
      </c>
      <c r="I1003" s="22">
        <v>132.98699999999999</v>
      </c>
      <c r="J1003" s="22">
        <v>36.484999999999999</v>
      </c>
      <c r="K1003" s="27">
        <v>4.5</v>
      </c>
      <c r="L1003" s="27">
        <v>5</v>
      </c>
      <c r="M1003" s="9">
        <v>0</v>
      </c>
      <c r="N1003" s="21">
        <v>13.461333333333299</v>
      </c>
      <c r="O1003" s="24">
        <v>34.240263333333296</v>
      </c>
      <c r="P1003" s="31">
        <v>0.17880399999999974</v>
      </c>
      <c r="Q1003" s="31">
        <v>0.89275636000000169</v>
      </c>
      <c r="R1003" s="26" t="s">
        <v>280</v>
      </c>
      <c r="S1003" s="26"/>
      <c r="T1003" s="71" t="s">
        <v>626</v>
      </c>
    </row>
    <row r="1004" spans="1:20" ht="12.75" customHeight="1">
      <c r="A1004" s="26" t="s">
        <v>142</v>
      </c>
      <c r="B1004" s="26" t="s">
        <v>248</v>
      </c>
      <c r="C1004" s="26" t="s">
        <v>515</v>
      </c>
      <c r="D1004" s="25">
        <v>42756</v>
      </c>
      <c r="E1004" s="1">
        <f t="shared" si="76"/>
        <v>2017</v>
      </c>
      <c r="F1004" s="1">
        <f t="shared" si="74"/>
        <v>1</v>
      </c>
      <c r="G1004" s="4">
        <f t="shared" si="75"/>
        <v>21</v>
      </c>
      <c r="H1004" s="6">
        <v>0.49791666666666662</v>
      </c>
      <c r="I1004" s="22">
        <v>132.98699999999999</v>
      </c>
      <c r="J1004" s="22">
        <v>36.484999999999999</v>
      </c>
      <c r="K1004" s="27">
        <v>4.5</v>
      </c>
      <c r="L1004" s="27">
        <v>5</v>
      </c>
      <c r="M1004" s="9">
        <v>0</v>
      </c>
      <c r="N1004" s="21">
        <v>13.461333333333299</v>
      </c>
      <c r="O1004" s="24">
        <v>34.240263333333296</v>
      </c>
      <c r="P1004" s="31">
        <v>0.15913599999999994</v>
      </c>
      <c r="Q1004" s="31">
        <v>0.91018698117647112</v>
      </c>
      <c r="R1004" s="26" t="s">
        <v>280</v>
      </c>
      <c r="S1004" s="26"/>
      <c r="T1004" s="71" t="s">
        <v>626</v>
      </c>
    </row>
    <row r="1005" spans="1:20" ht="12.75" customHeight="1">
      <c r="A1005" s="26" t="s">
        <v>142</v>
      </c>
      <c r="B1005" s="26" t="s">
        <v>249</v>
      </c>
      <c r="C1005" s="26" t="s">
        <v>515</v>
      </c>
      <c r="D1005" s="25">
        <v>42756</v>
      </c>
      <c r="E1005" s="1">
        <f t="shared" si="76"/>
        <v>2017</v>
      </c>
      <c r="F1005" s="1">
        <f t="shared" si="74"/>
        <v>1</v>
      </c>
      <c r="G1005" s="4">
        <f t="shared" si="75"/>
        <v>21</v>
      </c>
      <c r="H1005" s="6">
        <v>0.66388888888888886</v>
      </c>
      <c r="I1005" s="22">
        <v>132.79300000000001</v>
      </c>
      <c r="J1005" s="22">
        <v>37.104999999999997</v>
      </c>
      <c r="K1005" s="27">
        <v>4.5</v>
      </c>
      <c r="L1005" s="27">
        <v>5</v>
      </c>
      <c r="M1005" s="9">
        <v>0</v>
      </c>
      <c r="N1005" s="21">
        <v>13.907999999999999</v>
      </c>
      <c r="O1005" s="24">
        <v>34.239763333333293</v>
      </c>
      <c r="P1005" s="31">
        <v>0.18292000000000019</v>
      </c>
      <c r="Q1005" s="31">
        <v>0.98743264235294248</v>
      </c>
      <c r="R1005" s="26" t="s">
        <v>280</v>
      </c>
      <c r="S1005" s="26"/>
      <c r="T1005" s="71" t="s">
        <v>626</v>
      </c>
    </row>
    <row r="1006" spans="1:20" ht="12.75" customHeight="1">
      <c r="A1006" s="26" t="s">
        <v>142</v>
      </c>
      <c r="B1006" s="26" t="s">
        <v>249</v>
      </c>
      <c r="C1006" s="26" t="s">
        <v>515</v>
      </c>
      <c r="D1006" s="25">
        <v>42756</v>
      </c>
      <c r="E1006" s="1">
        <f t="shared" si="76"/>
        <v>2017</v>
      </c>
      <c r="F1006" s="1">
        <f t="shared" si="74"/>
        <v>1</v>
      </c>
      <c r="G1006" s="4">
        <f t="shared" si="75"/>
        <v>21</v>
      </c>
      <c r="H1006" s="6">
        <v>0.66388888888888886</v>
      </c>
      <c r="I1006" s="22">
        <v>132.79300000000001</v>
      </c>
      <c r="J1006" s="22">
        <v>37.104999999999997</v>
      </c>
      <c r="K1006" s="27">
        <v>4.5</v>
      </c>
      <c r="L1006" s="27">
        <v>5</v>
      </c>
      <c r="M1006" s="9">
        <v>0</v>
      </c>
      <c r="N1006" s="21">
        <v>13.907999999999999</v>
      </c>
      <c r="O1006" s="24">
        <v>34.239763333333293</v>
      </c>
      <c r="P1006" s="31">
        <v>0.17487999999999948</v>
      </c>
      <c r="Q1006" s="31">
        <v>0.99049978352941359</v>
      </c>
      <c r="R1006" s="26" t="s">
        <v>280</v>
      </c>
      <c r="S1006" s="26"/>
      <c r="T1006" s="71" t="s">
        <v>626</v>
      </c>
    </row>
    <row r="1007" spans="1:20" ht="12.75" customHeight="1">
      <c r="A1007" s="26" t="s">
        <v>142</v>
      </c>
      <c r="B1007" s="26" t="s">
        <v>250</v>
      </c>
      <c r="C1007" s="26" t="s">
        <v>515</v>
      </c>
      <c r="D1007" s="25">
        <v>42756</v>
      </c>
      <c r="E1007" s="1">
        <f t="shared" si="76"/>
        <v>2017</v>
      </c>
      <c r="F1007" s="1">
        <f t="shared" si="74"/>
        <v>1</v>
      </c>
      <c r="G1007" s="4">
        <f t="shared" si="75"/>
        <v>21</v>
      </c>
      <c r="H1007" s="6">
        <v>0.72569444444444453</v>
      </c>
      <c r="I1007" s="22">
        <v>132.75215</v>
      </c>
      <c r="J1007" s="22">
        <v>37.252783333333333</v>
      </c>
      <c r="K1007" s="27">
        <v>0</v>
      </c>
      <c r="L1007" s="27">
        <v>0</v>
      </c>
      <c r="M1007" s="27">
        <v>0</v>
      </c>
      <c r="N1007" s="21">
        <v>14.2</v>
      </c>
      <c r="O1007" s="24">
        <v>34.350999999999999</v>
      </c>
      <c r="P1007" s="31">
        <v>0.22416400000000003</v>
      </c>
      <c r="Q1007" s="31">
        <v>1.0108818047058836</v>
      </c>
      <c r="R1007" s="26" t="s">
        <v>280</v>
      </c>
      <c r="S1007" s="26"/>
      <c r="T1007" s="71" t="s">
        <v>626</v>
      </c>
    </row>
    <row r="1008" spans="1:20" ht="12.75" customHeight="1">
      <c r="A1008" s="26" t="s">
        <v>142</v>
      </c>
      <c r="B1008" s="26" t="s">
        <v>191</v>
      </c>
      <c r="C1008" s="26" t="s">
        <v>515</v>
      </c>
      <c r="D1008" s="25">
        <v>42757</v>
      </c>
      <c r="E1008" s="1">
        <f t="shared" si="76"/>
        <v>2017</v>
      </c>
      <c r="F1008" s="1">
        <f t="shared" si="74"/>
        <v>1</v>
      </c>
      <c r="G1008" s="4">
        <f t="shared" si="75"/>
        <v>22</v>
      </c>
      <c r="H1008" s="6" t="s">
        <v>287</v>
      </c>
      <c r="I1008" s="22">
        <v>132.75</v>
      </c>
      <c r="J1008" s="22">
        <v>37.013500000000001</v>
      </c>
      <c r="K1008" s="27">
        <v>0</v>
      </c>
      <c r="L1008" s="27">
        <v>0</v>
      </c>
      <c r="M1008" s="27">
        <v>0</v>
      </c>
      <c r="N1008" s="21">
        <v>13.4</v>
      </c>
      <c r="O1008" s="24">
        <v>34.280799999999999</v>
      </c>
      <c r="P1008" s="31">
        <v>0.20143599999999995</v>
      </c>
      <c r="Q1008" s="31">
        <v>1.0050947458823547</v>
      </c>
      <c r="R1008" s="26" t="s">
        <v>280</v>
      </c>
      <c r="S1008" s="26"/>
      <c r="T1008" s="71" t="s">
        <v>626</v>
      </c>
    </row>
    <row r="1009" spans="1:20" ht="12.75" customHeight="1">
      <c r="A1009" s="26" t="s">
        <v>142</v>
      </c>
      <c r="B1009" s="26" t="s">
        <v>251</v>
      </c>
      <c r="C1009" s="26" t="s">
        <v>515</v>
      </c>
      <c r="D1009" s="25">
        <v>42756</v>
      </c>
      <c r="E1009" s="1">
        <f t="shared" si="76"/>
        <v>2017</v>
      </c>
      <c r="F1009" s="1">
        <f t="shared" si="74"/>
        <v>1</v>
      </c>
      <c r="G1009" s="4">
        <f t="shared" si="75"/>
        <v>21</v>
      </c>
      <c r="H1009" s="6">
        <v>0.93611111111111101</v>
      </c>
      <c r="I1009" s="22">
        <v>132.26451666666668</v>
      </c>
      <c r="J1009" s="22">
        <v>37.256633333333333</v>
      </c>
      <c r="K1009" s="27">
        <v>0</v>
      </c>
      <c r="L1009" s="27">
        <v>0</v>
      </c>
      <c r="M1009" s="27">
        <v>0</v>
      </c>
      <c r="N1009" s="21">
        <v>12.9</v>
      </c>
      <c r="O1009" s="24">
        <v>34.204000000000001</v>
      </c>
      <c r="P1009" s="31">
        <v>0.1599493623529411</v>
      </c>
      <c r="Q1009" s="31">
        <v>0.69784213529411687</v>
      </c>
      <c r="R1009" s="26" t="s">
        <v>280</v>
      </c>
      <c r="S1009" s="26"/>
      <c r="T1009" s="71" t="s">
        <v>626</v>
      </c>
    </row>
    <row r="1010" spans="1:20" ht="12.75" customHeight="1">
      <c r="A1010" s="26" t="s">
        <v>142</v>
      </c>
      <c r="B1010" s="26" t="s">
        <v>252</v>
      </c>
      <c r="C1010" s="26" t="s">
        <v>515</v>
      </c>
      <c r="D1010" s="25">
        <v>42758</v>
      </c>
      <c r="E1010" s="1">
        <f t="shared" si="76"/>
        <v>2017</v>
      </c>
      <c r="F1010" s="1">
        <f t="shared" si="74"/>
        <v>1</v>
      </c>
      <c r="G1010" s="4">
        <f t="shared" si="75"/>
        <v>23</v>
      </c>
      <c r="H1010" s="6">
        <v>0.31597222222222221</v>
      </c>
      <c r="I1010" s="22">
        <v>132.69200000000001</v>
      </c>
      <c r="J1010" s="22">
        <v>37.529000000000003</v>
      </c>
      <c r="K1010" s="27">
        <v>4.5</v>
      </c>
      <c r="L1010" s="27">
        <v>5</v>
      </c>
      <c r="M1010" s="9">
        <v>0</v>
      </c>
      <c r="N1010" s="21">
        <v>11.954666666666599</v>
      </c>
      <c r="O1010" s="24">
        <v>33.970929999999996</v>
      </c>
      <c r="P1010" s="31">
        <v>7.9379378823528857E-2</v>
      </c>
      <c r="Q1010" s="31">
        <v>0.48837528235293881</v>
      </c>
      <c r="R1010" s="26" t="s">
        <v>280</v>
      </c>
      <c r="S1010" s="26"/>
      <c r="T1010" s="71" t="s">
        <v>626</v>
      </c>
    </row>
    <row r="1011" spans="1:20" ht="12.75" customHeight="1">
      <c r="A1011" s="26" t="s">
        <v>142</v>
      </c>
      <c r="B1011" s="26" t="s">
        <v>253</v>
      </c>
      <c r="C1011" s="26" t="s">
        <v>515</v>
      </c>
      <c r="D1011" s="25">
        <v>42758</v>
      </c>
      <c r="E1011" s="1">
        <f t="shared" si="76"/>
        <v>2017</v>
      </c>
      <c r="F1011" s="1">
        <f t="shared" si="74"/>
        <v>1</v>
      </c>
      <c r="G1011" s="4">
        <f t="shared" si="75"/>
        <v>23</v>
      </c>
      <c r="H1011" s="6">
        <v>0.48472222222222222</v>
      </c>
      <c r="I1011" s="22">
        <v>132.70699999999999</v>
      </c>
      <c r="J1011" s="22">
        <v>37.741999999999997</v>
      </c>
      <c r="K1011" s="27">
        <v>4.5</v>
      </c>
      <c r="L1011" s="27">
        <v>5</v>
      </c>
      <c r="M1011" s="9">
        <v>0</v>
      </c>
      <c r="N1011" s="21">
        <v>11.988</v>
      </c>
      <c r="O1011" s="24">
        <v>33.964263333333299</v>
      </c>
      <c r="P1011" s="31">
        <v>0.12915826386554574</v>
      </c>
      <c r="Q1011" s="31">
        <v>0.59375152941176523</v>
      </c>
      <c r="R1011" s="26" t="s">
        <v>280</v>
      </c>
      <c r="S1011" s="26"/>
      <c r="T1011" s="71" t="s">
        <v>626</v>
      </c>
    </row>
    <row r="1012" spans="1:20" ht="12.75" customHeight="1">
      <c r="A1012" s="26" t="s">
        <v>142</v>
      </c>
      <c r="B1012" s="26" t="s">
        <v>198</v>
      </c>
      <c r="C1012" s="26" t="s">
        <v>515</v>
      </c>
      <c r="D1012" s="25">
        <v>42758</v>
      </c>
      <c r="E1012" s="1">
        <f t="shared" si="76"/>
        <v>2017</v>
      </c>
      <c r="F1012" s="1">
        <f t="shared" si="74"/>
        <v>1</v>
      </c>
      <c r="G1012" s="4">
        <f t="shared" si="75"/>
        <v>23</v>
      </c>
      <c r="H1012" s="6">
        <v>0.73055555555555562</v>
      </c>
      <c r="I1012" s="22">
        <v>132.74914999999999</v>
      </c>
      <c r="J1012" s="22">
        <v>37.996683333333337</v>
      </c>
      <c r="K1012" s="27">
        <v>0</v>
      </c>
      <c r="L1012" s="27">
        <v>0</v>
      </c>
      <c r="M1012" s="27">
        <v>0</v>
      </c>
      <c r="N1012" s="21">
        <v>12.1</v>
      </c>
      <c r="O1012" s="24">
        <v>34.055999999999997</v>
      </c>
      <c r="P1012" s="31">
        <v>0.14614461176470561</v>
      </c>
      <c r="Q1012" s="31">
        <v>0.5362914764705895</v>
      </c>
      <c r="R1012" s="26" t="s">
        <v>280</v>
      </c>
      <c r="S1012" s="26"/>
      <c r="T1012" s="71" t="s">
        <v>626</v>
      </c>
    </row>
    <row r="1013" spans="1:20" ht="12.75" customHeight="1">
      <c r="A1013" s="26" t="s">
        <v>142</v>
      </c>
      <c r="B1013" s="26" t="s">
        <v>197</v>
      </c>
      <c r="C1013" s="26" t="s">
        <v>515</v>
      </c>
      <c r="D1013" s="25">
        <v>42758</v>
      </c>
      <c r="E1013" s="1">
        <f t="shared" si="76"/>
        <v>2017</v>
      </c>
      <c r="F1013" s="1">
        <f t="shared" si="74"/>
        <v>1</v>
      </c>
      <c r="G1013" s="4">
        <f t="shared" si="75"/>
        <v>23</v>
      </c>
      <c r="H1013" s="6">
        <v>0.85555555555555562</v>
      </c>
      <c r="I1013" s="22">
        <v>132.74825000000001</v>
      </c>
      <c r="J1013" s="22">
        <v>37.752850000000002</v>
      </c>
      <c r="K1013" s="27">
        <v>0</v>
      </c>
      <c r="L1013" s="27">
        <v>0</v>
      </c>
      <c r="M1013" s="27">
        <v>0</v>
      </c>
      <c r="N1013" s="21">
        <v>12.1</v>
      </c>
      <c r="O1013" s="24">
        <v>33.969000000000001</v>
      </c>
      <c r="P1013" s="31">
        <v>9.9452428235293988E-2</v>
      </c>
      <c r="Q1013" s="31">
        <v>0.60819472352940984</v>
      </c>
      <c r="R1013" s="26" t="s">
        <v>280</v>
      </c>
      <c r="S1013" s="26"/>
      <c r="T1013" s="71" t="s">
        <v>626</v>
      </c>
    </row>
    <row r="1014" spans="1:20" ht="12.75" customHeight="1">
      <c r="A1014" s="26" t="s">
        <v>142</v>
      </c>
      <c r="B1014" s="26" t="s">
        <v>254</v>
      </c>
      <c r="C1014" s="26" t="s">
        <v>515</v>
      </c>
      <c r="D1014" s="25">
        <v>42759</v>
      </c>
      <c r="E1014" s="1">
        <f t="shared" si="76"/>
        <v>2017</v>
      </c>
      <c r="F1014" s="1">
        <f t="shared" si="74"/>
        <v>1</v>
      </c>
      <c r="G1014" s="4">
        <f t="shared" si="75"/>
        <v>24</v>
      </c>
      <c r="H1014" s="6">
        <v>0.48472222222222222</v>
      </c>
      <c r="I1014" s="22">
        <v>132.77600000000001</v>
      </c>
      <c r="J1014" s="22">
        <v>38.46</v>
      </c>
      <c r="K1014" s="27">
        <v>4.5</v>
      </c>
      <c r="L1014" s="27">
        <v>5</v>
      </c>
      <c r="M1014" s="9">
        <v>0</v>
      </c>
      <c r="N1014" s="21">
        <v>11.583</v>
      </c>
      <c r="O1014" s="24">
        <v>34.001596666666593</v>
      </c>
      <c r="P1014" s="31">
        <v>0.10367960470588211</v>
      </c>
      <c r="Q1014" s="31">
        <v>0.59365887058823752</v>
      </c>
      <c r="R1014" s="26" t="s">
        <v>280</v>
      </c>
      <c r="S1014" s="26"/>
      <c r="T1014" s="71" t="s">
        <v>626</v>
      </c>
    </row>
    <row r="1015" spans="1:20" ht="12.75" customHeight="1">
      <c r="A1015" s="26" t="s">
        <v>142</v>
      </c>
      <c r="B1015" s="26" t="s">
        <v>64</v>
      </c>
      <c r="C1015" s="26" t="s">
        <v>515</v>
      </c>
      <c r="D1015" s="25">
        <v>42759</v>
      </c>
      <c r="E1015" s="1">
        <f t="shared" si="76"/>
        <v>2017</v>
      </c>
      <c r="F1015" s="1">
        <f t="shared" si="74"/>
        <v>1</v>
      </c>
      <c r="G1015" s="4">
        <f t="shared" si="75"/>
        <v>24</v>
      </c>
      <c r="H1015" s="6">
        <v>0.72916666666666663</v>
      </c>
      <c r="I1015" s="22">
        <v>132.75085000000001</v>
      </c>
      <c r="J1015" s="22">
        <v>38.747933333333336</v>
      </c>
      <c r="K1015" s="27">
        <v>0</v>
      </c>
      <c r="L1015" s="27">
        <v>0</v>
      </c>
      <c r="M1015" s="27">
        <v>0</v>
      </c>
      <c r="N1015" s="21">
        <v>11.5</v>
      </c>
      <c r="O1015" s="24">
        <v>34.051499999999997</v>
      </c>
      <c r="P1015" s="31">
        <v>5.329166117647044E-2</v>
      </c>
      <c r="Q1015" s="31">
        <v>0.44188371764705892</v>
      </c>
      <c r="R1015" s="26" t="s">
        <v>280</v>
      </c>
      <c r="S1015" s="26"/>
      <c r="T1015" s="71" t="s">
        <v>626</v>
      </c>
    </row>
    <row r="1016" spans="1:20" ht="12.75" customHeight="1">
      <c r="A1016" s="26" t="s">
        <v>142</v>
      </c>
      <c r="B1016" s="26" t="s">
        <v>200</v>
      </c>
      <c r="C1016" s="26" t="s">
        <v>515</v>
      </c>
      <c r="D1016" s="25">
        <v>42759</v>
      </c>
      <c r="E1016" s="1">
        <f t="shared" si="76"/>
        <v>2017</v>
      </c>
      <c r="F1016" s="1">
        <f t="shared" si="74"/>
        <v>1</v>
      </c>
      <c r="G1016" s="4">
        <f t="shared" si="75"/>
        <v>24</v>
      </c>
      <c r="H1016" s="6">
        <v>0.86249999999999993</v>
      </c>
      <c r="I1016" s="22">
        <v>132.74965</v>
      </c>
      <c r="J1016" s="22">
        <v>38.50116666666667</v>
      </c>
      <c r="K1016" s="27">
        <v>0</v>
      </c>
      <c r="L1016" s="27">
        <v>0</v>
      </c>
      <c r="M1016" s="27">
        <v>0</v>
      </c>
      <c r="N1016" s="21">
        <v>11.7</v>
      </c>
      <c r="O1016" s="24">
        <v>34.030999999999999</v>
      </c>
      <c r="P1016" s="31">
        <v>0.11044308705882333</v>
      </c>
      <c r="Q1016" s="31">
        <v>0.45934990588235358</v>
      </c>
      <c r="R1016" s="26" t="s">
        <v>280</v>
      </c>
      <c r="S1016" s="26"/>
      <c r="T1016" s="71" t="s">
        <v>626</v>
      </c>
    </row>
    <row r="1017" spans="1:20" ht="12.75" customHeight="1">
      <c r="A1017" s="26" t="s">
        <v>142</v>
      </c>
      <c r="B1017" s="26" t="s">
        <v>255</v>
      </c>
      <c r="C1017" s="26" t="s">
        <v>515</v>
      </c>
      <c r="D1017" s="25">
        <v>42760</v>
      </c>
      <c r="E1017" s="1">
        <f t="shared" si="76"/>
        <v>2017</v>
      </c>
      <c r="F1017" s="1">
        <f t="shared" si="74"/>
        <v>1</v>
      </c>
      <c r="G1017" s="4">
        <f t="shared" si="75"/>
        <v>25</v>
      </c>
      <c r="H1017" s="6">
        <v>0.31597222222222221</v>
      </c>
      <c r="I1017" s="22">
        <v>132.761</v>
      </c>
      <c r="J1017" s="22">
        <v>37.432000000000002</v>
      </c>
      <c r="K1017" s="27">
        <v>4.5</v>
      </c>
      <c r="L1017" s="27">
        <v>5</v>
      </c>
      <c r="M1017" s="9">
        <v>0</v>
      </c>
      <c r="N1017" s="21">
        <v>13.238</v>
      </c>
      <c r="O1017" s="24">
        <v>34.277096666666594</v>
      </c>
      <c r="P1017" s="31">
        <v>0.1629204635294117</v>
      </c>
      <c r="Q1017" s="31">
        <v>0.9144205529411753</v>
      </c>
      <c r="R1017" s="26" t="s">
        <v>280</v>
      </c>
      <c r="S1017" s="26"/>
      <c r="T1017" s="71" t="s">
        <v>626</v>
      </c>
    </row>
    <row r="1018" spans="1:20" ht="12.75" customHeight="1">
      <c r="A1018" s="26" t="s">
        <v>142</v>
      </c>
      <c r="B1018" s="26" t="s">
        <v>203</v>
      </c>
      <c r="C1018" s="26" t="s">
        <v>515</v>
      </c>
      <c r="D1018" s="25">
        <v>42760</v>
      </c>
      <c r="E1018" s="1">
        <f t="shared" si="76"/>
        <v>2017</v>
      </c>
      <c r="F1018" s="1">
        <f t="shared" si="74"/>
        <v>1</v>
      </c>
      <c r="G1018" s="4">
        <f t="shared" si="75"/>
        <v>25</v>
      </c>
      <c r="H1018" s="6">
        <v>0.72638888888888886</v>
      </c>
      <c r="I1018" s="22">
        <v>132.25006666666667</v>
      </c>
      <c r="J1018" s="22">
        <v>36.997666666666667</v>
      </c>
      <c r="K1018" s="27">
        <v>0</v>
      </c>
      <c r="L1018" s="27">
        <v>0</v>
      </c>
      <c r="M1018" s="27">
        <v>0</v>
      </c>
      <c r="N1018" s="21">
        <v>13.5</v>
      </c>
      <c r="O1018" s="24">
        <v>34.291800000000002</v>
      </c>
      <c r="P1018" s="31">
        <v>0.17248595999999994</v>
      </c>
      <c r="Q1018" s="31">
        <v>0.92410340000000168</v>
      </c>
      <c r="R1018" s="26" t="s">
        <v>280</v>
      </c>
      <c r="S1018" s="26"/>
      <c r="T1018" s="71" t="s">
        <v>626</v>
      </c>
    </row>
    <row r="1019" spans="1:20" ht="12.75" customHeight="1">
      <c r="A1019" s="26" t="s">
        <v>142</v>
      </c>
      <c r="B1019" s="26" t="s">
        <v>202</v>
      </c>
      <c r="C1019" s="26" t="s">
        <v>515</v>
      </c>
      <c r="D1019" s="25">
        <v>42760</v>
      </c>
      <c r="E1019" s="1">
        <f t="shared" si="76"/>
        <v>2017</v>
      </c>
      <c r="F1019" s="1">
        <f t="shared" si="74"/>
        <v>1</v>
      </c>
      <c r="G1019" s="4">
        <f t="shared" si="75"/>
        <v>25</v>
      </c>
      <c r="H1019" s="6">
        <v>0.84722222222222221</v>
      </c>
      <c r="I1019" s="22">
        <v>132.24793333333332</v>
      </c>
      <c r="J1019" s="22">
        <v>36.749183333333335</v>
      </c>
      <c r="K1019" s="27">
        <v>0</v>
      </c>
      <c r="L1019" s="27">
        <v>0</v>
      </c>
      <c r="M1019" s="27">
        <v>0</v>
      </c>
      <c r="N1019" s="21">
        <v>12</v>
      </c>
      <c r="O1019" s="24">
        <v>34.148000000000003</v>
      </c>
      <c r="P1019" s="31">
        <v>0.11717033647058828</v>
      </c>
      <c r="Q1019" s="31">
        <v>0.56558324705882335</v>
      </c>
      <c r="R1019" s="26" t="s">
        <v>280</v>
      </c>
      <c r="S1019" s="26"/>
      <c r="T1019" s="71" t="s">
        <v>626</v>
      </c>
    </row>
    <row r="1020" spans="1:20" ht="12.75" customHeight="1">
      <c r="A1020" s="26" t="s">
        <v>142</v>
      </c>
      <c r="B1020" s="26" t="s">
        <v>256</v>
      </c>
      <c r="C1020" s="26" t="s">
        <v>515</v>
      </c>
      <c r="D1020" s="25">
        <v>42760</v>
      </c>
      <c r="E1020" s="1">
        <f t="shared" si="76"/>
        <v>2017</v>
      </c>
      <c r="F1020" s="1">
        <f t="shared" si="74"/>
        <v>1</v>
      </c>
      <c r="G1020" s="4">
        <f t="shared" si="75"/>
        <v>25</v>
      </c>
      <c r="H1020" s="6">
        <v>0.97430555555555554</v>
      </c>
      <c r="I1020" s="22">
        <v>132.25</v>
      </c>
      <c r="J1020" s="22">
        <v>36.503999999999998</v>
      </c>
      <c r="K1020" s="27">
        <v>4.5</v>
      </c>
      <c r="L1020" s="27">
        <v>5</v>
      </c>
      <c r="M1020" s="9">
        <v>0</v>
      </c>
      <c r="N1020" s="21">
        <v>12.927999999999999</v>
      </c>
      <c r="O1020" s="24">
        <v>34.139596666666598</v>
      </c>
      <c r="P1020" s="31">
        <v>0.19982975294117677</v>
      </c>
      <c r="Q1020" s="31">
        <v>0.61720579411764476</v>
      </c>
      <c r="R1020" s="26" t="s">
        <v>280</v>
      </c>
      <c r="S1020" s="26"/>
      <c r="T1020" s="71" t="s">
        <v>626</v>
      </c>
    </row>
    <row r="1021" spans="1:20" ht="12.75" customHeight="1">
      <c r="A1021" s="26" t="s">
        <v>142</v>
      </c>
      <c r="B1021" s="26" t="s">
        <v>257</v>
      </c>
      <c r="C1021" s="26" t="s">
        <v>515</v>
      </c>
      <c r="D1021" s="25">
        <v>42761</v>
      </c>
      <c r="E1021" s="1">
        <f t="shared" si="76"/>
        <v>2017</v>
      </c>
      <c r="F1021" s="1">
        <f t="shared" si="74"/>
        <v>1</v>
      </c>
      <c r="G1021" s="4">
        <f t="shared" si="75"/>
        <v>26</v>
      </c>
      <c r="H1021" s="6">
        <v>0.30972222222222223</v>
      </c>
      <c r="I1021" s="22">
        <v>130.96899999999999</v>
      </c>
      <c r="J1021" s="22">
        <v>35.225999999999999</v>
      </c>
      <c r="K1021" s="27">
        <v>4.5</v>
      </c>
      <c r="L1021" s="27">
        <v>5</v>
      </c>
      <c r="M1021" s="9">
        <v>0</v>
      </c>
      <c r="N1021" s="21">
        <v>15.419666666666599</v>
      </c>
      <c r="O1021" s="24">
        <v>34.559763333333294</v>
      </c>
      <c r="P1021" s="31">
        <v>0.25846672941176418</v>
      </c>
      <c r="Q1021" s="31">
        <v>1.4024777411764706</v>
      </c>
      <c r="R1021" s="26" t="s">
        <v>280</v>
      </c>
      <c r="S1021" s="26"/>
      <c r="T1021" s="71" t="s">
        <v>626</v>
      </c>
    </row>
    <row r="1022" spans="1:20" ht="12.75" customHeight="1">
      <c r="A1022" s="26" t="s">
        <v>142</v>
      </c>
      <c r="B1022" s="26" t="s">
        <v>258</v>
      </c>
      <c r="C1022" s="26" t="s">
        <v>515</v>
      </c>
      <c r="D1022" s="25">
        <v>42761</v>
      </c>
      <c r="E1022" s="1">
        <f t="shared" si="76"/>
        <v>2017</v>
      </c>
      <c r="F1022" s="1">
        <f t="shared" si="74"/>
        <v>1</v>
      </c>
      <c r="G1022" s="4">
        <f t="shared" si="75"/>
        <v>26</v>
      </c>
      <c r="H1022" s="6">
        <v>0.44791666666666669</v>
      </c>
      <c r="I1022" s="22">
        <v>130.529</v>
      </c>
      <c r="J1022" s="22">
        <v>34.646000000000001</v>
      </c>
      <c r="K1022" s="27">
        <v>4.5</v>
      </c>
      <c r="L1022" s="27">
        <v>5</v>
      </c>
      <c r="M1022" s="9">
        <v>0</v>
      </c>
      <c r="N1022" s="21">
        <v>15.947999999999999</v>
      </c>
      <c r="O1022" s="24">
        <v>34.617429999999899</v>
      </c>
      <c r="P1022" s="31">
        <v>0.25037470588235289</v>
      </c>
      <c r="Q1022" s="31">
        <v>1.4800910882352909</v>
      </c>
      <c r="R1022" s="26" t="s">
        <v>280</v>
      </c>
      <c r="S1022" s="26"/>
      <c r="T1022" s="71" t="s">
        <v>626</v>
      </c>
    </row>
    <row r="1023" spans="1:20" ht="12.75" customHeight="1">
      <c r="A1023" s="19" t="s">
        <v>392</v>
      </c>
      <c r="B1023" s="19" t="s">
        <v>364</v>
      </c>
      <c r="C1023" s="19" t="s">
        <v>515</v>
      </c>
      <c r="D1023" s="34">
        <v>43306</v>
      </c>
      <c r="E1023" s="19">
        <v>2018</v>
      </c>
      <c r="F1023" s="19">
        <v>7</v>
      </c>
      <c r="G1023" s="30">
        <v>25</v>
      </c>
      <c r="H1023" s="29">
        <v>0.79818287037037028</v>
      </c>
      <c r="I1023" s="35">
        <v>133.49133333333333</v>
      </c>
      <c r="J1023" s="35">
        <v>36.25</v>
      </c>
      <c r="K1023" s="28">
        <v>10</v>
      </c>
      <c r="L1023" s="28">
        <v>10</v>
      </c>
      <c r="M1023" s="28">
        <v>0</v>
      </c>
      <c r="N1023" s="36">
        <v>23.401</v>
      </c>
      <c r="O1023" s="35">
        <v>33.751600000000003</v>
      </c>
      <c r="P1023" s="20">
        <v>2.548052941176504E-2</v>
      </c>
      <c r="Q1023" s="20">
        <v>-3.6337694117646535E-2</v>
      </c>
      <c r="R1023" s="26" t="s">
        <v>393</v>
      </c>
      <c r="S1023" s="26"/>
      <c r="T1023" s="71" t="s">
        <v>626</v>
      </c>
    </row>
    <row r="1024" spans="1:20" ht="12.75" customHeight="1">
      <c r="A1024" s="19" t="s">
        <v>392</v>
      </c>
      <c r="B1024" s="19" t="s">
        <v>365</v>
      </c>
      <c r="C1024" s="19" t="s">
        <v>515</v>
      </c>
      <c r="D1024" s="34">
        <v>43306</v>
      </c>
      <c r="E1024" s="19">
        <v>2018</v>
      </c>
      <c r="F1024" s="19">
        <v>7</v>
      </c>
      <c r="G1024" s="30">
        <v>25</v>
      </c>
      <c r="H1024" s="29">
        <v>0.70094907407407403</v>
      </c>
      <c r="I1024" s="35">
        <v>133.50149999999999</v>
      </c>
      <c r="J1024" s="35">
        <v>36.491666666666667</v>
      </c>
      <c r="K1024" s="28">
        <v>10</v>
      </c>
      <c r="L1024" s="28">
        <v>10</v>
      </c>
      <c r="M1024" s="28">
        <v>0</v>
      </c>
      <c r="N1024" s="36">
        <v>22.997900000000001</v>
      </c>
      <c r="O1024" s="35">
        <v>33.657200000000003</v>
      </c>
      <c r="P1024" s="20">
        <v>-9.8403088235293978E-2</v>
      </c>
      <c r="Q1024" s="20">
        <v>-0.51856551764705827</v>
      </c>
      <c r="R1024" s="26" t="s">
        <v>393</v>
      </c>
      <c r="S1024" s="26"/>
      <c r="T1024" s="71" t="s">
        <v>626</v>
      </c>
    </row>
    <row r="1025" spans="1:20" ht="12.75" customHeight="1">
      <c r="A1025" s="19" t="s">
        <v>392</v>
      </c>
      <c r="B1025" s="19" t="s">
        <v>366</v>
      </c>
      <c r="C1025" s="19" t="s">
        <v>515</v>
      </c>
      <c r="D1025" s="34">
        <v>43306</v>
      </c>
      <c r="E1025" s="19">
        <v>2018</v>
      </c>
      <c r="F1025" s="19">
        <v>7</v>
      </c>
      <c r="G1025" s="30">
        <v>25</v>
      </c>
      <c r="H1025" s="29">
        <v>0.55853009259259256</v>
      </c>
      <c r="I1025" s="35">
        <v>133.49916666666667</v>
      </c>
      <c r="J1025" s="35">
        <v>36.74</v>
      </c>
      <c r="K1025" s="28">
        <v>10</v>
      </c>
      <c r="L1025" s="28">
        <v>10</v>
      </c>
      <c r="M1025" s="28">
        <v>0</v>
      </c>
      <c r="N1025" s="36">
        <v>24.372900000000001</v>
      </c>
      <c r="O1025" s="35">
        <v>33.691899999999997</v>
      </c>
      <c r="P1025" s="20">
        <v>-8.6178010588235487E-2</v>
      </c>
      <c r="Q1025" s="20">
        <v>-0.41674317647058956</v>
      </c>
      <c r="R1025" s="26" t="s">
        <v>393</v>
      </c>
      <c r="S1025" s="26"/>
      <c r="T1025" s="71" t="s">
        <v>626</v>
      </c>
    </row>
    <row r="1026" spans="1:20" ht="12.75" customHeight="1">
      <c r="A1026" s="19" t="s">
        <v>392</v>
      </c>
      <c r="B1026" s="19" t="s">
        <v>367</v>
      </c>
      <c r="C1026" s="19" t="s">
        <v>515</v>
      </c>
      <c r="D1026" s="34">
        <v>43306</v>
      </c>
      <c r="E1026" s="19">
        <v>2018</v>
      </c>
      <c r="F1026" s="19">
        <v>7</v>
      </c>
      <c r="G1026" s="30">
        <v>25</v>
      </c>
      <c r="H1026" s="29">
        <v>0.44152777777777774</v>
      </c>
      <c r="I1026" s="35">
        <v>133.50516666666667</v>
      </c>
      <c r="J1026" s="35">
        <v>37.008333333333333</v>
      </c>
      <c r="K1026" s="28">
        <v>10</v>
      </c>
      <c r="L1026" s="28">
        <v>10</v>
      </c>
      <c r="M1026" s="28">
        <v>0</v>
      </c>
      <c r="N1026" s="36">
        <v>23.4724</v>
      </c>
      <c r="O1026" s="35">
        <v>33.762799999999999</v>
      </c>
      <c r="P1026" s="20">
        <v>1.6619117647059145E-2</v>
      </c>
      <c r="Q1026" s="20">
        <v>-8.0508505882351145E-2</v>
      </c>
      <c r="R1026" s="26" t="s">
        <v>393</v>
      </c>
      <c r="S1026" s="26"/>
      <c r="T1026" s="71" t="s">
        <v>626</v>
      </c>
    </row>
    <row r="1027" spans="1:20" ht="12.75" customHeight="1">
      <c r="A1027" s="19" t="s">
        <v>392</v>
      </c>
      <c r="B1027" s="19" t="s">
        <v>394</v>
      </c>
      <c r="C1027" s="19" t="s">
        <v>515</v>
      </c>
      <c r="D1027" s="34">
        <v>43306</v>
      </c>
      <c r="E1027" s="19">
        <v>2018</v>
      </c>
      <c r="F1027" s="19">
        <v>7</v>
      </c>
      <c r="G1027" s="30">
        <v>25</v>
      </c>
      <c r="H1027" s="29">
        <v>0.28722222222222221</v>
      </c>
      <c r="I1027" s="35">
        <v>133.5085</v>
      </c>
      <c r="J1027" s="35">
        <v>37.26</v>
      </c>
      <c r="K1027" s="28">
        <v>10</v>
      </c>
      <c r="L1027" s="28">
        <v>10</v>
      </c>
      <c r="M1027" s="28">
        <v>0</v>
      </c>
      <c r="N1027" s="36">
        <v>22.471</v>
      </c>
      <c r="O1027" s="35">
        <v>33.803899999999999</v>
      </c>
      <c r="P1027" s="20">
        <v>-6.9541154117647386E-2</v>
      </c>
      <c r="Q1027" s="20">
        <v>-3.0141835294116959E-2</v>
      </c>
      <c r="R1027" s="26" t="s">
        <v>393</v>
      </c>
      <c r="S1027" s="26"/>
      <c r="T1027" s="71" t="s">
        <v>626</v>
      </c>
    </row>
    <row r="1028" spans="1:20" ht="12.75" customHeight="1">
      <c r="A1028" s="19" t="s">
        <v>392</v>
      </c>
      <c r="B1028" s="19" t="s">
        <v>395</v>
      </c>
      <c r="C1028" s="19" t="s">
        <v>515</v>
      </c>
      <c r="D1028" s="34">
        <v>43305</v>
      </c>
      <c r="E1028" s="19">
        <v>2018</v>
      </c>
      <c r="F1028" s="19">
        <v>7</v>
      </c>
      <c r="G1028" s="30">
        <v>24</v>
      </c>
      <c r="H1028" s="29">
        <v>0.8825115740740741</v>
      </c>
      <c r="I1028" s="35">
        <v>133.501</v>
      </c>
      <c r="J1028" s="35">
        <v>37.488333333333337</v>
      </c>
      <c r="K1028" s="28">
        <v>10</v>
      </c>
      <c r="L1028" s="28">
        <v>10</v>
      </c>
      <c r="M1028" s="28">
        <v>0</v>
      </c>
      <c r="N1028" s="36">
        <v>20.877300000000002</v>
      </c>
      <c r="O1028" s="35">
        <v>34.220999999999997</v>
      </c>
      <c r="P1028" s="20">
        <v>7.429833411764708E-2</v>
      </c>
      <c r="Q1028" s="20">
        <v>0.54026963529411809</v>
      </c>
      <c r="R1028" s="26" t="s">
        <v>393</v>
      </c>
      <c r="S1028" s="26"/>
      <c r="T1028" s="71" t="s">
        <v>626</v>
      </c>
    </row>
    <row r="1029" spans="1:20" ht="12.75" customHeight="1">
      <c r="A1029" s="19" t="s">
        <v>392</v>
      </c>
      <c r="B1029" s="19" t="s">
        <v>368</v>
      </c>
      <c r="C1029" s="19" t="s">
        <v>515</v>
      </c>
      <c r="D1029" s="34">
        <v>43305</v>
      </c>
      <c r="E1029" s="19">
        <v>2018</v>
      </c>
      <c r="F1029" s="19">
        <v>7</v>
      </c>
      <c r="G1029" s="30">
        <v>24</v>
      </c>
      <c r="H1029" s="29">
        <v>0.70928240740740733</v>
      </c>
      <c r="I1029" s="35">
        <v>133.51533333333333</v>
      </c>
      <c r="J1029" s="35">
        <v>37.768333333333331</v>
      </c>
      <c r="K1029" s="28">
        <v>500</v>
      </c>
      <c r="L1029" s="28">
        <v>500</v>
      </c>
      <c r="M1029" s="28">
        <v>0</v>
      </c>
      <c r="N1029" s="36">
        <v>0.62409999999999999</v>
      </c>
      <c r="O1029" s="35">
        <v>34.068100000000001</v>
      </c>
      <c r="P1029" s="20">
        <v>-1.0236497647059029E-2</v>
      </c>
      <c r="Q1029" s="20">
        <v>-0.59649909411765023</v>
      </c>
      <c r="R1029" s="26" t="s">
        <v>393</v>
      </c>
      <c r="S1029" s="26">
        <v>1</v>
      </c>
      <c r="T1029" s="71" t="s">
        <v>626</v>
      </c>
    </row>
    <row r="1030" spans="1:20" ht="12.75" customHeight="1">
      <c r="A1030" s="19" t="s">
        <v>392</v>
      </c>
      <c r="B1030" s="19" t="s">
        <v>368</v>
      </c>
      <c r="C1030" s="19" t="s">
        <v>515</v>
      </c>
      <c r="D1030" s="34">
        <v>43305</v>
      </c>
      <c r="E1030" s="19">
        <v>2018</v>
      </c>
      <c r="F1030" s="19">
        <v>7</v>
      </c>
      <c r="G1030" s="30">
        <v>24</v>
      </c>
      <c r="H1030" s="29">
        <v>0.71082175925925928</v>
      </c>
      <c r="I1030" s="35">
        <v>133.51533333333333</v>
      </c>
      <c r="J1030" s="35">
        <v>37.768333333333331</v>
      </c>
      <c r="K1030" s="28">
        <v>400</v>
      </c>
      <c r="L1030" s="28">
        <v>400</v>
      </c>
      <c r="M1030" s="28">
        <v>0</v>
      </c>
      <c r="N1030" s="36">
        <v>0.76329999999999998</v>
      </c>
      <c r="O1030" s="35">
        <v>34.061999999999998</v>
      </c>
      <c r="P1030" s="20">
        <v>-8.9285469411764851E-2</v>
      </c>
      <c r="Q1030" s="20">
        <v>-0.9518300235294106</v>
      </c>
      <c r="R1030" s="26" t="s">
        <v>393</v>
      </c>
      <c r="S1030" s="26">
        <v>1</v>
      </c>
      <c r="T1030" s="71" t="s">
        <v>626</v>
      </c>
    </row>
    <row r="1031" spans="1:20" ht="12.75" customHeight="1">
      <c r="A1031" s="19" t="s">
        <v>392</v>
      </c>
      <c r="B1031" s="19" t="s">
        <v>368</v>
      </c>
      <c r="C1031" s="19" t="s">
        <v>515</v>
      </c>
      <c r="D1031" s="34">
        <v>43305</v>
      </c>
      <c r="E1031" s="19">
        <v>2018</v>
      </c>
      <c r="F1031" s="19">
        <v>7</v>
      </c>
      <c r="G1031" s="30">
        <v>24</v>
      </c>
      <c r="H1031" s="29">
        <v>0.7123032407407407</v>
      </c>
      <c r="I1031" s="35">
        <v>133.51533333333333</v>
      </c>
      <c r="J1031" s="35">
        <v>37.768333333333331</v>
      </c>
      <c r="K1031" s="28">
        <v>300</v>
      </c>
      <c r="L1031" s="28">
        <v>300</v>
      </c>
      <c r="M1031" s="28">
        <v>0</v>
      </c>
      <c r="N1031" s="36">
        <v>0.95569999999999999</v>
      </c>
      <c r="O1031" s="35">
        <v>34.052700000000002</v>
      </c>
      <c r="P1031" s="20">
        <v>-4.2805056470588188E-2</v>
      </c>
      <c r="Q1031" s="20">
        <v>-0.77444674117647061</v>
      </c>
      <c r="R1031" s="26" t="s">
        <v>393</v>
      </c>
      <c r="S1031" s="26">
        <v>1</v>
      </c>
      <c r="T1031" s="71" t="s">
        <v>626</v>
      </c>
    </row>
    <row r="1032" spans="1:20" ht="12.75" customHeight="1">
      <c r="A1032" s="19" t="s">
        <v>392</v>
      </c>
      <c r="B1032" s="19" t="s">
        <v>368</v>
      </c>
      <c r="C1032" s="19" t="s">
        <v>515</v>
      </c>
      <c r="D1032" s="34">
        <v>43305</v>
      </c>
      <c r="E1032" s="19">
        <v>2018</v>
      </c>
      <c r="F1032" s="19">
        <v>7</v>
      </c>
      <c r="G1032" s="30">
        <v>24</v>
      </c>
      <c r="H1032" s="29">
        <v>0.71379629629629626</v>
      </c>
      <c r="I1032" s="35">
        <v>133.51533333333333</v>
      </c>
      <c r="J1032" s="35">
        <v>37.768333333333331</v>
      </c>
      <c r="K1032" s="28">
        <v>200</v>
      </c>
      <c r="L1032" s="28">
        <v>200</v>
      </c>
      <c r="M1032" s="28">
        <v>0</v>
      </c>
      <c r="N1032" s="36">
        <v>1.9191</v>
      </c>
      <c r="O1032" s="35">
        <v>34.023000000000003</v>
      </c>
      <c r="P1032" s="20">
        <v>1.1635231764705711E-2</v>
      </c>
      <c r="Q1032" s="20">
        <v>0.24219292941176462</v>
      </c>
      <c r="R1032" s="26" t="s">
        <v>393</v>
      </c>
      <c r="S1032" s="26">
        <v>1</v>
      </c>
      <c r="T1032" s="71" t="s">
        <v>626</v>
      </c>
    </row>
    <row r="1033" spans="1:20" ht="12.75" customHeight="1">
      <c r="A1033" s="19" t="s">
        <v>392</v>
      </c>
      <c r="B1033" s="19" t="s">
        <v>368</v>
      </c>
      <c r="C1033" s="19" t="s">
        <v>515</v>
      </c>
      <c r="D1033" s="34">
        <v>43305</v>
      </c>
      <c r="E1033" s="19">
        <v>2018</v>
      </c>
      <c r="F1033" s="19">
        <v>7</v>
      </c>
      <c r="G1033" s="30">
        <v>24</v>
      </c>
      <c r="H1033" s="29">
        <v>0.71480324074074064</v>
      </c>
      <c r="I1033" s="35">
        <v>133.51533333333333</v>
      </c>
      <c r="J1033" s="35">
        <v>37.768333333333331</v>
      </c>
      <c r="K1033" s="28">
        <v>150</v>
      </c>
      <c r="L1033" s="28">
        <v>150</v>
      </c>
      <c r="M1033" s="28">
        <v>0</v>
      </c>
      <c r="N1033" s="36">
        <v>3.6358000000000001</v>
      </c>
      <c r="O1033" s="35">
        <v>34.04</v>
      </c>
      <c r="P1033" s="20">
        <v>-6.538193999999975E-2</v>
      </c>
      <c r="Q1033" s="20">
        <v>-0.77670420000000107</v>
      </c>
      <c r="R1033" s="26" t="s">
        <v>393</v>
      </c>
      <c r="S1033" s="26">
        <v>1</v>
      </c>
      <c r="T1033" s="71" t="s">
        <v>626</v>
      </c>
    </row>
    <row r="1034" spans="1:20" ht="12.75" customHeight="1">
      <c r="A1034" s="19" t="s">
        <v>392</v>
      </c>
      <c r="B1034" s="19" t="s">
        <v>368</v>
      </c>
      <c r="C1034" s="19" t="s">
        <v>515</v>
      </c>
      <c r="D1034" s="34">
        <v>43305</v>
      </c>
      <c r="E1034" s="19">
        <v>2018</v>
      </c>
      <c r="F1034" s="19">
        <v>7</v>
      </c>
      <c r="G1034" s="30">
        <v>24</v>
      </c>
      <c r="H1034" s="29">
        <v>0.71538194444444436</v>
      </c>
      <c r="I1034" s="35">
        <v>133.51533333333333</v>
      </c>
      <c r="J1034" s="35">
        <v>37.768333333333331</v>
      </c>
      <c r="K1034" s="28">
        <v>125</v>
      </c>
      <c r="L1034" s="28">
        <v>125</v>
      </c>
      <c r="M1034" s="28">
        <v>0</v>
      </c>
      <c r="N1034" s="36">
        <v>4.8628</v>
      </c>
      <c r="O1034" s="35">
        <v>34.083599999999997</v>
      </c>
      <c r="P1034" s="20">
        <v>-2.3132451764706019E-2</v>
      </c>
      <c r="Q1034" s="20">
        <v>-0.47375552941176302</v>
      </c>
      <c r="R1034" s="26" t="s">
        <v>393</v>
      </c>
      <c r="S1034" s="26">
        <v>1</v>
      </c>
      <c r="T1034" s="71" t="s">
        <v>626</v>
      </c>
    </row>
    <row r="1035" spans="1:20" ht="12.75" customHeight="1">
      <c r="A1035" s="19" t="s">
        <v>392</v>
      </c>
      <c r="B1035" s="19" t="s">
        <v>368</v>
      </c>
      <c r="C1035" s="19" t="s">
        <v>515</v>
      </c>
      <c r="D1035" s="34">
        <v>43305</v>
      </c>
      <c r="E1035" s="19">
        <v>2018</v>
      </c>
      <c r="F1035" s="19">
        <v>7</v>
      </c>
      <c r="G1035" s="30">
        <v>24</v>
      </c>
      <c r="H1035" s="29">
        <v>0.71596064814814808</v>
      </c>
      <c r="I1035" s="35">
        <v>133.51533333333333</v>
      </c>
      <c r="J1035" s="35">
        <v>37.768333333333331</v>
      </c>
      <c r="K1035" s="28">
        <v>100</v>
      </c>
      <c r="L1035" s="28">
        <v>100</v>
      </c>
      <c r="M1035" s="28">
        <v>0</v>
      </c>
      <c r="N1035" s="36">
        <v>6.7186000000000003</v>
      </c>
      <c r="O1035" s="35">
        <v>34.151600000000002</v>
      </c>
      <c r="P1035" s="20">
        <v>-4.5494203529412136E-2</v>
      </c>
      <c r="Q1035" s="20">
        <v>-0.15807985882353037</v>
      </c>
      <c r="R1035" s="26" t="s">
        <v>393</v>
      </c>
      <c r="S1035" s="26">
        <v>1</v>
      </c>
      <c r="T1035" s="71" t="s">
        <v>626</v>
      </c>
    </row>
    <row r="1036" spans="1:20" ht="12.75" customHeight="1">
      <c r="A1036" s="19" t="s">
        <v>392</v>
      </c>
      <c r="B1036" s="19" t="s">
        <v>368</v>
      </c>
      <c r="C1036" s="19" t="s">
        <v>515</v>
      </c>
      <c r="D1036" s="34">
        <v>43305</v>
      </c>
      <c r="E1036" s="19">
        <v>2018</v>
      </c>
      <c r="F1036" s="19">
        <v>7</v>
      </c>
      <c r="G1036" s="30">
        <v>24</v>
      </c>
      <c r="H1036" s="29">
        <v>0.71646990740740746</v>
      </c>
      <c r="I1036" s="35">
        <v>133.51533333333333</v>
      </c>
      <c r="J1036" s="35">
        <v>37.768333333333331</v>
      </c>
      <c r="K1036" s="28">
        <v>80</v>
      </c>
      <c r="L1036" s="28">
        <v>80</v>
      </c>
      <c r="M1036" s="28">
        <v>0</v>
      </c>
      <c r="N1036" s="36">
        <v>7.4617000000000004</v>
      </c>
      <c r="O1036" s="35">
        <v>34.1982</v>
      </c>
      <c r="P1036" s="20">
        <v>6.1976064705882017E-2</v>
      </c>
      <c r="Q1036" s="20">
        <v>0.23532841176470498</v>
      </c>
      <c r="R1036" s="26" t="s">
        <v>393</v>
      </c>
      <c r="S1036" s="26">
        <v>1</v>
      </c>
      <c r="T1036" s="71" t="s">
        <v>626</v>
      </c>
    </row>
    <row r="1037" spans="1:20" ht="12.75" customHeight="1">
      <c r="A1037" s="19" t="s">
        <v>392</v>
      </c>
      <c r="B1037" s="19" t="s">
        <v>368</v>
      </c>
      <c r="C1037" s="19" t="s">
        <v>515</v>
      </c>
      <c r="D1037" s="34">
        <v>43305</v>
      </c>
      <c r="E1037" s="19">
        <v>2018</v>
      </c>
      <c r="F1037" s="19">
        <v>7</v>
      </c>
      <c r="G1037" s="30">
        <v>24</v>
      </c>
      <c r="H1037" s="29">
        <v>0.71701388888888884</v>
      </c>
      <c r="I1037" s="35">
        <v>133.51533333333333</v>
      </c>
      <c r="J1037" s="35">
        <v>37.768333333333331</v>
      </c>
      <c r="K1037" s="28">
        <v>60</v>
      </c>
      <c r="L1037" s="28">
        <v>60</v>
      </c>
      <c r="M1037" s="28">
        <v>0</v>
      </c>
      <c r="N1037" s="36">
        <v>9.3872</v>
      </c>
      <c r="O1037" s="35">
        <v>34.278799999999997</v>
      </c>
      <c r="P1037" s="20">
        <v>3.5398327941176255E-2</v>
      </c>
      <c r="Q1037" s="20">
        <v>0.30302338235294179</v>
      </c>
      <c r="R1037" s="26" t="s">
        <v>393</v>
      </c>
      <c r="S1037" s="26">
        <v>1</v>
      </c>
      <c r="T1037" s="71" t="s">
        <v>626</v>
      </c>
    </row>
    <row r="1038" spans="1:20" ht="12.75" customHeight="1">
      <c r="A1038" s="19" t="s">
        <v>392</v>
      </c>
      <c r="B1038" s="19" t="s">
        <v>368</v>
      </c>
      <c r="C1038" s="19" t="s">
        <v>515</v>
      </c>
      <c r="D1038" s="34">
        <v>43305</v>
      </c>
      <c r="E1038" s="19">
        <v>2018</v>
      </c>
      <c r="F1038" s="19">
        <v>7</v>
      </c>
      <c r="G1038" s="30">
        <v>24</v>
      </c>
      <c r="H1038" s="29">
        <v>0.71734953703703708</v>
      </c>
      <c r="I1038" s="35">
        <v>133.51533333333333</v>
      </c>
      <c r="J1038" s="35">
        <v>37.768333333333331</v>
      </c>
      <c r="K1038" s="28">
        <v>50</v>
      </c>
      <c r="L1038" s="28">
        <v>50</v>
      </c>
      <c r="M1038" s="28">
        <v>0</v>
      </c>
      <c r="N1038" s="36">
        <v>10.5472</v>
      </c>
      <c r="O1038" s="35">
        <v>34.311199999999999</v>
      </c>
      <c r="P1038" s="20">
        <v>3.0052901176470304E-2</v>
      </c>
      <c r="Q1038" s="20">
        <v>0.4040043529411772</v>
      </c>
      <c r="R1038" s="26" t="s">
        <v>393</v>
      </c>
      <c r="S1038" s="26">
        <v>1</v>
      </c>
      <c r="T1038" s="71" t="s">
        <v>626</v>
      </c>
    </row>
    <row r="1039" spans="1:20" ht="12.75" customHeight="1">
      <c r="A1039" s="19" t="s">
        <v>392</v>
      </c>
      <c r="B1039" s="19" t="s">
        <v>368</v>
      </c>
      <c r="C1039" s="19" t="s">
        <v>515</v>
      </c>
      <c r="D1039" s="34">
        <v>43305</v>
      </c>
      <c r="E1039" s="19">
        <v>2018</v>
      </c>
      <c r="F1039" s="19">
        <v>7</v>
      </c>
      <c r="G1039" s="30">
        <v>24</v>
      </c>
      <c r="H1039" s="29">
        <v>0.71771990740740732</v>
      </c>
      <c r="I1039" s="35">
        <v>133.51533333333333</v>
      </c>
      <c r="J1039" s="35">
        <v>37.768333333333331</v>
      </c>
      <c r="K1039" s="28">
        <v>40</v>
      </c>
      <c r="L1039" s="28">
        <v>40</v>
      </c>
      <c r="M1039" s="28">
        <v>0</v>
      </c>
      <c r="N1039" s="36">
        <v>11.5586</v>
      </c>
      <c r="O1039" s="35">
        <v>34.313299999999998</v>
      </c>
      <c r="P1039" s="20">
        <v>0.14125886235294116</v>
      </c>
      <c r="Q1039" s="20">
        <v>0.75447569882352994</v>
      </c>
      <c r="R1039" s="26" t="s">
        <v>393</v>
      </c>
      <c r="S1039" s="26">
        <v>1</v>
      </c>
      <c r="T1039" s="71" t="s">
        <v>626</v>
      </c>
    </row>
    <row r="1040" spans="1:20" ht="12.75" customHeight="1">
      <c r="A1040" s="19" t="s">
        <v>392</v>
      </c>
      <c r="B1040" s="19" t="s">
        <v>368</v>
      </c>
      <c r="C1040" s="19" t="s">
        <v>515</v>
      </c>
      <c r="D1040" s="34">
        <v>43305</v>
      </c>
      <c r="E1040" s="19">
        <v>2018</v>
      </c>
      <c r="F1040" s="19">
        <v>7</v>
      </c>
      <c r="G1040" s="30">
        <v>24</v>
      </c>
      <c r="H1040" s="29">
        <v>0.71805555555555556</v>
      </c>
      <c r="I1040" s="35">
        <v>133.51533333333333</v>
      </c>
      <c r="J1040" s="35">
        <v>37.768333333333331</v>
      </c>
      <c r="K1040" s="28">
        <v>30</v>
      </c>
      <c r="L1040" s="28">
        <v>30</v>
      </c>
      <c r="M1040" s="28">
        <v>0</v>
      </c>
      <c r="N1040" s="36">
        <v>13.511699999999999</v>
      </c>
      <c r="O1040" s="35">
        <v>34.335599999999999</v>
      </c>
      <c r="P1040" s="20">
        <v>0.1433755388235296</v>
      </c>
      <c r="Q1040" s="20">
        <v>0.77447639058823547</v>
      </c>
      <c r="R1040" s="26" t="s">
        <v>393</v>
      </c>
      <c r="S1040" s="26">
        <v>1</v>
      </c>
      <c r="T1040" s="71" t="s">
        <v>626</v>
      </c>
    </row>
    <row r="1041" spans="1:20" ht="12.75" customHeight="1">
      <c r="A1041" s="19" t="s">
        <v>392</v>
      </c>
      <c r="B1041" s="19" t="s">
        <v>368</v>
      </c>
      <c r="C1041" s="19" t="s">
        <v>515</v>
      </c>
      <c r="D1041" s="34">
        <v>43305</v>
      </c>
      <c r="E1041" s="19">
        <v>2018</v>
      </c>
      <c r="F1041" s="19">
        <v>7</v>
      </c>
      <c r="G1041" s="30">
        <v>24</v>
      </c>
      <c r="H1041" s="29">
        <v>0.71881944444444434</v>
      </c>
      <c r="I1041" s="35">
        <v>133.51533333333333</v>
      </c>
      <c r="J1041" s="35">
        <v>37.768333333333331</v>
      </c>
      <c r="K1041" s="28">
        <v>20</v>
      </c>
      <c r="L1041" s="28">
        <v>20</v>
      </c>
      <c r="M1041" s="28">
        <v>0</v>
      </c>
      <c r="N1041" s="36">
        <v>15.0054</v>
      </c>
      <c r="O1041" s="35">
        <v>34.312600000000003</v>
      </c>
      <c r="P1041" s="20">
        <v>0.17201719529411807</v>
      </c>
      <c r="Q1041" s="20">
        <v>0.93524628235294394</v>
      </c>
      <c r="R1041" s="26" t="s">
        <v>393</v>
      </c>
      <c r="S1041" s="26">
        <v>1</v>
      </c>
      <c r="T1041" s="71" t="s">
        <v>626</v>
      </c>
    </row>
    <row r="1042" spans="1:20" ht="12.75" customHeight="1">
      <c r="A1042" s="19" t="s">
        <v>392</v>
      </c>
      <c r="B1042" s="19" t="s">
        <v>368</v>
      </c>
      <c r="C1042" s="19" t="s">
        <v>515</v>
      </c>
      <c r="D1042" s="34">
        <v>43305</v>
      </c>
      <c r="E1042" s="19">
        <v>2018</v>
      </c>
      <c r="F1042" s="19">
        <v>7</v>
      </c>
      <c r="G1042" s="30">
        <v>24</v>
      </c>
      <c r="H1042" s="29">
        <v>0.71924768518518523</v>
      </c>
      <c r="I1042" s="35">
        <v>133.51533333333333</v>
      </c>
      <c r="J1042" s="35">
        <v>37.768333333333331</v>
      </c>
      <c r="K1042" s="28">
        <v>10</v>
      </c>
      <c r="L1042" s="28">
        <v>10</v>
      </c>
      <c r="M1042" s="28">
        <v>0</v>
      </c>
      <c r="N1042" s="36">
        <v>20.058399999999999</v>
      </c>
      <c r="O1042" s="35">
        <v>34.189799999999998</v>
      </c>
      <c r="P1042" s="20">
        <v>0.13712227176470604</v>
      </c>
      <c r="Q1042" s="20">
        <v>0.46363761411764948</v>
      </c>
      <c r="R1042" s="26" t="s">
        <v>393</v>
      </c>
      <c r="S1042" s="26">
        <v>1</v>
      </c>
      <c r="T1042" s="71" t="s">
        <v>626</v>
      </c>
    </row>
    <row r="1043" spans="1:20" ht="12.75" customHeight="1">
      <c r="A1043" s="1" t="s">
        <v>448</v>
      </c>
      <c r="B1043" s="1">
        <v>5</v>
      </c>
      <c r="C1043" s="1" t="s">
        <v>515</v>
      </c>
      <c r="D1043" s="5">
        <v>43447</v>
      </c>
      <c r="E1043" s="1">
        <v>2018</v>
      </c>
      <c r="F1043" s="1">
        <v>12</v>
      </c>
      <c r="G1043" s="4">
        <v>13</v>
      </c>
      <c r="H1043" s="8">
        <v>0.67708333333333337</v>
      </c>
      <c r="I1043" s="11">
        <v>132.21133333333333</v>
      </c>
      <c r="J1043" s="11">
        <v>37.523666666666664</v>
      </c>
      <c r="K1043" s="9">
        <v>0</v>
      </c>
      <c r="L1043" s="9">
        <v>0</v>
      </c>
      <c r="M1043" s="27">
        <v>0</v>
      </c>
      <c r="N1043" s="12">
        <v>14.9</v>
      </c>
      <c r="O1043" s="11">
        <v>34.016102402005082</v>
      </c>
      <c r="P1043" s="31">
        <v>2.956796470588241E-2</v>
      </c>
      <c r="Q1043" s="31">
        <v>0.13525970588235481</v>
      </c>
      <c r="R1043" s="1" t="s">
        <v>441</v>
      </c>
      <c r="T1043" s="71" t="s">
        <v>626</v>
      </c>
    </row>
    <row r="1044" spans="1:20" ht="12.75" customHeight="1">
      <c r="A1044" s="1" t="s">
        <v>448</v>
      </c>
      <c r="B1044" s="1">
        <v>6</v>
      </c>
      <c r="C1044" s="1" t="s">
        <v>515</v>
      </c>
      <c r="D1044" s="5">
        <v>43448</v>
      </c>
      <c r="E1044" s="1">
        <v>2018</v>
      </c>
      <c r="F1044" s="1">
        <v>12</v>
      </c>
      <c r="G1044" s="4">
        <v>14</v>
      </c>
      <c r="H1044" s="8">
        <v>0.67499999999999993</v>
      </c>
      <c r="I1044" s="11">
        <v>132.74966666666666</v>
      </c>
      <c r="J1044" s="11">
        <v>37.549500000000002</v>
      </c>
      <c r="K1044" s="9">
        <v>0</v>
      </c>
      <c r="L1044" s="9">
        <v>0</v>
      </c>
      <c r="M1044" s="27">
        <v>0</v>
      </c>
      <c r="N1044" s="12">
        <v>13.4</v>
      </c>
      <c r="O1044" s="11">
        <v>34.072691354577117</v>
      </c>
      <c r="P1044" s="31">
        <v>4.9274299999999993E-2</v>
      </c>
      <c r="Q1044" s="31">
        <v>6.7792999999998216E-2</v>
      </c>
      <c r="R1044" s="1" t="s">
        <v>441</v>
      </c>
      <c r="T1044" s="71" t="s">
        <v>626</v>
      </c>
    </row>
    <row r="1045" spans="1:20" ht="12.75" customHeight="1">
      <c r="A1045" s="1" t="s">
        <v>448</v>
      </c>
      <c r="B1045" s="1">
        <v>7</v>
      </c>
      <c r="C1045" s="1" t="s">
        <v>515</v>
      </c>
      <c r="D1045" s="5">
        <v>43445</v>
      </c>
      <c r="E1045" s="1">
        <v>2018</v>
      </c>
      <c r="F1045" s="1">
        <v>12</v>
      </c>
      <c r="G1045" s="4">
        <v>11</v>
      </c>
      <c r="H1045" s="8">
        <v>0.64374999999999993</v>
      </c>
      <c r="I1045" s="11">
        <v>133.24883333333332</v>
      </c>
      <c r="J1045" s="11">
        <v>37.508833333333335</v>
      </c>
      <c r="K1045" s="9">
        <v>0</v>
      </c>
      <c r="L1045" s="9">
        <v>0</v>
      </c>
      <c r="M1045" s="27">
        <v>0</v>
      </c>
      <c r="N1045" s="12">
        <v>15.8</v>
      </c>
      <c r="O1045" s="11">
        <v>33.972795778709497</v>
      </c>
      <c r="P1045" s="31">
        <v>2.7131352941176523E-3</v>
      </c>
      <c r="Q1045" s="31">
        <v>-0.27606470588235332</v>
      </c>
      <c r="R1045" s="1" t="s">
        <v>441</v>
      </c>
      <c r="T1045" s="71" t="s">
        <v>626</v>
      </c>
    </row>
    <row r="1046" spans="1:20" ht="12.75" customHeight="1">
      <c r="A1046" s="1" t="s">
        <v>448</v>
      </c>
      <c r="B1046" s="1">
        <v>8</v>
      </c>
      <c r="C1046" s="1" t="s">
        <v>515</v>
      </c>
      <c r="D1046" s="5">
        <v>43447</v>
      </c>
      <c r="E1046" s="1">
        <v>2018</v>
      </c>
      <c r="F1046" s="1">
        <v>12</v>
      </c>
      <c r="G1046" s="4">
        <v>13</v>
      </c>
      <c r="H1046" s="8">
        <v>0.83611111111111114</v>
      </c>
      <c r="I1046" s="11">
        <v>132.20083333333332</v>
      </c>
      <c r="J1046" s="11">
        <v>37.180666666666667</v>
      </c>
      <c r="K1046" s="9">
        <v>0</v>
      </c>
      <c r="L1046" s="9">
        <v>0</v>
      </c>
      <c r="M1046" s="27">
        <v>0</v>
      </c>
      <c r="N1046" s="12">
        <v>14.9</v>
      </c>
      <c r="O1046" s="11">
        <v>34.043976880135723</v>
      </c>
      <c r="P1046" s="31">
        <v>2.9759870588235149E-2</v>
      </c>
      <c r="Q1046" s="31">
        <v>4.8498588235295514E-2</v>
      </c>
      <c r="R1046" s="1" t="s">
        <v>441</v>
      </c>
      <c r="T1046" s="71" t="s">
        <v>626</v>
      </c>
    </row>
    <row r="1047" spans="1:20" ht="12.75" customHeight="1">
      <c r="A1047" s="1" t="s">
        <v>448</v>
      </c>
      <c r="B1047" s="1">
        <v>9</v>
      </c>
      <c r="C1047" s="1" t="s">
        <v>515</v>
      </c>
      <c r="D1047" s="5">
        <v>43448</v>
      </c>
      <c r="E1047" s="1">
        <v>2018</v>
      </c>
      <c r="F1047" s="1">
        <v>12</v>
      </c>
      <c r="G1047" s="4">
        <v>14</v>
      </c>
      <c r="H1047" s="8">
        <v>0.78472222222222221</v>
      </c>
      <c r="I1047" s="11">
        <v>132.74883333333332</v>
      </c>
      <c r="J1047" s="11">
        <v>37.299833333333332</v>
      </c>
      <c r="K1047" s="9">
        <v>0</v>
      </c>
      <c r="L1047" s="9">
        <v>0</v>
      </c>
      <c r="M1047" s="27">
        <v>0</v>
      </c>
      <c r="N1047" s="12">
        <v>16</v>
      </c>
      <c r="O1047" s="11">
        <v>34.070130880154693</v>
      </c>
      <c r="P1047" s="31">
        <v>3.4785405882352904E-2</v>
      </c>
      <c r="Q1047" s="31">
        <v>0.10395988235294418</v>
      </c>
      <c r="R1047" s="1" t="s">
        <v>441</v>
      </c>
      <c r="T1047" s="71" t="s">
        <v>626</v>
      </c>
    </row>
    <row r="1048" spans="1:20" ht="12.75" customHeight="1">
      <c r="A1048" s="1" t="s">
        <v>448</v>
      </c>
      <c r="B1048" s="1">
        <v>10</v>
      </c>
      <c r="C1048" s="1" t="s">
        <v>515</v>
      </c>
      <c r="D1048" s="5">
        <v>43445</v>
      </c>
      <c r="E1048" s="1">
        <v>2018</v>
      </c>
      <c r="F1048" s="1">
        <v>12</v>
      </c>
      <c r="G1048" s="4">
        <v>11</v>
      </c>
      <c r="H1048" s="8">
        <v>0.83680555555555547</v>
      </c>
      <c r="I1048" s="11">
        <v>133.27066666666667</v>
      </c>
      <c r="J1048" s="11">
        <v>37.204833333333333</v>
      </c>
      <c r="K1048" s="9">
        <v>0</v>
      </c>
      <c r="L1048" s="9">
        <v>0</v>
      </c>
      <c r="M1048" s="27">
        <v>0</v>
      </c>
      <c r="N1048" s="12">
        <v>17.399999999999999</v>
      </c>
      <c r="O1048" s="11">
        <v>34.089426556202319</v>
      </c>
      <c r="P1048" s="31">
        <v>4.2869441176470957E-2</v>
      </c>
      <c r="Q1048" s="31">
        <v>5.2647176470587809E-2</v>
      </c>
      <c r="R1048" s="1" t="s">
        <v>441</v>
      </c>
      <c r="T1048" s="71" t="s">
        <v>626</v>
      </c>
    </row>
    <row r="1049" spans="1:20" ht="12.75" customHeight="1">
      <c r="A1049" s="1" t="s">
        <v>448</v>
      </c>
      <c r="B1049" s="1">
        <v>11</v>
      </c>
      <c r="C1049" s="1" t="s">
        <v>515</v>
      </c>
      <c r="D1049" s="5">
        <v>43448</v>
      </c>
      <c r="E1049" s="1">
        <v>2018</v>
      </c>
      <c r="F1049" s="1">
        <v>12</v>
      </c>
      <c r="G1049" s="4">
        <v>14</v>
      </c>
      <c r="H1049" s="8">
        <v>1.1805555555555555E-2</v>
      </c>
      <c r="I1049" s="11">
        <v>132.22333333333333</v>
      </c>
      <c r="J1049" s="11">
        <v>37.051333333333332</v>
      </c>
      <c r="K1049" s="9">
        <v>0</v>
      </c>
      <c r="L1049" s="9">
        <v>0</v>
      </c>
      <c r="M1049" s="27">
        <v>0</v>
      </c>
      <c r="N1049" s="12">
        <v>15.4</v>
      </c>
      <c r="O1049" s="11">
        <v>34.021692865191724</v>
      </c>
      <c r="P1049" s="31">
        <v>3.7496076470588058E-2</v>
      </c>
      <c r="Q1049" s="31">
        <v>0.10121347058823638</v>
      </c>
      <c r="R1049" s="1" t="s">
        <v>441</v>
      </c>
      <c r="T1049" s="71" t="s">
        <v>626</v>
      </c>
    </row>
    <row r="1050" spans="1:20" ht="12.75" customHeight="1">
      <c r="A1050" s="1" t="s">
        <v>448</v>
      </c>
      <c r="B1050" s="1">
        <v>12</v>
      </c>
      <c r="C1050" s="1" t="s">
        <v>515</v>
      </c>
      <c r="D1050" s="5">
        <v>43449</v>
      </c>
      <c r="E1050" s="1">
        <v>2018</v>
      </c>
      <c r="F1050" s="1">
        <v>12</v>
      </c>
      <c r="G1050" s="4">
        <v>15</v>
      </c>
      <c r="H1050" s="8">
        <v>0.67637731481481478</v>
      </c>
      <c r="I1050" s="11">
        <v>132.68583333333333</v>
      </c>
      <c r="J1050" s="11">
        <v>37.001666666666665</v>
      </c>
      <c r="K1050" s="9">
        <v>0</v>
      </c>
      <c r="L1050" s="9">
        <v>0</v>
      </c>
      <c r="M1050" s="27">
        <v>0</v>
      </c>
      <c r="N1050" s="12">
        <v>15.4</v>
      </c>
      <c r="O1050" s="11">
        <v>34.035173186905247</v>
      </c>
      <c r="P1050" s="31">
        <v>2.4487271764705554E-2</v>
      </c>
      <c r="Q1050" s="31">
        <v>-9.5330189411765076E-2</v>
      </c>
      <c r="R1050" s="1" t="s">
        <v>441</v>
      </c>
      <c r="T1050" s="71" t="s">
        <v>626</v>
      </c>
    </row>
    <row r="1051" spans="1:20" ht="12.75" customHeight="1">
      <c r="A1051" s="1" t="s">
        <v>448</v>
      </c>
      <c r="B1051" s="1">
        <v>13</v>
      </c>
      <c r="C1051" s="1" t="s">
        <v>515</v>
      </c>
      <c r="D1051" s="5">
        <v>43449</v>
      </c>
      <c r="E1051" s="1">
        <v>2018</v>
      </c>
      <c r="F1051" s="1">
        <v>12</v>
      </c>
      <c r="G1051" s="4">
        <v>15</v>
      </c>
      <c r="H1051" s="8">
        <v>0.83180555555555558</v>
      </c>
      <c r="I1051" s="11">
        <v>133.23266666666666</v>
      </c>
      <c r="J1051" s="11">
        <v>37.049666666666667</v>
      </c>
      <c r="K1051" s="9">
        <v>0</v>
      </c>
      <c r="L1051" s="9">
        <v>0</v>
      </c>
      <c r="M1051" s="27">
        <v>0</v>
      </c>
      <c r="N1051" s="12">
        <v>16.399999999999999</v>
      </c>
      <c r="O1051" s="11">
        <v>34.026735138298704</v>
      </c>
      <c r="P1051" s="31">
        <v>-2.6019365882352652E-2</v>
      </c>
      <c r="Q1051" s="31">
        <v>-0.10469803529411692</v>
      </c>
      <c r="R1051" s="1" t="s">
        <v>441</v>
      </c>
      <c r="T1051" s="71" t="s">
        <v>626</v>
      </c>
    </row>
    <row r="1052" spans="1:20" ht="12.75" customHeight="1">
      <c r="A1052" s="1" t="s">
        <v>448</v>
      </c>
      <c r="B1052" s="1">
        <v>14</v>
      </c>
      <c r="C1052" s="1" t="s">
        <v>515</v>
      </c>
      <c r="D1052" s="5">
        <v>43446</v>
      </c>
      <c r="E1052" s="1">
        <v>2018</v>
      </c>
      <c r="F1052" s="1">
        <v>12</v>
      </c>
      <c r="G1052" s="4">
        <v>12</v>
      </c>
      <c r="H1052" s="8">
        <v>0.7090277777777777</v>
      </c>
      <c r="I1052" s="11">
        <v>132.267</v>
      </c>
      <c r="J1052" s="11">
        <v>36.795666666666669</v>
      </c>
      <c r="K1052" s="9">
        <v>0</v>
      </c>
      <c r="L1052" s="9">
        <v>0</v>
      </c>
      <c r="M1052" s="27">
        <v>0</v>
      </c>
      <c r="N1052" s="12">
        <v>14.9</v>
      </c>
      <c r="O1052" s="11">
        <v>33.917278129861195</v>
      </c>
      <c r="P1052" s="31">
        <v>4.7217164705881665E-3</v>
      </c>
      <c r="Q1052" s="31">
        <v>-0.24529698117647136</v>
      </c>
      <c r="R1052" s="1" t="s">
        <v>441</v>
      </c>
      <c r="T1052" s="71" t="s">
        <v>626</v>
      </c>
    </row>
    <row r="1053" spans="1:20" ht="12.75" customHeight="1">
      <c r="A1053" s="1" t="s">
        <v>448</v>
      </c>
      <c r="B1053" s="1">
        <v>17</v>
      </c>
      <c r="C1053" s="1" t="s">
        <v>515</v>
      </c>
      <c r="D1053" s="5">
        <v>43446</v>
      </c>
      <c r="E1053" s="1">
        <v>2018</v>
      </c>
      <c r="F1053" s="1">
        <v>12</v>
      </c>
      <c r="G1053" s="4">
        <v>12</v>
      </c>
      <c r="H1053" s="8">
        <v>0.82291666666666663</v>
      </c>
      <c r="I1053" s="11">
        <v>132.26050000000001</v>
      </c>
      <c r="J1053" s="11">
        <v>36.549166666666665</v>
      </c>
      <c r="K1053" s="9">
        <v>0</v>
      </c>
      <c r="L1053" s="9">
        <v>0</v>
      </c>
      <c r="M1053" s="27">
        <v>0</v>
      </c>
      <c r="N1053" s="12">
        <v>15.6</v>
      </c>
      <c r="O1053" s="11">
        <v>33.997308123674024</v>
      </c>
      <c r="P1053" s="31">
        <v>1.779698823529241E-3</v>
      </c>
      <c r="Q1053" s="31">
        <v>-0.16448044705882126</v>
      </c>
      <c r="R1053" s="1" t="s">
        <v>441</v>
      </c>
      <c r="T1053" s="71" t="s">
        <v>626</v>
      </c>
    </row>
    <row r="1054" spans="1:20" ht="12.75" customHeight="1">
      <c r="A1054" s="1" t="s">
        <v>448</v>
      </c>
      <c r="B1054" s="1">
        <v>20</v>
      </c>
      <c r="C1054" s="1" t="s">
        <v>515</v>
      </c>
      <c r="D1054" s="5">
        <v>43444</v>
      </c>
      <c r="E1054" s="1">
        <v>2018</v>
      </c>
      <c r="F1054" s="1">
        <v>12</v>
      </c>
      <c r="G1054" s="4">
        <v>10</v>
      </c>
      <c r="H1054" s="8">
        <v>0.67065972222222225</v>
      </c>
      <c r="I1054" s="11">
        <v>132.25166666666667</v>
      </c>
      <c r="J1054" s="11">
        <v>36.250500000000002</v>
      </c>
      <c r="K1054" s="9">
        <v>0</v>
      </c>
      <c r="L1054" s="9">
        <v>0</v>
      </c>
      <c r="M1054" s="27">
        <v>0</v>
      </c>
      <c r="N1054" s="12">
        <v>16.3</v>
      </c>
      <c r="O1054" s="11">
        <v>33.997320803134158</v>
      </c>
      <c r="P1054" s="31">
        <v>1.2873611764705473E-3</v>
      </c>
      <c r="Q1054" s="31">
        <v>-0.16556001294117806</v>
      </c>
      <c r="R1054" s="1" t="s">
        <v>441</v>
      </c>
      <c r="T1054" s="71" t="s">
        <v>626</v>
      </c>
    </row>
    <row r="1055" spans="1:20" ht="12.75" customHeight="1">
      <c r="A1055" s="1" t="s">
        <v>448</v>
      </c>
      <c r="B1055" s="1">
        <v>21</v>
      </c>
      <c r="C1055" s="1" t="s">
        <v>515</v>
      </c>
      <c r="D1055" s="5">
        <v>43444</v>
      </c>
      <c r="E1055" s="1">
        <v>2018</v>
      </c>
      <c r="F1055" s="1">
        <v>12</v>
      </c>
      <c r="G1055" s="4">
        <v>10</v>
      </c>
      <c r="H1055" s="8">
        <v>0.76909722222222221</v>
      </c>
      <c r="I1055" s="11">
        <v>132.75083333333333</v>
      </c>
      <c r="J1055" s="11">
        <v>36.249833333333335</v>
      </c>
      <c r="K1055" s="9">
        <v>0</v>
      </c>
      <c r="L1055" s="9">
        <v>0</v>
      </c>
      <c r="M1055" s="27">
        <v>0</v>
      </c>
      <c r="N1055" s="12">
        <v>18.600000000000001</v>
      </c>
      <c r="O1055" s="11">
        <v>34.199373648675461</v>
      </c>
      <c r="P1055" s="31">
        <v>5.9995623529411901E-2</v>
      </c>
      <c r="Q1055" s="31">
        <v>0.14022412117647143</v>
      </c>
      <c r="R1055" s="1" t="s">
        <v>441</v>
      </c>
      <c r="T1055" s="71" t="s">
        <v>626</v>
      </c>
    </row>
    <row r="1056" spans="1:20" ht="12.75" customHeight="1">
      <c r="A1056" s="1" t="s">
        <v>448</v>
      </c>
      <c r="B1056" s="1">
        <v>22</v>
      </c>
      <c r="C1056" s="1" t="s">
        <v>515</v>
      </c>
      <c r="D1056" s="5">
        <v>43444</v>
      </c>
      <c r="E1056" s="1">
        <v>2018</v>
      </c>
      <c r="F1056" s="1">
        <v>12</v>
      </c>
      <c r="G1056" s="4">
        <v>10</v>
      </c>
      <c r="H1056" s="8">
        <v>0.84112268518518529</v>
      </c>
      <c r="I1056" s="11">
        <v>132.74866666666668</v>
      </c>
      <c r="J1056" s="11">
        <v>35.99883333333333</v>
      </c>
      <c r="K1056" s="9">
        <v>0</v>
      </c>
      <c r="L1056" s="9">
        <v>0</v>
      </c>
      <c r="M1056" s="27">
        <v>0</v>
      </c>
      <c r="N1056" s="12">
        <v>17.8</v>
      </c>
      <c r="O1056" s="11">
        <v>34.125646718138157</v>
      </c>
      <c r="P1056" s="31">
        <v>2.745330588235273E-2</v>
      </c>
      <c r="Q1056" s="31">
        <v>2.9028835294116817E-2</v>
      </c>
      <c r="R1056" s="1" t="s">
        <v>441</v>
      </c>
      <c r="T1056" s="71" t="s">
        <v>626</v>
      </c>
    </row>
    <row r="1057" spans="1:20" ht="12.75" customHeight="1">
      <c r="A1057" s="1" t="s">
        <v>448</v>
      </c>
      <c r="B1057" s="1" t="s">
        <v>108</v>
      </c>
      <c r="C1057" s="1" t="s">
        <v>515</v>
      </c>
      <c r="D1057" s="5">
        <v>43452</v>
      </c>
      <c r="E1057" s="1">
        <v>2018</v>
      </c>
      <c r="F1057" s="1">
        <v>12</v>
      </c>
      <c r="G1057" s="4">
        <v>18</v>
      </c>
      <c r="H1057" s="8">
        <v>0.4513888888888889</v>
      </c>
      <c r="I1057" s="11">
        <v>132.0025</v>
      </c>
      <c r="J1057" s="11">
        <v>35.500666666666667</v>
      </c>
      <c r="K1057" s="9">
        <v>0</v>
      </c>
      <c r="L1057" s="9">
        <v>0</v>
      </c>
      <c r="M1057" s="27">
        <v>0</v>
      </c>
      <c r="N1057" s="12">
        <v>17.5</v>
      </c>
      <c r="O1057" s="11">
        <v>34.243397753245169</v>
      </c>
      <c r="P1057" s="31">
        <v>2.9689839705882459E-2</v>
      </c>
      <c r="Q1057" s="31">
        <v>0.36588531323529416</v>
      </c>
      <c r="R1057" s="1" t="s">
        <v>441</v>
      </c>
      <c r="T1057" s="71" t="s">
        <v>626</v>
      </c>
    </row>
    <row r="1058" spans="1:20" ht="12.75" customHeight="1">
      <c r="A1058" s="1" t="s">
        <v>448</v>
      </c>
      <c r="B1058" s="1" t="s">
        <v>113</v>
      </c>
      <c r="C1058" s="1" t="s">
        <v>515</v>
      </c>
      <c r="D1058" s="5">
        <v>43452</v>
      </c>
      <c r="E1058" s="1">
        <v>2018</v>
      </c>
      <c r="F1058" s="1">
        <v>12</v>
      </c>
      <c r="G1058" s="4">
        <v>18</v>
      </c>
      <c r="H1058" s="8">
        <v>0.68680555555555556</v>
      </c>
      <c r="I1058" s="11">
        <v>131.00033333333334</v>
      </c>
      <c r="J1058" s="11">
        <v>35.000166666666665</v>
      </c>
      <c r="K1058" s="9">
        <v>0</v>
      </c>
      <c r="L1058" s="9">
        <v>0</v>
      </c>
      <c r="M1058" s="27">
        <v>0</v>
      </c>
      <c r="N1058" s="12">
        <v>18.100000000000001</v>
      </c>
      <c r="O1058" s="11">
        <v>34.29340292642263</v>
      </c>
      <c r="P1058" s="31">
        <v>7.5486247058823785E-2</v>
      </c>
      <c r="Q1058" s="31">
        <v>0.41044062235294199</v>
      </c>
      <c r="R1058" s="1" t="s">
        <v>441</v>
      </c>
      <c r="T1058" s="71" t="s">
        <v>626</v>
      </c>
    </row>
    <row r="1059" spans="1:20" ht="12.75" customHeight="1">
      <c r="A1059" s="19" t="s">
        <v>530</v>
      </c>
      <c r="B1059" s="19">
        <v>19</v>
      </c>
      <c r="C1059" s="1" t="s">
        <v>515</v>
      </c>
      <c r="D1059" s="25">
        <v>43682</v>
      </c>
      <c r="E1059" s="19">
        <f t="shared" ref="E1059:E1106" si="77">YEAR(D1059)</f>
        <v>2019</v>
      </c>
      <c r="F1059" s="19">
        <f t="shared" ref="F1059:F1106" si="78">MONTH(D1059)</f>
        <v>8</v>
      </c>
      <c r="G1059" s="19">
        <f t="shared" ref="G1059:G1106" si="79">DAY(D1059)</f>
        <v>5</v>
      </c>
      <c r="H1059" s="29">
        <v>0.71597222222222223</v>
      </c>
      <c r="I1059" s="35">
        <v>131.66318333333334</v>
      </c>
      <c r="J1059" s="35">
        <v>36.001683333333297</v>
      </c>
      <c r="K1059" s="28">
        <v>0</v>
      </c>
      <c r="L1059" s="28">
        <v>0</v>
      </c>
      <c r="M1059" s="27">
        <v>0</v>
      </c>
      <c r="N1059" s="36">
        <v>27.02</v>
      </c>
      <c r="O1059" s="46">
        <v>34.18</v>
      </c>
      <c r="P1059" s="20">
        <v>-1.9774025882353552E-2</v>
      </c>
      <c r="Q1059" s="20">
        <v>5.2162585882353341E-2</v>
      </c>
      <c r="R1059" s="26" t="s">
        <v>283</v>
      </c>
      <c r="S1059" s="26"/>
      <c r="T1059" s="71" t="s">
        <v>626</v>
      </c>
    </row>
    <row r="1060" spans="1:20" ht="12.75" customHeight="1">
      <c r="A1060" s="19" t="s">
        <v>531</v>
      </c>
      <c r="B1060" s="19">
        <v>54</v>
      </c>
      <c r="C1060" s="1" t="s">
        <v>515</v>
      </c>
      <c r="D1060" s="25">
        <v>43711</v>
      </c>
      <c r="E1060" s="19">
        <f t="shared" si="77"/>
        <v>2019</v>
      </c>
      <c r="F1060" s="19">
        <f t="shared" si="78"/>
        <v>9</v>
      </c>
      <c r="G1060" s="19">
        <f t="shared" si="79"/>
        <v>3</v>
      </c>
      <c r="H1060" s="29">
        <v>0.28958333333333336</v>
      </c>
      <c r="I1060" s="35">
        <v>132.33018333333334</v>
      </c>
      <c r="J1060" s="35">
        <v>38.339100000000002</v>
      </c>
      <c r="K1060" s="28">
        <v>0</v>
      </c>
      <c r="L1060" s="28">
        <v>0</v>
      </c>
      <c r="M1060" s="27">
        <v>0</v>
      </c>
      <c r="N1060" s="36">
        <v>25.486999999999998</v>
      </c>
      <c r="O1060" s="46">
        <v>33.852499999999999</v>
      </c>
      <c r="P1060" s="20">
        <v>-0.16555172705882359</v>
      </c>
      <c r="Q1060" s="20">
        <v>-1.1218507529411781</v>
      </c>
      <c r="R1060" s="26" t="s">
        <v>283</v>
      </c>
      <c r="S1060" s="26"/>
      <c r="T1060" s="71" t="s">
        <v>626</v>
      </c>
    </row>
    <row r="1061" spans="1:20" ht="12.75" customHeight="1">
      <c r="A1061" s="19" t="s">
        <v>531</v>
      </c>
      <c r="B1061" s="19">
        <v>53</v>
      </c>
      <c r="C1061" s="1" t="s">
        <v>515</v>
      </c>
      <c r="D1061" s="25">
        <v>43711</v>
      </c>
      <c r="E1061" s="19">
        <f t="shared" si="77"/>
        <v>2019</v>
      </c>
      <c r="F1061" s="19">
        <f t="shared" si="78"/>
        <v>9</v>
      </c>
      <c r="G1061" s="19">
        <f t="shared" si="79"/>
        <v>3</v>
      </c>
      <c r="H1061" s="29">
        <v>0.37152777777777773</v>
      </c>
      <c r="I1061" s="35">
        <v>132.32851666666667</v>
      </c>
      <c r="J1061" s="35">
        <v>38.007849999999998</v>
      </c>
      <c r="K1061" s="28">
        <v>0</v>
      </c>
      <c r="L1061" s="28">
        <v>0</v>
      </c>
      <c r="M1061" s="27">
        <v>0</v>
      </c>
      <c r="N1061" s="36">
        <v>25.582999999999998</v>
      </c>
      <c r="O1061" s="46">
        <v>33.775599999999997</v>
      </c>
      <c r="P1061" s="20">
        <v>-0.12598846823529453</v>
      </c>
      <c r="Q1061" s="20">
        <v>-0.82610949176470605</v>
      </c>
      <c r="R1061" s="26" t="s">
        <v>283</v>
      </c>
      <c r="S1061" s="26"/>
      <c r="T1061" s="71" t="s">
        <v>626</v>
      </c>
    </row>
    <row r="1062" spans="1:20" ht="12.75" customHeight="1">
      <c r="A1062" s="19" t="s">
        <v>531</v>
      </c>
      <c r="B1062" s="19">
        <v>52</v>
      </c>
      <c r="C1062" s="1" t="s">
        <v>515</v>
      </c>
      <c r="D1062" s="25">
        <v>43711</v>
      </c>
      <c r="E1062" s="19">
        <f t="shared" si="77"/>
        <v>2019</v>
      </c>
      <c r="F1062" s="19">
        <f t="shared" si="78"/>
        <v>9</v>
      </c>
      <c r="G1062" s="19">
        <f t="shared" si="79"/>
        <v>3</v>
      </c>
      <c r="H1062" s="29">
        <v>0.45069444444444445</v>
      </c>
      <c r="I1062" s="35">
        <v>132.33018333333334</v>
      </c>
      <c r="J1062" s="35">
        <v>37.671316666666669</v>
      </c>
      <c r="K1062" s="28">
        <v>0</v>
      </c>
      <c r="L1062" s="28">
        <v>0</v>
      </c>
      <c r="M1062" s="27">
        <v>0</v>
      </c>
      <c r="N1062" s="36">
        <v>25.401</v>
      </c>
      <c r="O1062" s="46">
        <v>33.889499999999998</v>
      </c>
      <c r="P1062" s="20">
        <v>-0.22134852941176519</v>
      </c>
      <c r="Q1062" s="20">
        <v>-1.1936723105882354</v>
      </c>
      <c r="R1062" s="26" t="s">
        <v>283</v>
      </c>
      <c r="S1062" s="26"/>
      <c r="T1062" s="71" t="s">
        <v>626</v>
      </c>
    </row>
    <row r="1063" spans="1:20" ht="12.75" customHeight="1">
      <c r="A1063" s="19" t="s">
        <v>531</v>
      </c>
      <c r="B1063" s="19">
        <v>51</v>
      </c>
      <c r="C1063" s="1" t="s">
        <v>515</v>
      </c>
      <c r="D1063" s="25">
        <v>43711</v>
      </c>
      <c r="E1063" s="19">
        <f t="shared" si="77"/>
        <v>2019</v>
      </c>
      <c r="F1063" s="19">
        <f t="shared" si="78"/>
        <v>9</v>
      </c>
      <c r="G1063" s="19">
        <f t="shared" si="79"/>
        <v>3</v>
      </c>
      <c r="H1063" s="29">
        <v>0.52986111111111112</v>
      </c>
      <c r="I1063" s="35">
        <v>132.32735</v>
      </c>
      <c r="J1063" s="35">
        <v>37.340800000000002</v>
      </c>
      <c r="K1063" s="28">
        <v>0</v>
      </c>
      <c r="L1063" s="28">
        <v>0</v>
      </c>
      <c r="M1063" s="27">
        <v>0</v>
      </c>
      <c r="N1063" s="36">
        <v>24.108000000000001</v>
      </c>
      <c r="O1063" s="46">
        <v>33.302799999999998</v>
      </c>
      <c r="P1063" s="20">
        <v>-0.34304007058823571</v>
      </c>
      <c r="Q1063" s="20">
        <v>-2.0057941694117662</v>
      </c>
      <c r="R1063" s="26" t="s">
        <v>283</v>
      </c>
      <c r="S1063" s="26"/>
      <c r="T1063" s="71" t="s">
        <v>626</v>
      </c>
    </row>
    <row r="1064" spans="1:20" ht="12.75" customHeight="1">
      <c r="A1064" s="19" t="s">
        <v>531</v>
      </c>
      <c r="B1064" s="19">
        <v>15</v>
      </c>
      <c r="C1064" s="1" t="s">
        <v>515</v>
      </c>
      <c r="D1064" s="25">
        <v>43711</v>
      </c>
      <c r="E1064" s="19">
        <f t="shared" si="77"/>
        <v>2019</v>
      </c>
      <c r="F1064" s="19">
        <f t="shared" si="78"/>
        <v>9</v>
      </c>
      <c r="G1064" s="19">
        <f t="shared" si="79"/>
        <v>3</v>
      </c>
      <c r="H1064" s="29">
        <v>0.61527777777777781</v>
      </c>
      <c r="I1064" s="35">
        <v>132.32656666666668</v>
      </c>
      <c r="J1064" s="35">
        <v>37.006233333333334</v>
      </c>
      <c r="K1064" s="28">
        <v>0</v>
      </c>
      <c r="L1064" s="28">
        <v>0</v>
      </c>
      <c r="M1064" s="27">
        <v>0</v>
      </c>
      <c r="N1064" s="36">
        <v>24.818999999999999</v>
      </c>
      <c r="O1064" s="46">
        <v>33.0015</v>
      </c>
      <c r="P1064" s="20">
        <v>-0.38879897176470624</v>
      </c>
      <c r="Q1064" s="20">
        <v>-2.3568627482352937</v>
      </c>
      <c r="R1064" s="26" t="s">
        <v>283</v>
      </c>
      <c r="S1064" s="26"/>
      <c r="T1064" s="71" t="s">
        <v>626</v>
      </c>
    </row>
    <row r="1065" spans="1:20" ht="12.75" customHeight="1">
      <c r="A1065" s="19" t="s">
        <v>532</v>
      </c>
      <c r="B1065" s="19">
        <v>15</v>
      </c>
      <c r="C1065" s="1" t="s">
        <v>515</v>
      </c>
      <c r="D1065" s="25">
        <v>43739</v>
      </c>
      <c r="E1065" s="19">
        <f t="shared" si="77"/>
        <v>2019</v>
      </c>
      <c r="F1065" s="19">
        <f t="shared" si="78"/>
        <v>10</v>
      </c>
      <c r="G1065" s="19">
        <f t="shared" si="79"/>
        <v>1</v>
      </c>
      <c r="H1065" s="29">
        <v>7.2916666666666671E-2</v>
      </c>
      <c r="I1065" s="35">
        <v>132.32406666666665</v>
      </c>
      <c r="J1065" s="35">
        <v>37.010683333333333</v>
      </c>
      <c r="K1065" s="28">
        <v>0</v>
      </c>
      <c r="L1065" s="28">
        <v>0</v>
      </c>
      <c r="M1065" s="27">
        <v>0</v>
      </c>
      <c r="N1065" s="36">
        <v>23.190999999999999</v>
      </c>
      <c r="O1065" s="46">
        <v>32.295699999999997</v>
      </c>
      <c r="P1065" s="20">
        <v>-0.50967403294117641</v>
      </c>
      <c r="Q1065" s="20">
        <v>-2.9425815270588238</v>
      </c>
      <c r="R1065" s="26" t="s">
        <v>283</v>
      </c>
      <c r="S1065" s="26"/>
      <c r="T1065" s="71" t="s">
        <v>626</v>
      </c>
    </row>
    <row r="1066" spans="1:20" ht="12.75" customHeight="1">
      <c r="A1066" s="19" t="s">
        <v>533</v>
      </c>
      <c r="B1066" s="19">
        <v>15</v>
      </c>
      <c r="C1066" s="1" t="s">
        <v>515</v>
      </c>
      <c r="D1066" s="25">
        <v>43766</v>
      </c>
      <c r="E1066" s="19">
        <f t="shared" si="77"/>
        <v>2019</v>
      </c>
      <c r="F1066" s="19">
        <f t="shared" si="78"/>
        <v>10</v>
      </c>
      <c r="G1066" s="19">
        <f t="shared" si="79"/>
        <v>28</v>
      </c>
      <c r="H1066" s="29">
        <v>0.99930555555555556</v>
      </c>
      <c r="I1066" s="35">
        <v>132.33096666666665</v>
      </c>
      <c r="J1066" s="35">
        <v>37.006783333333331</v>
      </c>
      <c r="K1066" s="28">
        <v>0</v>
      </c>
      <c r="L1066" s="28">
        <v>0</v>
      </c>
      <c r="M1066" s="27">
        <v>0</v>
      </c>
      <c r="N1066" s="36">
        <v>19.323</v>
      </c>
      <c r="O1066" s="46">
        <v>32.975999999999999</v>
      </c>
      <c r="P1066" s="20">
        <v>-0.34243971764705883</v>
      </c>
      <c r="Q1066" s="20">
        <v>-2.115028082352941</v>
      </c>
      <c r="R1066" s="26" t="s">
        <v>283</v>
      </c>
      <c r="S1066" s="26"/>
      <c r="T1066" s="71" t="s">
        <v>626</v>
      </c>
    </row>
    <row r="1067" spans="1:20" ht="12.75" customHeight="1">
      <c r="A1067" s="19" t="s">
        <v>534</v>
      </c>
      <c r="B1067" s="19">
        <v>15</v>
      </c>
      <c r="C1067" s="1" t="s">
        <v>515</v>
      </c>
      <c r="D1067" s="25">
        <v>43791</v>
      </c>
      <c r="E1067" s="19">
        <f t="shared" si="77"/>
        <v>2019</v>
      </c>
      <c r="F1067" s="19">
        <f t="shared" si="78"/>
        <v>11</v>
      </c>
      <c r="G1067" s="19">
        <f t="shared" si="79"/>
        <v>22</v>
      </c>
      <c r="H1067" s="29">
        <v>8.0555555555555561E-2</v>
      </c>
      <c r="I1067" s="35">
        <v>132.32936666666666</v>
      </c>
      <c r="J1067" s="35">
        <v>37.00503333333333</v>
      </c>
      <c r="K1067" s="28">
        <v>0</v>
      </c>
      <c r="L1067" s="28">
        <v>0</v>
      </c>
      <c r="M1067" s="27">
        <v>0</v>
      </c>
      <c r="N1067" s="36">
        <v>16.835999999999999</v>
      </c>
      <c r="O1067" s="46">
        <v>33.384999999999998</v>
      </c>
      <c r="P1067" s="20">
        <v>-0.25143821882352957</v>
      </c>
      <c r="Q1067" s="20">
        <v>-1.4699623811764706</v>
      </c>
      <c r="R1067" s="26" t="s">
        <v>283</v>
      </c>
      <c r="S1067" s="26"/>
      <c r="T1067" s="71" t="s">
        <v>626</v>
      </c>
    </row>
    <row r="1068" spans="1:20" ht="12.75" customHeight="1">
      <c r="A1068" s="19" t="s">
        <v>535</v>
      </c>
      <c r="B1068" s="19">
        <v>15</v>
      </c>
      <c r="C1068" s="1" t="s">
        <v>515</v>
      </c>
      <c r="D1068" s="25">
        <v>43914</v>
      </c>
      <c r="E1068" s="19">
        <f t="shared" si="77"/>
        <v>2020</v>
      </c>
      <c r="F1068" s="19">
        <f t="shared" si="78"/>
        <v>3</v>
      </c>
      <c r="G1068" s="19">
        <f t="shared" si="79"/>
        <v>24</v>
      </c>
      <c r="H1068" s="29">
        <v>0.125</v>
      </c>
      <c r="I1068" s="35">
        <v>132.32831666666667</v>
      </c>
      <c r="J1068" s="35">
        <v>37.003233333333334</v>
      </c>
      <c r="K1068" s="28">
        <v>0</v>
      </c>
      <c r="L1068" s="28">
        <v>0</v>
      </c>
      <c r="M1068" s="27">
        <v>0</v>
      </c>
      <c r="N1068" s="36">
        <v>12.375999999999999</v>
      </c>
      <c r="O1068" s="46">
        <v>34.368000000000002</v>
      </c>
      <c r="P1068" s="20">
        <v>0.15591325882352924</v>
      </c>
      <c r="Q1068" s="20">
        <v>0.70300358117646944</v>
      </c>
      <c r="R1068" s="26" t="s">
        <v>283</v>
      </c>
      <c r="S1068" s="26"/>
      <c r="T1068" s="71" t="s">
        <v>626</v>
      </c>
    </row>
    <row r="1069" spans="1:20" ht="12.75" customHeight="1">
      <c r="A1069" s="19" t="s">
        <v>536</v>
      </c>
      <c r="B1069" s="19">
        <v>15</v>
      </c>
      <c r="C1069" s="1" t="s">
        <v>515</v>
      </c>
      <c r="D1069" s="25">
        <v>43949</v>
      </c>
      <c r="E1069" s="19">
        <f t="shared" si="77"/>
        <v>2020</v>
      </c>
      <c r="F1069" s="19">
        <f t="shared" si="78"/>
        <v>4</v>
      </c>
      <c r="G1069" s="19">
        <f t="shared" si="79"/>
        <v>28</v>
      </c>
      <c r="H1069" s="29">
        <v>0.1173611111111111</v>
      </c>
      <c r="I1069" s="35">
        <v>132.32831666666667</v>
      </c>
      <c r="J1069" s="35">
        <v>37.00118333333333</v>
      </c>
      <c r="K1069" s="28">
        <v>0</v>
      </c>
      <c r="L1069" s="28">
        <v>0</v>
      </c>
      <c r="M1069" s="27">
        <v>0</v>
      </c>
      <c r="N1069" s="36">
        <v>12.926</v>
      </c>
      <c r="O1069" s="46">
        <v>34.392000000000003</v>
      </c>
      <c r="P1069" s="20">
        <v>0.19445591764705883</v>
      </c>
      <c r="Q1069" s="20">
        <v>0.6824088823529415</v>
      </c>
      <c r="R1069" s="26" t="s">
        <v>283</v>
      </c>
      <c r="S1069" s="26"/>
      <c r="T1069" s="71" t="s">
        <v>626</v>
      </c>
    </row>
    <row r="1070" spans="1:20" ht="12.75" customHeight="1">
      <c r="A1070" s="19" t="s">
        <v>537</v>
      </c>
      <c r="B1070" s="19">
        <v>15</v>
      </c>
      <c r="C1070" s="1" t="s">
        <v>515</v>
      </c>
      <c r="D1070" s="25">
        <v>43984</v>
      </c>
      <c r="E1070" s="19">
        <f t="shared" si="77"/>
        <v>2020</v>
      </c>
      <c r="F1070" s="19">
        <f t="shared" si="78"/>
        <v>6</v>
      </c>
      <c r="G1070" s="19">
        <f t="shared" si="79"/>
        <v>2</v>
      </c>
      <c r="H1070" s="29">
        <v>5.9722222222222225E-2</v>
      </c>
      <c r="I1070" s="35">
        <v>132.33146666666667</v>
      </c>
      <c r="J1070" s="35">
        <v>37.001649999999998</v>
      </c>
      <c r="K1070" s="28">
        <v>0</v>
      </c>
      <c r="L1070" s="28">
        <v>0</v>
      </c>
      <c r="M1070" s="27">
        <v>0</v>
      </c>
      <c r="N1070" s="36">
        <v>18.399000000000001</v>
      </c>
      <c r="O1070" s="46">
        <v>34.43</v>
      </c>
      <c r="P1070" s="20">
        <v>0.17865162647058819</v>
      </c>
      <c r="Q1070" s="20">
        <v>1.2114258235294102</v>
      </c>
      <c r="R1070" s="26" t="s">
        <v>283</v>
      </c>
      <c r="S1070" s="26"/>
      <c r="T1070" s="71" t="s">
        <v>626</v>
      </c>
    </row>
    <row r="1071" spans="1:20" ht="12.75" customHeight="1">
      <c r="A1071" s="19" t="s">
        <v>538</v>
      </c>
      <c r="B1071" s="19">
        <v>15</v>
      </c>
      <c r="C1071" s="1" t="s">
        <v>515</v>
      </c>
      <c r="D1071" s="25">
        <v>44034</v>
      </c>
      <c r="E1071" s="19">
        <f t="shared" si="77"/>
        <v>2020</v>
      </c>
      <c r="F1071" s="19">
        <f t="shared" si="78"/>
        <v>7</v>
      </c>
      <c r="G1071" s="19">
        <f t="shared" si="79"/>
        <v>22</v>
      </c>
      <c r="H1071" s="29">
        <v>7.0833333333333331E-2</v>
      </c>
      <c r="I1071" s="35">
        <v>132.32695000000001</v>
      </c>
      <c r="J1071" s="35">
        <v>37.003300000000003</v>
      </c>
      <c r="K1071" s="28">
        <v>0</v>
      </c>
      <c r="L1071" s="28">
        <v>0</v>
      </c>
      <c r="M1071" s="27">
        <v>0</v>
      </c>
      <c r="N1071" s="36">
        <v>22.238</v>
      </c>
      <c r="O1071" s="46">
        <v>33.950000000000003</v>
      </c>
      <c r="P1071" s="20">
        <v>-7.9545164705882687E-2</v>
      </c>
      <c r="Q1071" s="20">
        <v>-0.41441187529411749</v>
      </c>
      <c r="R1071" s="26" t="s">
        <v>283</v>
      </c>
      <c r="S1071" s="26"/>
      <c r="T1071" s="71" t="s">
        <v>626</v>
      </c>
    </row>
    <row r="1072" spans="1:20" ht="12.75" customHeight="1">
      <c r="A1072" s="19" t="s">
        <v>539</v>
      </c>
      <c r="B1072" s="19">
        <v>15</v>
      </c>
      <c r="C1072" s="1" t="s">
        <v>515</v>
      </c>
      <c r="D1072" s="25">
        <v>44068</v>
      </c>
      <c r="E1072" s="19">
        <f t="shared" si="77"/>
        <v>2020</v>
      </c>
      <c r="F1072" s="19">
        <f t="shared" si="78"/>
        <v>8</v>
      </c>
      <c r="G1072" s="19">
        <f t="shared" si="79"/>
        <v>25</v>
      </c>
      <c r="H1072" s="29">
        <v>2.7777777777777776E-2</v>
      </c>
      <c r="I1072" s="35">
        <v>132.32935000000001</v>
      </c>
      <c r="J1072" s="35">
        <v>37.00353333333333</v>
      </c>
      <c r="K1072" s="28">
        <v>0</v>
      </c>
      <c r="L1072" s="28">
        <v>0</v>
      </c>
      <c r="M1072" s="27">
        <v>0</v>
      </c>
      <c r="N1072" s="36">
        <v>25.785</v>
      </c>
      <c r="O1072" s="46">
        <v>33.161999999999999</v>
      </c>
      <c r="P1072" s="20">
        <v>-0.29064126588235295</v>
      </c>
      <c r="Q1072" s="20">
        <v>-1.8902305341176486</v>
      </c>
      <c r="R1072" s="26" t="s">
        <v>283</v>
      </c>
      <c r="S1072" s="26"/>
      <c r="T1072" s="71" t="s">
        <v>626</v>
      </c>
    </row>
    <row r="1073" spans="1:20" ht="12.75" customHeight="1">
      <c r="A1073" s="19" t="s">
        <v>540</v>
      </c>
      <c r="B1073" s="19">
        <v>19</v>
      </c>
      <c r="C1073" s="1" t="s">
        <v>515</v>
      </c>
      <c r="D1073" s="34" t="s">
        <v>541</v>
      </c>
      <c r="E1073" s="19">
        <f t="shared" si="77"/>
        <v>2018</v>
      </c>
      <c r="F1073" s="19">
        <f t="shared" si="78"/>
        <v>2</v>
      </c>
      <c r="G1073" s="19">
        <f t="shared" si="79"/>
        <v>27</v>
      </c>
      <c r="H1073" s="29" t="s">
        <v>287</v>
      </c>
      <c r="I1073" s="35">
        <v>133.67535000000001</v>
      </c>
      <c r="J1073" s="35">
        <v>38.001683333333332</v>
      </c>
      <c r="K1073" s="28">
        <v>0</v>
      </c>
      <c r="L1073" s="28">
        <v>0</v>
      </c>
      <c r="M1073" s="27">
        <v>0</v>
      </c>
      <c r="N1073" s="36">
        <v>7.2030000000000003</v>
      </c>
      <c r="O1073" s="35">
        <v>34.621000000000002</v>
      </c>
      <c r="P1073" s="20">
        <v>5.8269167058823346E-2</v>
      </c>
      <c r="Q1073" s="20">
        <v>0.36094701176470601</v>
      </c>
      <c r="R1073" s="19" t="s">
        <v>542</v>
      </c>
      <c r="S1073" s="19"/>
      <c r="T1073" s="71" t="s">
        <v>626</v>
      </c>
    </row>
    <row r="1074" spans="1:20" ht="12.75" customHeight="1">
      <c r="A1074" s="19" t="s">
        <v>540</v>
      </c>
      <c r="B1074" s="19">
        <v>22</v>
      </c>
      <c r="C1074" s="1" t="s">
        <v>515</v>
      </c>
      <c r="D1074" s="34" t="s">
        <v>541</v>
      </c>
      <c r="E1074" s="19">
        <f t="shared" si="77"/>
        <v>2018</v>
      </c>
      <c r="F1074" s="19">
        <f t="shared" si="78"/>
        <v>2</v>
      </c>
      <c r="G1074" s="19">
        <f t="shared" si="79"/>
        <v>27</v>
      </c>
      <c r="H1074" s="29" t="s">
        <v>287</v>
      </c>
      <c r="I1074" s="35">
        <v>133.67228333333333</v>
      </c>
      <c r="J1074" s="35">
        <v>36.997283333333336</v>
      </c>
      <c r="K1074" s="28">
        <v>0</v>
      </c>
      <c r="L1074" s="28">
        <v>0</v>
      </c>
      <c r="M1074" s="27">
        <v>0</v>
      </c>
      <c r="N1074" s="36">
        <v>10.032999999999999</v>
      </c>
      <c r="O1074" s="35">
        <v>34.423000000000002</v>
      </c>
      <c r="P1074" s="20">
        <v>0.12806949647058818</v>
      </c>
      <c r="Q1074" s="20">
        <v>0.62436681411764816</v>
      </c>
      <c r="R1074" s="19" t="s">
        <v>542</v>
      </c>
      <c r="S1074" s="19"/>
      <c r="T1074" s="71" t="s">
        <v>626</v>
      </c>
    </row>
    <row r="1075" spans="1:20" ht="12.75" customHeight="1">
      <c r="A1075" s="19" t="s">
        <v>543</v>
      </c>
      <c r="B1075" s="19">
        <v>25</v>
      </c>
      <c r="C1075" s="1" t="s">
        <v>515</v>
      </c>
      <c r="D1075" s="34" t="s">
        <v>544</v>
      </c>
      <c r="E1075" s="19">
        <f t="shared" si="77"/>
        <v>2018</v>
      </c>
      <c r="F1075" s="19">
        <f t="shared" si="78"/>
        <v>3</v>
      </c>
      <c r="G1075" s="19">
        <f t="shared" si="79"/>
        <v>12</v>
      </c>
      <c r="H1075" s="29" t="s">
        <v>287</v>
      </c>
      <c r="I1075" s="35">
        <v>133.68756666666667</v>
      </c>
      <c r="J1075" s="35">
        <v>35.994250000000001</v>
      </c>
      <c r="K1075" s="28">
        <v>0</v>
      </c>
      <c r="L1075" s="28">
        <v>0</v>
      </c>
      <c r="M1075" s="27">
        <v>0</v>
      </c>
      <c r="N1075" s="36">
        <v>11.516999999999999</v>
      </c>
      <c r="O1075" s="35">
        <v>34.42</v>
      </c>
      <c r="P1075" s="20">
        <v>0.16594230588235304</v>
      </c>
      <c r="Q1075" s="20">
        <v>0.832700856470586</v>
      </c>
      <c r="R1075" s="19" t="s">
        <v>542</v>
      </c>
      <c r="S1075" s="19"/>
      <c r="T1075" s="71" t="s">
        <v>626</v>
      </c>
    </row>
    <row r="1076" spans="1:20" ht="12.75" customHeight="1">
      <c r="A1076" s="19" t="s">
        <v>545</v>
      </c>
      <c r="B1076" s="19">
        <v>16</v>
      </c>
      <c r="C1076" s="1" t="s">
        <v>515</v>
      </c>
      <c r="D1076" s="34" t="s">
        <v>546</v>
      </c>
      <c r="E1076" s="19">
        <f t="shared" si="77"/>
        <v>2018</v>
      </c>
      <c r="F1076" s="19">
        <f t="shared" si="78"/>
        <v>5</v>
      </c>
      <c r="G1076" s="19">
        <f t="shared" si="79"/>
        <v>29</v>
      </c>
      <c r="H1076" s="29" t="s">
        <v>287</v>
      </c>
      <c r="I1076" s="35">
        <v>133.66403333333332</v>
      </c>
      <c r="J1076" s="35">
        <v>39.00385</v>
      </c>
      <c r="K1076" s="28">
        <v>0</v>
      </c>
      <c r="L1076" s="28">
        <v>0</v>
      </c>
      <c r="M1076" s="27">
        <v>0</v>
      </c>
      <c r="N1076" s="36">
        <v>15.43</v>
      </c>
      <c r="O1076" s="35">
        <v>34.469000000000001</v>
      </c>
      <c r="P1076" s="20">
        <v>0.1067361352941183</v>
      </c>
      <c r="Q1076" s="20">
        <v>0.37941345882352806</v>
      </c>
      <c r="R1076" s="19" t="s">
        <v>542</v>
      </c>
      <c r="S1076" s="19"/>
      <c r="T1076" s="71" t="s">
        <v>626</v>
      </c>
    </row>
    <row r="1077" spans="1:20" ht="12.75" customHeight="1">
      <c r="A1077" s="19" t="s">
        <v>545</v>
      </c>
      <c r="B1077" s="19">
        <v>19</v>
      </c>
      <c r="C1077" s="1" t="s">
        <v>515</v>
      </c>
      <c r="D1077" s="34" t="s">
        <v>546</v>
      </c>
      <c r="E1077" s="19">
        <f t="shared" si="77"/>
        <v>2018</v>
      </c>
      <c r="F1077" s="19">
        <f t="shared" si="78"/>
        <v>5</v>
      </c>
      <c r="G1077" s="19">
        <f t="shared" si="79"/>
        <v>29</v>
      </c>
      <c r="H1077" s="29" t="s">
        <v>287</v>
      </c>
      <c r="I1077" s="35">
        <v>133.67301666666665</v>
      </c>
      <c r="J1077" s="35">
        <v>37.991183333333332</v>
      </c>
      <c r="K1077" s="28">
        <v>0</v>
      </c>
      <c r="L1077" s="28">
        <v>0</v>
      </c>
      <c r="M1077" s="27">
        <v>0</v>
      </c>
      <c r="N1077" s="36">
        <v>18.209</v>
      </c>
      <c r="O1077" s="35">
        <v>33.984999999999999</v>
      </c>
      <c r="P1077" s="20">
        <v>0.17457912470588255</v>
      </c>
      <c r="Q1077" s="20">
        <v>1.0357388611764691</v>
      </c>
      <c r="R1077" s="19" t="s">
        <v>542</v>
      </c>
      <c r="S1077" s="19"/>
      <c r="T1077" s="71" t="s">
        <v>626</v>
      </c>
    </row>
    <row r="1078" spans="1:20" ht="12.75" customHeight="1">
      <c r="A1078" s="19" t="s">
        <v>545</v>
      </c>
      <c r="B1078" s="19">
        <v>22</v>
      </c>
      <c r="C1078" s="1" t="s">
        <v>515</v>
      </c>
      <c r="D1078" s="34" t="s">
        <v>546</v>
      </c>
      <c r="E1078" s="19">
        <f t="shared" si="77"/>
        <v>2018</v>
      </c>
      <c r="F1078" s="19">
        <f t="shared" si="78"/>
        <v>5</v>
      </c>
      <c r="G1078" s="19">
        <f t="shared" si="79"/>
        <v>29</v>
      </c>
      <c r="H1078" s="29" t="s">
        <v>287</v>
      </c>
      <c r="I1078" s="35">
        <v>133.66836666666666</v>
      </c>
      <c r="J1078" s="35">
        <v>37.002916666666664</v>
      </c>
      <c r="K1078" s="28">
        <v>0</v>
      </c>
      <c r="L1078" s="28">
        <v>0</v>
      </c>
      <c r="M1078" s="27">
        <v>0</v>
      </c>
      <c r="N1078" s="36">
        <v>18.837</v>
      </c>
      <c r="O1078" s="35">
        <v>33.268000000000001</v>
      </c>
      <c r="P1078" s="20">
        <v>0.17645721411764681</v>
      </c>
      <c r="Q1078" s="20">
        <v>0.77258618352941077</v>
      </c>
      <c r="R1078" s="19" t="s">
        <v>542</v>
      </c>
      <c r="S1078" s="19"/>
      <c r="T1078" s="71" t="s">
        <v>626</v>
      </c>
    </row>
    <row r="1079" spans="1:20" ht="12.75" customHeight="1">
      <c r="A1079" s="19" t="s">
        <v>545</v>
      </c>
      <c r="B1079" s="19">
        <v>25</v>
      </c>
      <c r="C1079" s="1" t="s">
        <v>515</v>
      </c>
      <c r="D1079" s="34" t="s">
        <v>547</v>
      </c>
      <c r="E1079" s="19">
        <f t="shared" si="77"/>
        <v>2018</v>
      </c>
      <c r="F1079" s="19">
        <f t="shared" si="78"/>
        <v>5</v>
      </c>
      <c r="G1079" s="19">
        <f t="shared" si="79"/>
        <v>30</v>
      </c>
      <c r="H1079" s="29" t="s">
        <v>287</v>
      </c>
      <c r="I1079" s="35">
        <v>133.66553333333334</v>
      </c>
      <c r="J1079" s="35">
        <v>36.002083333333331</v>
      </c>
      <c r="K1079" s="28">
        <v>0</v>
      </c>
      <c r="L1079" s="28">
        <v>0</v>
      </c>
      <c r="M1079" s="27">
        <v>0</v>
      </c>
      <c r="N1079" s="36">
        <v>20.056999999999999</v>
      </c>
      <c r="O1079" s="35">
        <v>34.593000000000004</v>
      </c>
      <c r="P1079" s="20">
        <v>0.14068465210084025</v>
      </c>
      <c r="Q1079" s="20">
        <v>0.93421156302520814</v>
      </c>
      <c r="R1079" s="19" t="s">
        <v>542</v>
      </c>
      <c r="S1079" s="19"/>
      <c r="T1079" s="71" t="s">
        <v>626</v>
      </c>
    </row>
    <row r="1080" spans="1:20" ht="12.75" customHeight="1">
      <c r="A1080" s="19" t="s">
        <v>548</v>
      </c>
      <c r="B1080" s="19">
        <v>16</v>
      </c>
      <c r="C1080" s="1" t="s">
        <v>515</v>
      </c>
      <c r="D1080" s="34" t="s">
        <v>549</v>
      </c>
      <c r="E1080" s="19">
        <f t="shared" si="77"/>
        <v>2018</v>
      </c>
      <c r="F1080" s="19">
        <f t="shared" si="78"/>
        <v>9</v>
      </c>
      <c r="G1080" s="19">
        <f t="shared" si="79"/>
        <v>12</v>
      </c>
      <c r="H1080" s="29" t="s">
        <v>287</v>
      </c>
      <c r="I1080" s="35">
        <v>132.96418333333332</v>
      </c>
      <c r="J1080" s="35">
        <v>36.994066666666669</v>
      </c>
      <c r="K1080" s="28">
        <v>0</v>
      </c>
      <c r="L1080" s="28">
        <v>0</v>
      </c>
      <c r="M1080" s="27">
        <v>0</v>
      </c>
      <c r="N1080" s="36">
        <v>22.879000000000001</v>
      </c>
      <c r="O1080" s="35">
        <v>33.899000000000001</v>
      </c>
      <c r="P1080" s="20">
        <v>-0.11105793882352977</v>
      </c>
      <c r="Q1080" s="20">
        <v>-0.80675960470588315</v>
      </c>
      <c r="R1080" s="19" t="s">
        <v>542</v>
      </c>
      <c r="S1080" s="19"/>
      <c r="T1080" s="71" t="s">
        <v>626</v>
      </c>
    </row>
    <row r="1081" spans="1:20" ht="12.75" customHeight="1">
      <c r="A1081" s="19" t="s">
        <v>548</v>
      </c>
      <c r="B1081" s="19">
        <v>19</v>
      </c>
      <c r="C1081" s="1" t="s">
        <v>515</v>
      </c>
      <c r="D1081" s="34" t="s">
        <v>550</v>
      </c>
      <c r="E1081" s="19">
        <f t="shared" si="77"/>
        <v>2018</v>
      </c>
      <c r="F1081" s="19">
        <f t="shared" si="78"/>
        <v>9</v>
      </c>
      <c r="G1081" s="19">
        <f t="shared" si="79"/>
        <v>13</v>
      </c>
      <c r="H1081" s="29" t="s">
        <v>287</v>
      </c>
      <c r="I1081" s="35">
        <v>133.66229999999999</v>
      </c>
      <c r="J1081" s="35">
        <v>38.007283333333334</v>
      </c>
      <c r="K1081" s="28">
        <v>0</v>
      </c>
      <c r="L1081" s="28">
        <v>0</v>
      </c>
      <c r="M1081" s="27">
        <v>0</v>
      </c>
      <c r="N1081" s="36">
        <v>24.667999999999999</v>
      </c>
      <c r="O1081" s="35">
        <v>33.344000000000001</v>
      </c>
      <c r="P1081" s="20">
        <v>-0.22956896941176463</v>
      </c>
      <c r="Q1081" s="20">
        <v>-1.5643020423529403</v>
      </c>
      <c r="R1081" s="19" t="s">
        <v>542</v>
      </c>
      <c r="S1081" s="19"/>
      <c r="T1081" s="71" t="s">
        <v>626</v>
      </c>
    </row>
    <row r="1082" spans="1:20" ht="12.75" customHeight="1">
      <c r="A1082" s="19" t="s">
        <v>548</v>
      </c>
      <c r="B1082" s="19">
        <v>22</v>
      </c>
      <c r="C1082" s="1" t="s">
        <v>515</v>
      </c>
      <c r="D1082" s="34" t="s">
        <v>550</v>
      </c>
      <c r="E1082" s="19">
        <f t="shared" si="77"/>
        <v>2018</v>
      </c>
      <c r="F1082" s="19">
        <f t="shared" si="78"/>
        <v>9</v>
      </c>
      <c r="G1082" s="19">
        <f t="shared" si="79"/>
        <v>13</v>
      </c>
      <c r="H1082" s="29" t="s">
        <v>287</v>
      </c>
      <c r="I1082" s="35">
        <v>133.66390000000001</v>
      </c>
      <c r="J1082" s="35">
        <v>36.995783333333335</v>
      </c>
      <c r="K1082" s="28">
        <v>0</v>
      </c>
      <c r="L1082" s="28">
        <v>0</v>
      </c>
      <c r="M1082" s="27">
        <v>0</v>
      </c>
      <c r="N1082" s="36">
        <v>23.81</v>
      </c>
      <c r="O1082" s="35">
        <v>33.378</v>
      </c>
      <c r="P1082" s="20">
        <v>-0.2555512000000002</v>
      </c>
      <c r="Q1082" s="20">
        <v>-1.6436380800000006</v>
      </c>
      <c r="R1082" s="19" t="s">
        <v>542</v>
      </c>
      <c r="S1082" s="19"/>
      <c r="T1082" s="71" t="s">
        <v>626</v>
      </c>
    </row>
    <row r="1083" spans="1:20" ht="12.75" customHeight="1">
      <c r="A1083" s="19" t="s">
        <v>548</v>
      </c>
      <c r="B1083" s="19">
        <v>25</v>
      </c>
      <c r="C1083" s="1" t="s">
        <v>515</v>
      </c>
      <c r="D1083" s="34" t="s">
        <v>551</v>
      </c>
      <c r="E1083" s="19">
        <f t="shared" si="77"/>
        <v>2018</v>
      </c>
      <c r="F1083" s="19">
        <f t="shared" si="78"/>
        <v>9</v>
      </c>
      <c r="G1083" s="19">
        <f t="shared" si="79"/>
        <v>14</v>
      </c>
      <c r="H1083" s="29" t="s">
        <v>287</v>
      </c>
      <c r="I1083" s="35">
        <v>133.67088333333334</v>
      </c>
      <c r="J1083" s="35">
        <v>36.004316666666668</v>
      </c>
      <c r="K1083" s="28">
        <v>0</v>
      </c>
      <c r="L1083" s="28">
        <v>0</v>
      </c>
      <c r="M1083" s="27">
        <v>0</v>
      </c>
      <c r="N1083" s="36">
        <v>25.698</v>
      </c>
      <c r="O1083" s="35">
        <v>33.615000000000002</v>
      </c>
      <c r="P1083" s="20">
        <v>-0.17375263058823487</v>
      </c>
      <c r="Q1083" s="20">
        <v>-1.2090377976470581</v>
      </c>
      <c r="R1083" s="19" t="s">
        <v>542</v>
      </c>
      <c r="S1083" s="19"/>
      <c r="T1083" s="71" t="s">
        <v>626</v>
      </c>
    </row>
    <row r="1084" spans="1:20" ht="12.75" customHeight="1">
      <c r="A1084" s="19" t="s">
        <v>552</v>
      </c>
      <c r="B1084" s="19">
        <v>16</v>
      </c>
      <c r="C1084" s="1" t="s">
        <v>515</v>
      </c>
      <c r="D1084" s="34" t="s">
        <v>553</v>
      </c>
      <c r="E1084" s="19">
        <f t="shared" si="77"/>
        <v>2018</v>
      </c>
      <c r="F1084" s="19">
        <f t="shared" si="78"/>
        <v>11</v>
      </c>
      <c r="G1084" s="19">
        <f t="shared" si="79"/>
        <v>6</v>
      </c>
      <c r="H1084" s="29" t="s">
        <v>287</v>
      </c>
      <c r="I1084" s="35">
        <v>133.66418333333334</v>
      </c>
      <c r="J1084" s="35">
        <v>38.995399999999997</v>
      </c>
      <c r="K1084" s="28">
        <v>0</v>
      </c>
      <c r="L1084" s="28">
        <v>0</v>
      </c>
      <c r="M1084" s="27">
        <v>0</v>
      </c>
      <c r="N1084" s="36">
        <v>16.986999999999998</v>
      </c>
      <c r="O1084" s="35">
        <v>33.725000000000001</v>
      </c>
      <c r="P1084" s="20">
        <v>-0.14726798117647055</v>
      </c>
      <c r="Q1084" s="20">
        <v>-1.1406887152941181</v>
      </c>
      <c r="R1084" s="19" t="s">
        <v>542</v>
      </c>
      <c r="S1084" s="19"/>
      <c r="T1084" s="71" t="s">
        <v>626</v>
      </c>
    </row>
    <row r="1085" spans="1:20" ht="12.75" customHeight="1">
      <c r="A1085" s="19" t="s">
        <v>552</v>
      </c>
      <c r="B1085" s="19">
        <v>19</v>
      </c>
      <c r="C1085" s="1" t="s">
        <v>515</v>
      </c>
      <c r="D1085" s="34" t="s">
        <v>553</v>
      </c>
      <c r="E1085" s="19">
        <f t="shared" si="77"/>
        <v>2018</v>
      </c>
      <c r="F1085" s="19">
        <f t="shared" si="78"/>
        <v>11</v>
      </c>
      <c r="G1085" s="19">
        <f t="shared" si="79"/>
        <v>6</v>
      </c>
      <c r="H1085" s="29" t="s">
        <v>287</v>
      </c>
      <c r="I1085" s="35">
        <v>133.66551666666666</v>
      </c>
      <c r="J1085" s="35">
        <v>37.998483333333333</v>
      </c>
      <c r="K1085" s="28">
        <v>0</v>
      </c>
      <c r="L1085" s="28">
        <v>0</v>
      </c>
      <c r="M1085" s="27">
        <v>0</v>
      </c>
      <c r="N1085" s="36">
        <v>19.134</v>
      </c>
      <c r="O1085" s="35">
        <v>33.642000000000003</v>
      </c>
      <c r="P1085" s="20">
        <v>-0.13603533176470606</v>
      </c>
      <c r="Q1085" s="20">
        <v>-0.80520331294117753</v>
      </c>
      <c r="R1085" s="19" t="s">
        <v>542</v>
      </c>
      <c r="S1085" s="19"/>
      <c r="T1085" s="71" t="s">
        <v>626</v>
      </c>
    </row>
    <row r="1086" spans="1:20" ht="12.75" customHeight="1">
      <c r="A1086" s="19" t="s">
        <v>552</v>
      </c>
      <c r="B1086" s="19">
        <v>22</v>
      </c>
      <c r="C1086" s="1" t="s">
        <v>515</v>
      </c>
      <c r="D1086" s="34" t="s">
        <v>553</v>
      </c>
      <c r="E1086" s="19">
        <f t="shared" si="77"/>
        <v>2018</v>
      </c>
      <c r="F1086" s="19">
        <f t="shared" si="78"/>
        <v>11</v>
      </c>
      <c r="G1086" s="19">
        <f t="shared" si="79"/>
        <v>6</v>
      </c>
      <c r="H1086" s="29" t="s">
        <v>287</v>
      </c>
      <c r="I1086" s="35">
        <v>133.6653</v>
      </c>
      <c r="J1086" s="35">
        <v>36.998350000000002</v>
      </c>
      <c r="K1086" s="28">
        <v>0</v>
      </c>
      <c r="L1086" s="28">
        <v>0</v>
      </c>
      <c r="M1086" s="27">
        <v>0</v>
      </c>
      <c r="N1086" s="36">
        <v>19.407</v>
      </c>
      <c r="O1086" s="35">
        <v>34.003999999999998</v>
      </c>
      <c r="P1086" s="20">
        <v>-4.1221722352940748E-2</v>
      </c>
      <c r="Q1086" s="20">
        <v>-0.51888047058823439</v>
      </c>
      <c r="R1086" s="19" t="s">
        <v>542</v>
      </c>
      <c r="S1086" s="19"/>
      <c r="T1086" s="71" t="s">
        <v>626</v>
      </c>
    </row>
    <row r="1087" spans="1:20" ht="12.75" customHeight="1">
      <c r="A1087" s="19" t="s">
        <v>552</v>
      </c>
      <c r="B1087" s="19">
        <v>25</v>
      </c>
      <c r="C1087" s="1" t="s">
        <v>515</v>
      </c>
      <c r="D1087" s="34" t="s">
        <v>554</v>
      </c>
      <c r="E1087" s="19">
        <f t="shared" si="77"/>
        <v>2018</v>
      </c>
      <c r="F1087" s="19">
        <f t="shared" si="78"/>
        <v>11</v>
      </c>
      <c r="G1087" s="19">
        <f t="shared" si="79"/>
        <v>7</v>
      </c>
      <c r="H1087" s="29" t="s">
        <v>287</v>
      </c>
      <c r="I1087" s="35">
        <v>133.66056666666665</v>
      </c>
      <c r="J1087" s="35">
        <v>36.004150000000003</v>
      </c>
      <c r="K1087" s="28">
        <v>0</v>
      </c>
      <c r="L1087" s="28">
        <v>0</v>
      </c>
      <c r="M1087" s="27">
        <v>0</v>
      </c>
      <c r="N1087" s="36">
        <v>19.623000000000001</v>
      </c>
      <c r="O1087" s="35">
        <v>33.856000000000002</v>
      </c>
      <c r="P1087" s="20">
        <v>-8.3879472941176481E-2</v>
      </c>
      <c r="Q1087" s="20">
        <v>-0.49199378823529649</v>
      </c>
      <c r="R1087" s="19" t="s">
        <v>542</v>
      </c>
      <c r="S1087" s="19"/>
      <c r="T1087" s="71" t="s">
        <v>626</v>
      </c>
    </row>
    <row r="1088" spans="1:20" ht="12.75" customHeight="1">
      <c r="A1088" s="19" t="s">
        <v>555</v>
      </c>
      <c r="B1088" s="19">
        <v>16</v>
      </c>
      <c r="C1088" s="1" t="s">
        <v>515</v>
      </c>
      <c r="D1088" s="34" t="s">
        <v>556</v>
      </c>
      <c r="E1088" s="19">
        <f t="shared" si="77"/>
        <v>2019</v>
      </c>
      <c r="F1088" s="19">
        <f t="shared" si="78"/>
        <v>2</v>
      </c>
      <c r="G1088" s="19">
        <f t="shared" si="79"/>
        <v>26</v>
      </c>
      <c r="H1088" s="29" t="s">
        <v>287</v>
      </c>
      <c r="I1088" s="35">
        <v>133.65876666666668</v>
      </c>
      <c r="J1088" s="35">
        <v>38.999183333333335</v>
      </c>
      <c r="K1088" s="28">
        <v>0</v>
      </c>
      <c r="L1088" s="28">
        <v>0</v>
      </c>
      <c r="M1088" s="27">
        <v>0</v>
      </c>
      <c r="N1088" s="36">
        <v>7.766</v>
      </c>
      <c r="O1088" s="35">
        <v>34.32</v>
      </c>
      <c r="P1088" s="20">
        <v>5.2045170588235656E-2</v>
      </c>
      <c r="Q1088" s="20">
        <v>0.13779514470588161</v>
      </c>
      <c r="R1088" s="19" t="s">
        <v>542</v>
      </c>
      <c r="S1088" s="19"/>
      <c r="T1088" s="71" t="s">
        <v>626</v>
      </c>
    </row>
    <row r="1089" spans="1:20" ht="12.75" customHeight="1">
      <c r="A1089" s="19" t="s">
        <v>555</v>
      </c>
      <c r="B1089" s="19">
        <v>19</v>
      </c>
      <c r="C1089" s="1" t="s">
        <v>515</v>
      </c>
      <c r="D1089" s="34" t="s">
        <v>556</v>
      </c>
      <c r="E1089" s="19">
        <f t="shared" si="77"/>
        <v>2019</v>
      </c>
      <c r="F1089" s="19">
        <f t="shared" si="78"/>
        <v>2</v>
      </c>
      <c r="G1089" s="19">
        <f t="shared" si="79"/>
        <v>26</v>
      </c>
      <c r="H1089" s="29" t="s">
        <v>287</v>
      </c>
      <c r="I1089" s="35">
        <v>133.67643333333334</v>
      </c>
      <c r="J1089" s="35">
        <v>38.002483333333331</v>
      </c>
      <c r="K1089" s="28">
        <v>0</v>
      </c>
      <c r="L1089" s="28">
        <v>0</v>
      </c>
      <c r="M1089" s="27">
        <v>0</v>
      </c>
      <c r="N1089" s="36">
        <v>12.993</v>
      </c>
      <c r="O1089" s="35">
        <v>34.417999999999999</v>
      </c>
      <c r="P1089" s="20">
        <v>0.14897956470588225</v>
      </c>
      <c r="Q1089" s="20">
        <v>0.80790527764705899</v>
      </c>
      <c r="R1089" s="19" t="s">
        <v>542</v>
      </c>
      <c r="S1089" s="19"/>
      <c r="T1089" s="71" t="s">
        <v>626</v>
      </c>
    </row>
    <row r="1090" spans="1:20" ht="12.75" customHeight="1">
      <c r="A1090" s="19" t="s">
        <v>555</v>
      </c>
      <c r="B1090" s="19">
        <v>22</v>
      </c>
      <c r="C1090" s="1" t="s">
        <v>515</v>
      </c>
      <c r="D1090" s="34" t="s">
        <v>556</v>
      </c>
      <c r="E1090" s="19">
        <f t="shared" si="77"/>
        <v>2019</v>
      </c>
      <c r="F1090" s="19">
        <f t="shared" si="78"/>
        <v>2</v>
      </c>
      <c r="G1090" s="19">
        <f t="shared" si="79"/>
        <v>26</v>
      </c>
      <c r="H1090" s="29" t="s">
        <v>287</v>
      </c>
      <c r="I1090" s="35">
        <v>133.66821666666667</v>
      </c>
      <c r="J1090" s="35">
        <v>37.002749999999999</v>
      </c>
      <c r="K1090" s="28">
        <v>0</v>
      </c>
      <c r="L1090" s="28">
        <v>0</v>
      </c>
      <c r="M1090" s="27">
        <v>0</v>
      </c>
      <c r="N1090" s="36">
        <v>11.705</v>
      </c>
      <c r="O1090" s="35">
        <v>34.265999999999998</v>
      </c>
      <c r="P1090" s="20">
        <v>3.8866808823529553E-2</v>
      </c>
      <c r="Q1090" s="20">
        <v>0.5069492705882368</v>
      </c>
      <c r="R1090" s="19" t="s">
        <v>542</v>
      </c>
      <c r="S1090" s="19"/>
      <c r="T1090" s="71" t="s">
        <v>626</v>
      </c>
    </row>
    <row r="1091" spans="1:20" s="14" customFormat="1" ht="12.75" customHeight="1">
      <c r="A1091" s="19" t="s">
        <v>555</v>
      </c>
      <c r="B1091" s="19">
        <v>25</v>
      </c>
      <c r="C1091" s="1" t="s">
        <v>515</v>
      </c>
      <c r="D1091" s="34" t="s">
        <v>557</v>
      </c>
      <c r="E1091" s="19">
        <f t="shared" si="77"/>
        <v>2019</v>
      </c>
      <c r="F1091" s="19">
        <f t="shared" si="78"/>
        <v>2</v>
      </c>
      <c r="G1091" s="19">
        <f t="shared" si="79"/>
        <v>27</v>
      </c>
      <c r="H1091" s="29" t="s">
        <v>287</v>
      </c>
      <c r="I1091" s="35">
        <v>133.66618333333332</v>
      </c>
      <c r="J1091" s="35">
        <v>36.001083333333334</v>
      </c>
      <c r="K1091" s="28">
        <v>0</v>
      </c>
      <c r="L1091" s="28">
        <v>0</v>
      </c>
      <c r="M1091" s="27">
        <v>0</v>
      </c>
      <c r="N1091" s="36">
        <v>12.298</v>
      </c>
      <c r="O1091" s="35">
        <v>34.307000000000002</v>
      </c>
      <c r="P1091" s="20">
        <v>0.17862766722689116</v>
      </c>
      <c r="Q1091" s="20">
        <v>0.57854240924369726</v>
      </c>
      <c r="R1091" s="19" t="s">
        <v>542</v>
      </c>
      <c r="S1091" s="19"/>
      <c r="T1091" s="71" t="s">
        <v>626</v>
      </c>
    </row>
    <row r="1092" spans="1:20" s="14" customFormat="1" ht="12.75" customHeight="1">
      <c r="A1092" s="19" t="s">
        <v>558</v>
      </c>
      <c r="B1092" s="19">
        <v>16</v>
      </c>
      <c r="C1092" s="1" t="s">
        <v>515</v>
      </c>
      <c r="D1092" s="34" t="s">
        <v>559</v>
      </c>
      <c r="E1092" s="19">
        <f t="shared" si="77"/>
        <v>2019</v>
      </c>
      <c r="F1092" s="19">
        <f t="shared" si="78"/>
        <v>5</v>
      </c>
      <c r="G1092" s="19">
        <f t="shared" si="79"/>
        <v>30</v>
      </c>
      <c r="H1092" s="29" t="s">
        <v>287</v>
      </c>
      <c r="I1092" s="35">
        <v>133.66721666666666</v>
      </c>
      <c r="J1092" s="35">
        <v>39.002200000000002</v>
      </c>
      <c r="K1092" s="28">
        <v>0</v>
      </c>
      <c r="L1092" s="28">
        <v>0</v>
      </c>
      <c r="M1092" s="27">
        <v>0</v>
      </c>
      <c r="N1092" s="36">
        <v>16.363</v>
      </c>
      <c r="O1092" s="35">
        <v>34.689</v>
      </c>
      <c r="P1092" s="20">
        <v>0.14852396705882365</v>
      </c>
      <c r="Q1092" s="20">
        <v>0.87297155647058666</v>
      </c>
      <c r="R1092" s="19" t="s">
        <v>542</v>
      </c>
      <c r="S1092" s="19"/>
      <c r="T1092" s="71" t="s">
        <v>626</v>
      </c>
    </row>
    <row r="1093" spans="1:20" s="14" customFormat="1" ht="12.75" customHeight="1">
      <c r="A1093" s="19" t="s">
        <v>558</v>
      </c>
      <c r="B1093" s="19">
        <v>19</v>
      </c>
      <c r="C1093" s="1" t="s">
        <v>515</v>
      </c>
      <c r="D1093" s="34" t="s">
        <v>559</v>
      </c>
      <c r="E1093" s="19">
        <f t="shared" si="77"/>
        <v>2019</v>
      </c>
      <c r="F1093" s="19">
        <f t="shared" si="78"/>
        <v>5</v>
      </c>
      <c r="G1093" s="19">
        <f t="shared" si="79"/>
        <v>30</v>
      </c>
      <c r="H1093" s="29" t="s">
        <v>287</v>
      </c>
      <c r="I1093" s="35">
        <v>133.68006666666668</v>
      </c>
      <c r="J1093" s="35">
        <v>38.01101666666667</v>
      </c>
      <c r="K1093" s="28">
        <v>0</v>
      </c>
      <c r="L1093" s="28">
        <v>0</v>
      </c>
      <c r="M1093" s="27">
        <v>0</v>
      </c>
      <c r="N1093" s="36">
        <v>17.475999999999999</v>
      </c>
      <c r="O1093" s="35">
        <v>34.481999999999999</v>
      </c>
      <c r="P1093" s="20">
        <v>0.10624930117647091</v>
      </c>
      <c r="Q1093" s="20">
        <v>1.035332129411767</v>
      </c>
      <c r="R1093" s="19" t="s">
        <v>542</v>
      </c>
      <c r="S1093" s="19"/>
      <c r="T1093" s="71" t="s">
        <v>626</v>
      </c>
    </row>
    <row r="1094" spans="1:20" s="14" customFormat="1" ht="12.75" customHeight="1">
      <c r="A1094" s="19" t="s">
        <v>558</v>
      </c>
      <c r="B1094" s="19">
        <v>22</v>
      </c>
      <c r="C1094" s="1" t="s">
        <v>515</v>
      </c>
      <c r="D1094" s="34" t="s">
        <v>559</v>
      </c>
      <c r="E1094" s="19">
        <f t="shared" si="77"/>
        <v>2019</v>
      </c>
      <c r="F1094" s="19">
        <f t="shared" si="78"/>
        <v>5</v>
      </c>
      <c r="G1094" s="19">
        <f t="shared" si="79"/>
        <v>30</v>
      </c>
      <c r="H1094" s="29" t="s">
        <v>287</v>
      </c>
      <c r="I1094" s="35">
        <v>133.66765000000001</v>
      </c>
      <c r="J1094" s="35">
        <v>37.007616666666664</v>
      </c>
      <c r="K1094" s="28">
        <v>0</v>
      </c>
      <c r="L1094" s="28">
        <v>0</v>
      </c>
      <c r="M1094" s="27">
        <v>0</v>
      </c>
      <c r="N1094" s="36">
        <v>18.765999999999998</v>
      </c>
      <c r="O1094" s="35">
        <v>34.436</v>
      </c>
      <c r="P1094" s="20">
        <v>0.19238123529411766</v>
      </c>
      <c r="Q1094" s="20">
        <v>1.0530408423529423</v>
      </c>
      <c r="R1094" s="19" t="s">
        <v>542</v>
      </c>
      <c r="S1094" s="19"/>
      <c r="T1094" s="71" t="s">
        <v>626</v>
      </c>
    </row>
    <row r="1095" spans="1:20" s="14" customFormat="1" ht="12.75" customHeight="1">
      <c r="A1095" s="19" t="s">
        <v>558</v>
      </c>
      <c r="B1095" s="19">
        <v>25</v>
      </c>
      <c r="C1095" s="1" t="s">
        <v>515</v>
      </c>
      <c r="D1095" s="34" t="s">
        <v>560</v>
      </c>
      <c r="E1095" s="19">
        <f t="shared" si="77"/>
        <v>2019</v>
      </c>
      <c r="F1095" s="19">
        <f t="shared" si="78"/>
        <v>5</v>
      </c>
      <c r="G1095" s="19">
        <f t="shared" si="79"/>
        <v>31</v>
      </c>
      <c r="H1095" s="29" t="s">
        <v>287</v>
      </c>
      <c r="I1095" s="35">
        <v>133.66708333333332</v>
      </c>
      <c r="J1095" s="35">
        <v>35.996783333333333</v>
      </c>
      <c r="K1095" s="28">
        <v>0</v>
      </c>
      <c r="L1095" s="28">
        <v>0</v>
      </c>
      <c r="M1095" s="27">
        <v>0</v>
      </c>
      <c r="N1095" s="36">
        <v>18.977</v>
      </c>
      <c r="O1095" s="35">
        <v>34.71</v>
      </c>
      <c r="P1095" s="20">
        <v>0.16874211176470544</v>
      </c>
      <c r="Q1095" s="20">
        <v>1.3249985441176477</v>
      </c>
      <c r="R1095" s="19" t="s">
        <v>542</v>
      </c>
      <c r="S1095" s="19"/>
      <c r="T1095" s="71" t="s">
        <v>626</v>
      </c>
    </row>
    <row r="1096" spans="1:20" s="14" customFormat="1" ht="12.75" customHeight="1">
      <c r="A1096" s="19" t="s">
        <v>561</v>
      </c>
      <c r="B1096" s="19">
        <v>15</v>
      </c>
      <c r="C1096" s="1" t="s">
        <v>515</v>
      </c>
      <c r="D1096" s="34" t="s">
        <v>562</v>
      </c>
      <c r="E1096" s="19">
        <f t="shared" si="77"/>
        <v>2019</v>
      </c>
      <c r="F1096" s="19">
        <f t="shared" si="78"/>
        <v>9</v>
      </c>
      <c r="G1096" s="19">
        <f t="shared" si="79"/>
        <v>3</v>
      </c>
      <c r="H1096" s="29" t="s">
        <v>287</v>
      </c>
      <c r="I1096" s="35">
        <v>133.66253333333333</v>
      </c>
      <c r="J1096" s="35">
        <v>38.669699999999999</v>
      </c>
      <c r="K1096" s="28">
        <v>0</v>
      </c>
      <c r="L1096" s="28">
        <v>0</v>
      </c>
      <c r="M1096" s="27">
        <v>0</v>
      </c>
      <c r="N1096" s="36">
        <v>25.532</v>
      </c>
      <c r="O1096" s="35">
        <v>33.253</v>
      </c>
      <c r="P1096" s="20">
        <v>-0.2645951941176472</v>
      </c>
      <c r="Q1096" s="20">
        <v>-1.8594034029411759</v>
      </c>
      <c r="R1096" s="19" t="s">
        <v>542</v>
      </c>
      <c r="S1096" s="19"/>
      <c r="T1096" s="71" t="s">
        <v>626</v>
      </c>
    </row>
    <row r="1097" spans="1:20" s="14" customFormat="1" ht="12.75" customHeight="1">
      <c r="A1097" s="19" t="s">
        <v>561</v>
      </c>
      <c r="B1097" s="19">
        <v>17</v>
      </c>
      <c r="C1097" s="1" t="s">
        <v>515</v>
      </c>
      <c r="D1097" s="34" t="s">
        <v>562</v>
      </c>
      <c r="E1097" s="19">
        <f t="shared" si="77"/>
        <v>2019</v>
      </c>
      <c r="F1097" s="19">
        <f t="shared" si="78"/>
        <v>9</v>
      </c>
      <c r="G1097" s="19">
        <f t="shared" si="79"/>
        <v>3</v>
      </c>
      <c r="H1097" s="29" t="s">
        <v>287</v>
      </c>
      <c r="I1097" s="35">
        <v>133.65864999999999</v>
      </c>
      <c r="J1097" s="35">
        <v>38.005850000000002</v>
      </c>
      <c r="K1097" s="28">
        <v>0</v>
      </c>
      <c r="L1097" s="28">
        <v>0</v>
      </c>
      <c r="M1097" s="27">
        <v>0</v>
      </c>
      <c r="N1097" s="36">
        <v>25.134</v>
      </c>
      <c r="O1097" s="35">
        <v>33.308</v>
      </c>
      <c r="P1097" s="20">
        <v>-0.30103551250000038</v>
      </c>
      <c r="Q1097" s="20">
        <v>-1.903034712500002</v>
      </c>
      <c r="R1097" s="19" t="s">
        <v>542</v>
      </c>
      <c r="S1097" s="19"/>
      <c r="T1097" s="71" t="s">
        <v>626</v>
      </c>
    </row>
    <row r="1098" spans="1:20" s="14" customFormat="1" ht="12.75" customHeight="1">
      <c r="A1098" s="19" t="s">
        <v>561</v>
      </c>
      <c r="B1098" s="19">
        <v>20</v>
      </c>
      <c r="C1098" s="1" t="s">
        <v>515</v>
      </c>
      <c r="D1098" s="34" t="s">
        <v>562</v>
      </c>
      <c r="E1098" s="19">
        <f t="shared" si="77"/>
        <v>2019</v>
      </c>
      <c r="F1098" s="19">
        <f t="shared" si="78"/>
        <v>9</v>
      </c>
      <c r="G1098" s="19">
        <f t="shared" si="79"/>
        <v>3</v>
      </c>
      <c r="H1098" s="29" t="s">
        <v>287</v>
      </c>
      <c r="I1098" s="35">
        <v>133.66325000000001</v>
      </c>
      <c r="J1098" s="35">
        <v>37.00181666666667</v>
      </c>
      <c r="K1098" s="28">
        <v>0</v>
      </c>
      <c r="L1098" s="28">
        <v>0</v>
      </c>
      <c r="M1098" s="27">
        <v>0</v>
      </c>
      <c r="N1098" s="36">
        <v>25.613</v>
      </c>
      <c r="O1098" s="35">
        <v>33.29</v>
      </c>
      <c r="P1098" s="20">
        <v>-0.28269920588235298</v>
      </c>
      <c r="Q1098" s="20">
        <v>-1.6952869270588238</v>
      </c>
      <c r="R1098" s="19" t="s">
        <v>542</v>
      </c>
      <c r="S1098" s="19"/>
      <c r="T1098" s="71" t="s">
        <v>626</v>
      </c>
    </row>
    <row r="1099" spans="1:20" s="14" customFormat="1" ht="12.75" customHeight="1">
      <c r="A1099" s="19" t="s">
        <v>561</v>
      </c>
      <c r="B1099" s="19">
        <v>23</v>
      </c>
      <c r="C1099" s="1" t="s">
        <v>515</v>
      </c>
      <c r="D1099" s="34" t="s">
        <v>562</v>
      </c>
      <c r="E1099" s="19">
        <f t="shared" si="77"/>
        <v>2019</v>
      </c>
      <c r="F1099" s="19">
        <f t="shared" si="78"/>
        <v>9</v>
      </c>
      <c r="G1099" s="19">
        <f t="shared" si="79"/>
        <v>3</v>
      </c>
      <c r="H1099" s="29" t="s">
        <v>287</v>
      </c>
      <c r="I1099" s="35">
        <v>133.66056666666665</v>
      </c>
      <c r="J1099" s="35">
        <v>36.002866666666669</v>
      </c>
      <c r="K1099" s="28">
        <v>0</v>
      </c>
      <c r="L1099" s="28">
        <v>0</v>
      </c>
      <c r="M1099" s="27">
        <v>0</v>
      </c>
      <c r="N1099" s="36">
        <v>25.957999999999998</v>
      </c>
      <c r="O1099" s="35">
        <v>32.945</v>
      </c>
      <c r="P1099" s="20">
        <v>-0.36003091176470581</v>
      </c>
      <c r="Q1099" s="20">
        <v>-2.3225415141176482</v>
      </c>
      <c r="R1099" s="19" t="s">
        <v>542</v>
      </c>
      <c r="S1099" s="19"/>
      <c r="T1099" s="71" t="s">
        <v>626</v>
      </c>
    </row>
    <row r="1100" spans="1:20" s="14" customFormat="1" ht="12.75" customHeight="1">
      <c r="A1100" s="19" t="s">
        <v>563</v>
      </c>
      <c r="B1100" s="19">
        <v>15</v>
      </c>
      <c r="C1100" s="1" t="s">
        <v>515</v>
      </c>
      <c r="D1100" s="34" t="s">
        <v>564</v>
      </c>
      <c r="E1100" s="19">
        <f t="shared" si="77"/>
        <v>2019</v>
      </c>
      <c r="F1100" s="19">
        <f t="shared" si="78"/>
        <v>10</v>
      </c>
      <c r="G1100" s="19">
        <f t="shared" si="79"/>
        <v>30</v>
      </c>
      <c r="H1100" s="29" t="s">
        <v>287</v>
      </c>
      <c r="I1100" s="35">
        <v>133.67096666666666</v>
      </c>
      <c r="J1100" s="35">
        <v>38.667866666666669</v>
      </c>
      <c r="K1100" s="28">
        <v>0</v>
      </c>
      <c r="L1100" s="28">
        <v>0</v>
      </c>
      <c r="M1100" s="27">
        <v>0</v>
      </c>
      <c r="N1100" s="36">
        <v>19.254000000000001</v>
      </c>
      <c r="O1100" s="35">
        <v>33.494</v>
      </c>
      <c r="P1100" s="20">
        <v>-0.10574747764705883</v>
      </c>
      <c r="Q1100" s="20">
        <v>-1.2284585411764724</v>
      </c>
      <c r="R1100" s="19" t="s">
        <v>542</v>
      </c>
      <c r="S1100" s="19"/>
      <c r="T1100" s="71" t="s">
        <v>626</v>
      </c>
    </row>
    <row r="1101" spans="1:20" s="14" customFormat="1" ht="12.75" customHeight="1">
      <c r="A1101" s="19" t="s">
        <v>563</v>
      </c>
      <c r="B1101" s="19">
        <v>17</v>
      </c>
      <c r="C1101" s="1" t="s">
        <v>515</v>
      </c>
      <c r="D1101" s="34" t="s">
        <v>564</v>
      </c>
      <c r="E1101" s="19">
        <f t="shared" si="77"/>
        <v>2019</v>
      </c>
      <c r="F1101" s="19">
        <f t="shared" si="78"/>
        <v>10</v>
      </c>
      <c r="G1101" s="19">
        <f t="shared" si="79"/>
        <v>30</v>
      </c>
      <c r="H1101" s="29" t="s">
        <v>287</v>
      </c>
      <c r="I1101" s="35">
        <v>133.6696</v>
      </c>
      <c r="J1101" s="35">
        <v>38.003300000000003</v>
      </c>
      <c r="K1101" s="28">
        <v>0</v>
      </c>
      <c r="L1101" s="28">
        <v>0</v>
      </c>
      <c r="M1101" s="27">
        <v>0</v>
      </c>
      <c r="N1101" s="36">
        <v>20.806999999999999</v>
      </c>
      <c r="O1101" s="35">
        <v>33.469000000000001</v>
      </c>
      <c r="P1101" s="20">
        <v>-0.19082434352941169</v>
      </c>
      <c r="Q1101" s="20">
        <v>-1.0923271282352935</v>
      </c>
      <c r="R1101" s="19" t="s">
        <v>542</v>
      </c>
      <c r="S1101" s="19"/>
      <c r="T1101" s="71" t="s">
        <v>626</v>
      </c>
    </row>
    <row r="1102" spans="1:20" s="14" customFormat="1" ht="12.75" customHeight="1">
      <c r="A1102" s="19" t="s">
        <v>563</v>
      </c>
      <c r="B1102" s="19">
        <v>20</v>
      </c>
      <c r="C1102" s="1" t="s">
        <v>515</v>
      </c>
      <c r="D1102" s="34" t="s">
        <v>564</v>
      </c>
      <c r="E1102" s="19">
        <f t="shared" si="77"/>
        <v>2019</v>
      </c>
      <c r="F1102" s="19">
        <f t="shared" si="78"/>
        <v>10</v>
      </c>
      <c r="G1102" s="19">
        <f t="shared" si="79"/>
        <v>30</v>
      </c>
      <c r="H1102" s="29" t="s">
        <v>287</v>
      </c>
      <c r="I1102" s="35">
        <v>133.6686</v>
      </c>
      <c r="J1102" s="35">
        <v>37.003283333333336</v>
      </c>
      <c r="K1102" s="28">
        <v>0</v>
      </c>
      <c r="L1102" s="28">
        <v>0</v>
      </c>
      <c r="M1102" s="27">
        <v>0</v>
      </c>
      <c r="N1102" s="36">
        <v>20.567</v>
      </c>
      <c r="O1102" s="35">
        <v>33.901000000000003</v>
      </c>
      <c r="P1102" s="20">
        <v>-0.12874316941176511</v>
      </c>
      <c r="Q1102" s="20">
        <v>-0.76495773529411792</v>
      </c>
      <c r="R1102" s="19" t="s">
        <v>542</v>
      </c>
      <c r="S1102" s="19"/>
      <c r="T1102" s="71" t="s">
        <v>626</v>
      </c>
    </row>
    <row r="1103" spans="1:20" s="14" customFormat="1" ht="12.75" customHeight="1">
      <c r="A1103" s="19" t="s">
        <v>563</v>
      </c>
      <c r="B1103" s="19">
        <v>23</v>
      </c>
      <c r="C1103" s="1" t="s">
        <v>515</v>
      </c>
      <c r="D1103" s="34" t="s">
        <v>565</v>
      </c>
      <c r="E1103" s="19">
        <f t="shared" si="77"/>
        <v>2019</v>
      </c>
      <c r="F1103" s="19">
        <f t="shared" si="78"/>
        <v>10</v>
      </c>
      <c r="G1103" s="19">
        <f t="shared" si="79"/>
        <v>31</v>
      </c>
      <c r="H1103" s="29" t="s">
        <v>287</v>
      </c>
      <c r="I1103" s="35">
        <v>133.66765000000001</v>
      </c>
      <c r="J1103" s="35">
        <v>36.002883333333337</v>
      </c>
      <c r="K1103" s="28">
        <v>0</v>
      </c>
      <c r="L1103" s="28">
        <v>0</v>
      </c>
      <c r="M1103" s="27">
        <v>0</v>
      </c>
      <c r="N1103" s="36">
        <v>20.917000000000002</v>
      </c>
      <c r="O1103" s="35">
        <v>33.308999999999997</v>
      </c>
      <c r="P1103" s="20">
        <v>-0.14325257999999952</v>
      </c>
      <c r="Q1103" s="20">
        <v>-1.1778019176470576</v>
      </c>
      <c r="R1103" s="19" t="s">
        <v>542</v>
      </c>
      <c r="S1103" s="19"/>
      <c r="T1103" s="71" t="s">
        <v>626</v>
      </c>
    </row>
    <row r="1104" spans="1:20" s="14" customFormat="1" ht="12.75" customHeight="1">
      <c r="A1104" s="19" t="s">
        <v>566</v>
      </c>
      <c r="B1104" s="19">
        <v>23</v>
      </c>
      <c r="C1104" s="1" t="s">
        <v>515</v>
      </c>
      <c r="D1104" s="34" t="s">
        <v>567</v>
      </c>
      <c r="E1104" s="19">
        <f t="shared" si="77"/>
        <v>2020</v>
      </c>
      <c r="F1104" s="19">
        <f t="shared" si="78"/>
        <v>2</v>
      </c>
      <c r="G1104" s="19">
        <f t="shared" si="79"/>
        <v>26</v>
      </c>
      <c r="H1104" s="29" t="s">
        <v>287</v>
      </c>
      <c r="I1104" s="35">
        <v>133.65485000000001</v>
      </c>
      <c r="J1104" s="35">
        <v>36.005850000000002</v>
      </c>
      <c r="K1104" s="28">
        <v>0</v>
      </c>
      <c r="L1104" s="28">
        <v>0</v>
      </c>
      <c r="M1104" s="27">
        <v>0</v>
      </c>
      <c r="N1104" s="36">
        <v>12.782999999999999</v>
      </c>
      <c r="O1104" s="35">
        <v>34.146999999999998</v>
      </c>
      <c r="P1104" s="20">
        <v>7.2543160000000384E-2</v>
      </c>
      <c r="Q1104" s="20">
        <v>0.3785568588235293</v>
      </c>
      <c r="R1104" s="19" t="s">
        <v>542</v>
      </c>
      <c r="S1104" s="19"/>
      <c r="T1104" s="71" t="s">
        <v>626</v>
      </c>
    </row>
    <row r="1105" spans="1:20" s="14" customFormat="1" ht="12.75" customHeight="1">
      <c r="A1105" s="19" t="s">
        <v>568</v>
      </c>
      <c r="B1105" s="19">
        <v>20</v>
      </c>
      <c r="C1105" s="1" t="s">
        <v>515</v>
      </c>
      <c r="D1105" s="34" t="s">
        <v>569</v>
      </c>
      <c r="E1105" s="19">
        <f t="shared" si="77"/>
        <v>2020</v>
      </c>
      <c r="F1105" s="19">
        <f t="shared" si="78"/>
        <v>9</v>
      </c>
      <c r="G1105" s="19">
        <f t="shared" si="79"/>
        <v>1</v>
      </c>
      <c r="H1105" s="29" t="s">
        <v>287</v>
      </c>
      <c r="I1105" s="35">
        <v>133.66351666666668</v>
      </c>
      <c r="J1105" s="35">
        <v>37.003749999999997</v>
      </c>
      <c r="K1105" s="28">
        <v>0</v>
      </c>
      <c r="L1105" s="28">
        <v>0</v>
      </c>
      <c r="M1105" s="27">
        <v>0</v>
      </c>
      <c r="N1105" s="36">
        <v>26.632999999999999</v>
      </c>
      <c r="O1105" s="35">
        <v>33.039000000000001</v>
      </c>
      <c r="P1105" s="20">
        <v>-0.29657261999999962</v>
      </c>
      <c r="Q1105" s="20">
        <v>-1.9639949647058828</v>
      </c>
      <c r="R1105" s="19" t="s">
        <v>542</v>
      </c>
      <c r="S1105" s="19"/>
      <c r="T1105" s="71" t="s">
        <v>626</v>
      </c>
    </row>
    <row r="1106" spans="1:20" s="14" customFormat="1" ht="12.75" customHeight="1">
      <c r="A1106" s="19" t="s">
        <v>568</v>
      </c>
      <c r="B1106" s="19">
        <v>23</v>
      </c>
      <c r="C1106" s="1" t="s">
        <v>515</v>
      </c>
      <c r="D1106" s="34" t="s">
        <v>569</v>
      </c>
      <c r="E1106" s="19">
        <f t="shared" si="77"/>
        <v>2020</v>
      </c>
      <c r="F1106" s="19">
        <f t="shared" si="78"/>
        <v>9</v>
      </c>
      <c r="G1106" s="19">
        <f t="shared" si="79"/>
        <v>1</v>
      </c>
      <c r="H1106" s="29" t="s">
        <v>287</v>
      </c>
      <c r="I1106" s="35">
        <v>133.66793333333334</v>
      </c>
      <c r="J1106" s="35">
        <v>36.00181666666667</v>
      </c>
      <c r="K1106" s="28">
        <v>0</v>
      </c>
      <c r="L1106" s="28">
        <v>0</v>
      </c>
      <c r="M1106" s="27">
        <v>0</v>
      </c>
      <c r="N1106" s="36">
        <v>28.425999999999998</v>
      </c>
      <c r="O1106" s="35">
        <v>32.218000000000004</v>
      </c>
      <c r="P1106" s="20">
        <v>-0.39196936000000004</v>
      </c>
      <c r="Q1106" s="20">
        <v>-2.6485969882352931</v>
      </c>
      <c r="R1106" s="19" t="s">
        <v>542</v>
      </c>
      <c r="S1106" s="19"/>
      <c r="T1106" s="71" t="s">
        <v>626</v>
      </c>
    </row>
    <row r="1107" spans="1:20" s="14" customFormat="1" ht="12.75" customHeight="1">
      <c r="A1107" s="26" t="s">
        <v>574</v>
      </c>
      <c r="B1107" s="26" t="s">
        <v>17</v>
      </c>
      <c r="C1107" s="26" t="s">
        <v>516</v>
      </c>
      <c r="D1107" s="25">
        <v>42616</v>
      </c>
      <c r="E1107" s="19">
        <v>2016</v>
      </c>
      <c r="F1107" s="19">
        <v>9</v>
      </c>
      <c r="G1107" s="30">
        <v>3</v>
      </c>
      <c r="H1107" s="29" t="s">
        <v>501</v>
      </c>
      <c r="I1107" s="22">
        <v>138.233</v>
      </c>
      <c r="J1107" s="22">
        <v>37.332999999999998</v>
      </c>
      <c r="K1107" s="27">
        <v>0</v>
      </c>
      <c r="L1107" s="27">
        <v>0</v>
      </c>
      <c r="M1107" s="27">
        <v>0</v>
      </c>
      <c r="N1107" s="21">
        <v>27</v>
      </c>
      <c r="O1107" s="24">
        <v>33.018999999999998</v>
      </c>
      <c r="P1107" s="20">
        <v>-0.21</v>
      </c>
      <c r="Q1107" s="20">
        <v>-1.53</v>
      </c>
      <c r="R1107" s="26" t="s">
        <v>393</v>
      </c>
      <c r="S1107" s="26"/>
      <c r="T1107" s="71" t="s">
        <v>626</v>
      </c>
    </row>
    <row r="1108" spans="1:20" s="14" customFormat="1" ht="12.75" customHeight="1">
      <c r="A1108" s="26" t="s">
        <v>574</v>
      </c>
      <c r="B1108" s="26" t="s">
        <v>18</v>
      </c>
      <c r="C1108" s="26" t="s">
        <v>516</v>
      </c>
      <c r="D1108" s="25">
        <v>42616</v>
      </c>
      <c r="E1108" s="19">
        <v>2016</v>
      </c>
      <c r="F1108" s="19">
        <v>9</v>
      </c>
      <c r="G1108" s="30">
        <v>3</v>
      </c>
      <c r="H1108" s="29" t="s">
        <v>501</v>
      </c>
      <c r="I1108" s="22">
        <v>137.03299999999999</v>
      </c>
      <c r="J1108" s="22">
        <v>37.567</v>
      </c>
      <c r="K1108" s="27">
        <v>0</v>
      </c>
      <c r="L1108" s="27">
        <v>0</v>
      </c>
      <c r="M1108" s="27">
        <v>0</v>
      </c>
      <c r="N1108" s="21">
        <v>26.4</v>
      </c>
      <c r="O1108" s="24">
        <v>33.433999999999997</v>
      </c>
      <c r="P1108" s="20">
        <v>-0.08</v>
      </c>
      <c r="Q1108" s="20">
        <v>-0.81</v>
      </c>
      <c r="R1108" s="26" t="s">
        <v>393</v>
      </c>
      <c r="S1108" s="26"/>
      <c r="T1108" s="71" t="s">
        <v>626</v>
      </c>
    </row>
    <row r="1109" spans="1:20" s="14" customFormat="1" ht="12.75" customHeight="1">
      <c r="A1109" s="26" t="s">
        <v>574</v>
      </c>
      <c r="B1109" s="26" t="s">
        <v>19</v>
      </c>
      <c r="C1109" s="26" t="s">
        <v>516</v>
      </c>
      <c r="D1109" s="25">
        <v>42617</v>
      </c>
      <c r="E1109" s="19">
        <v>2016</v>
      </c>
      <c r="F1109" s="19">
        <v>9</v>
      </c>
      <c r="G1109" s="30">
        <v>4</v>
      </c>
      <c r="H1109" s="29" t="s">
        <v>501</v>
      </c>
      <c r="I1109" s="22">
        <v>137.88300000000001</v>
      </c>
      <c r="J1109" s="22">
        <v>37.832999999999998</v>
      </c>
      <c r="K1109" s="27">
        <v>0</v>
      </c>
      <c r="L1109" s="27">
        <v>0</v>
      </c>
      <c r="M1109" s="27">
        <v>0</v>
      </c>
      <c r="N1109" s="21">
        <v>26.5</v>
      </c>
      <c r="O1109" s="24">
        <v>33.487000000000002</v>
      </c>
      <c r="P1109" s="20">
        <v>-0.06</v>
      </c>
      <c r="Q1109" s="20">
        <v>-0.69</v>
      </c>
      <c r="R1109" s="26" t="s">
        <v>393</v>
      </c>
      <c r="S1109" s="26"/>
      <c r="T1109" s="71" t="s">
        <v>626</v>
      </c>
    </row>
    <row r="1110" spans="1:20" s="14" customFormat="1" ht="12.75" customHeight="1">
      <c r="A1110" s="26" t="s">
        <v>574</v>
      </c>
      <c r="B1110" s="26" t="s">
        <v>20</v>
      </c>
      <c r="C1110" s="26" t="s">
        <v>516</v>
      </c>
      <c r="D1110" s="25">
        <v>42617</v>
      </c>
      <c r="E1110" s="19">
        <v>2016</v>
      </c>
      <c r="F1110" s="19">
        <v>9</v>
      </c>
      <c r="G1110" s="30">
        <v>4</v>
      </c>
      <c r="H1110" s="29" t="s">
        <v>501</v>
      </c>
      <c r="I1110" s="22">
        <v>137.767</v>
      </c>
      <c r="J1110" s="22">
        <v>38.082999999999998</v>
      </c>
      <c r="K1110" s="27">
        <v>0</v>
      </c>
      <c r="L1110" s="27">
        <v>0</v>
      </c>
      <c r="M1110" s="27">
        <v>0</v>
      </c>
      <c r="N1110" s="21">
        <v>26.6</v>
      </c>
      <c r="O1110" s="24">
        <v>33.473999999999997</v>
      </c>
      <c r="P1110" s="20">
        <v>-0.04</v>
      </c>
      <c r="Q1110" s="20">
        <v>-0.6</v>
      </c>
      <c r="R1110" s="26" t="s">
        <v>393</v>
      </c>
      <c r="S1110" s="26"/>
      <c r="T1110" s="71" t="s">
        <v>626</v>
      </c>
    </row>
    <row r="1111" spans="1:20" s="14" customFormat="1" ht="12.75" customHeight="1">
      <c r="A1111" s="26" t="s">
        <v>574</v>
      </c>
      <c r="B1111" s="26" t="s">
        <v>21</v>
      </c>
      <c r="C1111" s="26" t="s">
        <v>516</v>
      </c>
      <c r="D1111" s="25">
        <v>42617</v>
      </c>
      <c r="E1111" s="19">
        <v>2016</v>
      </c>
      <c r="F1111" s="19">
        <v>9</v>
      </c>
      <c r="G1111" s="30">
        <v>4</v>
      </c>
      <c r="H1111" s="29" t="s">
        <v>501</v>
      </c>
      <c r="I1111" s="22">
        <v>137.56700000000001</v>
      </c>
      <c r="J1111" s="22">
        <v>38.332999999999998</v>
      </c>
      <c r="K1111" s="27">
        <v>0</v>
      </c>
      <c r="L1111" s="27">
        <v>0</v>
      </c>
      <c r="M1111" s="27">
        <v>0</v>
      </c>
      <c r="N1111" s="21">
        <v>26.6</v>
      </c>
      <c r="O1111" s="24">
        <v>33.561999999999998</v>
      </c>
      <c r="P1111" s="20">
        <v>-0.03</v>
      </c>
      <c r="Q1111" s="20">
        <v>-0.49</v>
      </c>
      <c r="R1111" s="26" t="s">
        <v>393</v>
      </c>
      <c r="S1111" s="26"/>
      <c r="T1111" s="71" t="s">
        <v>626</v>
      </c>
    </row>
    <row r="1112" spans="1:20" s="14" customFormat="1" ht="12.75" customHeight="1">
      <c r="A1112" s="26" t="s">
        <v>574</v>
      </c>
      <c r="B1112" s="26" t="s">
        <v>22</v>
      </c>
      <c r="C1112" s="26" t="s">
        <v>516</v>
      </c>
      <c r="D1112" s="25">
        <v>42618</v>
      </c>
      <c r="E1112" s="19">
        <v>2016</v>
      </c>
      <c r="F1112" s="19">
        <v>9</v>
      </c>
      <c r="G1112" s="30">
        <v>5</v>
      </c>
      <c r="H1112" s="29" t="s">
        <v>501</v>
      </c>
      <c r="I1112" s="22">
        <v>137.417</v>
      </c>
      <c r="J1112" s="22">
        <v>38.582999999999998</v>
      </c>
      <c r="K1112" s="27">
        <v>0</v>
      </c>
      <c r="L1112" s="27">
        <v>0</v>
      </c>
      <c r="M1112" s="27">
        <v>0</v>
      </c>
      <c r="N1112" s="21">
        <v>26.4</v>
      </c>
      <c r="O1112" s="24">
        <v>33.232999999999997</v>
      </c>
      <c r="P1112" s="20">
        <v>-0.13</v>
      </c>
      <c r="Q1112" s="20">
        <v>-1.1399999999999999</v>
      </c>
      <c r="R1112" s="26" t="s">
        <v>393</v>
      </c>
      <c r="S1112" s="26"/>
      <c r="T1112" s="71" t="s">
        <v>626</v>
      </c>
    </row>
    <row r="1113" spans="1:20" s="14" customFormat="1" ht="12.75" customHeight="1">
      <c r="A1113" s="26" t="s">
        <v>574</v>
      </c>
      <c r="B1113" s="26" t="s">
        <v>23</v>
      </c>
      <c r="C1113" s="26" t="s">
        <v>516</v>
      </c>
      <c r="D1113" s="25">
        <v>42618</v>
      </c>
      <c r="E1113" s="19">
        <v>2016</v>
      </c>
      <c r="F1113" s="19">
        <v>9</v>
      </c>
      <c r="G1113" s="30">
        <v>5</v>
      </c>
      <c r="H1113" s="29" t="s">
        <v>501</v>
      </c>
      <c r="I1113" s="22">
        <v>136.083</v>
      </c>
      <c r="J1113" s="22">
        <v>38.332999999999998</v>
      </c>
      <c r="K1113" s="27">
        <v>0</v>
      </c>
      <c r="L1113" s="27">
        <v>0</v>
      </c>
      <c r="M1113" s="27">
        <v>0</v>
      </c>
      <c r="N1113" s="21">
        <v>27.4</v>
      </c>
      <c r="O1113" s="24">
        <v>33.447000000000003</v>
      </c>
      <c r="P1113" s="20">
        <v>-0.09</v>
      </c>
      <c r="Q1113" s="20">
        <v>-0.9</v>
      </c>
      <c r="R1113" s="26" t="s">
        <v>393</v>
      </c>
      <c r="S1113" s="26"/>
      <c r="T1113" s="71" t="s">
        <v>626</v>
      </c>
    </row>
    <row r="1114" spans="1:20" s="14" customFormat="1" ht="12.75" customHeight="1">
      <c r="A1114" s="26" t="s">
        <v>574</v>
      </c>
      <c r="B1114" s="26" t="s">
        <v>24</v>
      </c>
      <c r="C1114" s="26" t="s">
        <v>516</v>
      </c>
      <c r="D1114" s="25">
        <v>42618</v>
      </c>
      <c r="E1114" s="19">
        <v>2016</v>
      </c>
      <c r="F1114" s="19">
        <v>9</v>
      </c>
      <c r="G1114" s="30">
        <v>5</v>
      </c>
      <c r="H1114" s="29" t="s">
        <v>501</v>
      </c>
      <c r="I1114" s="22">
        <v>137.917</v>
      </c>
      <c r="J1114" s="22">
        <v>38.582999999999998</v>
      </c>
      <c r="K1114" s="27">
        <v>0</v>
      </c>
      <c r="L1114" s="27">
        <v>0</v>
      </c>
      <c r="M1114" s="27">
        <v>0</v>
      </c>
      <c r="N1114" s="21">
        <v>26.5</v>
      </c>
      <c r="O1114" s="24">
        <v>33.409999999999997</v>
      </c>
      <c r="P1114" s="20">
        <v>-0.08</v>
      </c>
      <c r="Q1114" s="20">
        <v>-0.88</v>
      </c>
      <c r="R1114" s="26" t="s">
        <v>393</v>
      </c>
      <c r="S1114" s="26"/>
      <c r="T1114" s="71" t="s">
        <v>626</v>
      </c>
    </row>
    <row r="1115" spans="1:20" s="14" customFormat="1" ht="12.75" customHeight="1">
      <c r="A1115" s="26" t="s">
        <v>574</v>
      </c>
      <c r="B1115" s="26" t="s">
        <v>25</v>
      </c>
      <c r="C1115" s="26" t="s">
        <v>516</v>
      </c>
      <c r="D1115" s="25">
        <v>42619</v>
      </c>
      <c r="E1115" s="19">
        <v>2016</v>
      </c>
      <c r="F1115" s="19">
        <v>9</v>
      </c>
      <c r="G1115" s="30">
        <v>6</v>
      </c>
      <c r="H1115" s="29" t="s">
        <v>501</v>
      </c>
      <c r="I1115" s="22">
        <v>137.75</v>
      </c>
      <c r="J1115" s="22">
        <v>38.832999999999998</v>
      </c>
      <c r="K1115" s="27">
        <v>0</v>
      </c>
      <c r="L1115" s="27">
        <v>0</v>
      </c>
      <c r="M1115" s="27">
        <v>0</v>
      </c>
      <c r="N1115" s="21">
        <v>26.4</v>
      </c>
      <c r="O1115" s="24">
        <v>33.494</v>
      </c>
      <c r="P1115" s="20">
        <v>-7.0000000000000007E-2</v>
      </c>
      <c r="Q1115" s="20">
        <v>-0.96</v>
      </c>
      <c r="R1115" s="26" t="s">
        <v>393</v>
      </c>
      <c r="S1115" s="26"/>
      <c r="T1115" s="71" t="s">
        <v>626</v>
      </c>
    </row>
    <row r="1116" spans="1:20" s="14" customFormat="1" ht="12.75" customHeight="1">
      <c r="A1116" s="26" t="s">
        <v>574</v>
      </c>
      <c r="B1116" s="26" t="s">
        <v>26</v>
      </c>
      <c r="C1116" s="26" t="s">
        <v>516</v>
      </c>
      <c r="D1116" s="25">
        <v>42619</v>
      </c>
      <c r="E1116" s="19">
        <v>2016</v>
      </c>
      <c r="F1116" s="19">
        <v>9</v>
      </c>
      <c r="G1116" s="30">
        <v>6</v>
      </c>
      <c r="H1116" s="29" t="s">
        <v>501</v>
      </c>
      <c r="I1116" s="22">
        <v>137.6</v>
      </c>
      <c r="J1116" s="22">
        <v>39.082999999999998</v>
      </c>
      <c r="K1116" s="27">
        <v>0</v>
      </c>
      <c r="L1116" s="27">
        <v>0</v>
      </c>
      <c r="M1116" s="27">
        <v>0</v>
      </c>
      <c r="N1116" s="21">
        <v>25.8</v>
      </c>
      <c r="O1116" s="24">
        <v>33.518000000000001</v>
      </c>
      <c r="P1116" s="20">
        <v>-0.01</v>
      </c>
      <c r="Q1116" s="20">
        <v>-0.35</v>
      </c>
      <c r="R1116" s="26" t="s">
        <v>393</v>
      </c>
      <c r="S1116" s="26"/>
      <c r="T1116" s="71" t="s">
        <v>626</v>
      </c>
    </row>
    <row r="1117" spans="1:20" s="14" customFormat="1" ht="12.75" customHeight="1">
      <c r="A1117" s="26" t="s">
        <v>574</v>
      </c>
      <c r="B1117" s="26" t="s">
        <v>27</v>
      </c>
      <c r="C1117" s="26" t="s">
        <v>516</v>
      </c>
      <c r="D1117" s="25">
        <v>42619</v>
      </c>
      <c r="E1117" s="19">
        <v>2016</v>
      </c>
      <c r="F1117" s="19">
        <v>9</v>
      </c>
      <c r="G1117" s="30">
        <v>6</v>
      </c>
      <c r="H1117" s="29" t="s">
        <v>501</v>
      </c>
      <c r="I1117" s="22">
        <v>137.43299999999999</v>
      </c>
      <c r="J1117" s="22">
        <v>39.35</v>
      </c>
      <c r="K1117" s="27">
        <v>0</v>
      </c>
      <c r="L1117" s="27">
        <v>0</v>
      </c>
      <c r="M1117" s="27">
        <v>0</v>
      </c>
      <c r="N1117" s="21">
        <v>26</v>
      </c>
      <c r="O1117" s="24">
        <v>33.177999999999997</v>
      </c>
      <c r="P1117" s="20">
        <v>-0.11</v>
      </c>
      <c r="Q1117" s="20">
        <v>-0.98</v>
      </c>
      <c r="R1117" s="26" t="s">
        <v>393</v>
      </c>
      <c r="S1117" s="26"/>
      <c r="T1117" s="71" t="s">
        <v>626</v>
      </c>
    </row>
    <row r="1118" spans="1:20" s="14" customFormat="1" ht="12.75" customHeight="1">
      <c r="A1118" s="26" t="s">
        <v>574</v>
      </c>
      <c r="B1118" s="26" t="s">
        <v>28</v>
      </c>
      <c r="C1118" s="26" t="s">
        <v>516</v>
      </c>
      <c r="D1118" s="25">
        <v>42620</v>
      </c>
      <c r="E1118" s="19">
        <v>2016</v>
      </c>
      <c r="F1118" s="19">
        <v>9</v>
      </c>
      <c r="G1118" s="30">
        <v>7</v>
      </c>
      <c r="H1118" s="29" t="s">
        <v>501</v>
      </c>
      <c r="I1118" s="22">
        <v>137.25</v>
      </c>
      <c r="J1118" s="22">
        <v>39.6</v>
      </c>
      <c r="K1118" s="27">
        <v>0</v>
      </c>
      <c r="L1118" s="27">
        <v>0</v>
      </c>
      <c r="M1118" s="27">
        <v>0</v>
      </c>
      <c r="N1118" s="21">
        <v>25.7</v>
      </c>
      <c r="O1118" s="24">
        <v>33.633000000000003</v>
      </c>
      <c r="P1118" s="20">
        <v>-0.01</v>
      </c>
      <c r="Q1118" s="20">
        <v>-0.45</v>
      </c>
      <c r="R1118" s="26" t="s">
        <v>393</v>
      </c>
      <c r="S1118" s="26"/>
      <c r="T1118" s="71" t="s">
        <v>626</v>
      </c>
    </row>
    <row r="1119" spans="1:20" s="14" customFormat="1" ht="12.75" customHeight="1">
      <c r="A1119" s="26" t="s">
        <v>574</v>
      </c>
      <c r="B1119" s="26" t="s">
        <v>29</v>
      </c>
      <c r="C1119" s="26" t="s">
        <v>516</v>
      </c>
      <c r="D1119" s="25">
        <v>42620</v>
      </c>
      <c r="E1119" s="19">
        <v>2016</v>
      </c>
      <c r="F1119" s="19">
        <v>9</v>
      </c>
      <c r="G1119" s="30">
        <v>7</v>
      </c>
      <c r="H1119" s="29" t="s">
        <v>501</v>
      </c>
      <c r="I1119" s="22">
        <v>137.06700000000001</v>
      </c>
      <c r="J1119" s="22">
        <v>39.85</v>
      </c>
      <c r="K1119" s="27">
        <v>0</v>
      </c>
      <c r="L1119" s="27">
        <v>0</v>
      </c>
      <c r="M1119" s="27">
        <v>0</v>
      </c>
      <c r="N1119" s="21">
        <v>25.6</v>
      </c>
      <c r="O1119" s="24">
        <v>33.548000000000002</v>
      </c>
      <c r="P1119" s="20">
        <v>-0.04</v>
      </c>
      <c r="Q1119" s="20">
        <v>-0.59</v>
      </c>
      <c r="R1119" s="26" t="s">
        <v>393</v>
      </c>
      <c r="S1119" s="26"/>
      <c r="T1119" s="71" t="s">
        <v>626</v>
      </c>
    </row>
    <row r="1120" spans="1:20" s="14" customFormat="1" ht="12.75" customHeight="1">
      <c r="A1120" s="26" t="s">
        <v>574</v>
      </c>
      <c r="B1120" s="26" t="s">
        <v>30</v>
      </c>
      <c r="C1120" s="26" t="s">
        <v>516</v>
      </c>
      <c r="D1120" s="25">
        <v>42620</v>
      </c>
      <c r="E1120" s="19">
        <v>2016</v>
      </c>
      <c r="F1120" s="19">
        <v>9</v>
      </c>
      <c r="G1120" s="30">
        <v>7</v>
      </c>
      <c r="H1120" s="29" t="s">
        <v>501</v>
      </c>
      <c r="I1120" s="22">
        <v>136.93299999999999</v>
      </c>
      <c r="J1120" s="22">
        <v>40.082999999999998</v>
      </c>
      <c r="K1120" s="27">
        <v>0</v>
      </c>
      <c r="L1120" s="27">
        <v>0</v>
      </c>
      <c r="M1120" s="27">
        <v>0</v>
      </c>
      <c r="N1120" s="21">
        <v>24.8</v>
      </c>
      <c r="O1120" s="24">
        <v>33.447000000000003</v>
      </c>
      <c r="P1120" s="20">
        <v>-0.09</v>
      </c>
      <c r="Q1120" s="20">
        <v>-1.03</v>
      </c>
      <c r="R1120" s="26" t="s">
        <v>393</v>
      </c>
      <c r="S1120" s="26"/>
      <c r="T1120" s="71" t="s">
        <v>626</v>
      </c>
    </row>
    <row r="1121" spans="1:20" s="14" customFormat="1" ht="12.75" customHeight="1">
      <c r="A1121" s="26" t="s">
        <v>574</v>
      </c>
      <c r="B1121" s="26" t="s">
        <v>31</v>
      </c>
      <c r="C1121" s="26" t="s">
        <v>516</v>
      </c>
      <c r="D1121" s="25">
        <v>42621</v>
      </c>
      <c r="E1121" s="19">
        <v>2016</v>
      </c>
      <c r="F1121" s="19">
        <v>9</v>
      </c>
      <c r="G1121" s="30">
        <v>8</v>
      </c>
      <c r="H1121" s="29" t="s">
        <v>501</v>
      </c>
      <c r="I1121" s="22">
        <v>136.733</v>
      </c>
      <c r="J1121" s="22">
        <v>40.317</v>
      </c>
      <c r="K1121" s="27">
        <v>0</v>
      </c>
      <c r="L1121" s="27">
        <v>0</v>
      </c>
      <c r="M1121" s="27">
        <v>0</v>
      </c>
      <c r="N1121" s="21">
        <v>22.6</v>
      </c>
      <c r="O1121" s="24">
        <v>33.512</v>
      </c>
      <c r="P1121" s="20">
        <v>-0.18</v>
      </c>
      <c r="Q1121" s="20">
        <v>-1.55</v>
      </c>
      <c r="R1121" s="26" t="s">
        <v>393</v>
      </c>
      <c r="S1121" s="26"/>
      <c r="T1121" s="71" t="s">
        <v>626</v>
      </c>
    </row>
    <row r="1122" spans="1:20" s="14" customFormat="1" ht="12.75" customHeight="1">
      <c r="A1122" s="26" t="s">
        <v>574</v>
      </c>
      <c r="B1122" s="26" t="s">
        <v>32</v>
      </c>
      <c r="C1122" s="26" t="s">
        <v>516</v>
      </c>
      <c r="D1122" s="25">
        <v>42622</v>
      </c>
      <c r="E1122" s="19">
        <v>2016</v>
      </c>
      <c r="F1122" s="19">
        <v>9</v>
      </c>
      <c r="G1122" s="30">
        <v>9</v>
      </c>
      <c r="H1122" s="29" t="s">
        <v>501</v>
      </c>
      <c r="I1122" s="22">
        <v>137.06700000000001</v>
      </c>
      <c r="J1122" s="22">
        <v>40.567</v>
      </c>
      <c r="K1122" s="27">
        <v>0</v>
      </c>
      <c r="L1122" s="27">
        <v>0</v>
      </c>
      <c r="M1122" s="27">
        <v>0</v>
      </c>
      <c r="N1122" s="21">
        <v>22.7</v>
      </c>
      <c r="O1122" s="24">
        <v>33.42</v>
      </c>
      <c r="P1122" s="20">
        <v>-0.22</v>
      </c>
      <c r="Q1122" s="20">
        <v>-2.15</v>
      </c>
      <c r="R1122" s="26" t="s">
        <v>393</v>
      </c>
      <c r="S1122" s="26"/>
      <c r="T1122" s="71" t="s">
        <v>626</v>
      </c>
    </row>
    <row r="1123" spans="1:20" s="14" customFormat="1" ht="12.75" customHeight="1">
      <c r="A1123" s="26" t="s">
        <v>574</v>
      </c>
      <c r="B1123" s="26" t="s">
        <v>33</v>
      </c>
      <c r="C1123" s="26" t="s">
        <v>516</v>
      </c>
      <c r="D1123" s="25">
        <v>42622</v>
      </c>
      <c r="E1123" s="19">
        <v>2016</v>
      </c>
      <c r="F1123" s="19">
        <v>9</v>
      </c>
      <c r="G1123" s="30">
        <v>9</v>
      </c>
      <c r="H1123" s="29" t="s">
        <v>501</v>
      </c>
      <c r="I1123" s="22">
        <v>137.25</v>
      </c>
      <c r="J1123" s="22">
        <v>40.317</v>
      </c>
      <c r="K1123" s="27">
        <v>0</v>
      </c>
      <c r="L1123" s="27">
        <v>0</v>
      </c>
      <c r="M1123" s="27">
        <v>0</v>
      </c>
      <c r="N1123" s="21">
        <v>23.6</v>
      </c>
      <c r="O1123" s="24">
        <v>33.436999999999998</v>
      </c>
      <c r="P1123" s="20">
        <v>-0.12</v>
      </c>
      <c r="Q1123" s="20">
        <v>-1.49</v>
      </c>
      <c r="R1123" s="26" t="s">
        <v>393</v>
      </c>
      <c r="S1123" s="26"/>
      <c r="T1123" s="71" t="s">
        <v>626</v>
      </c>
    </row>
    <row r="1124" spans="1:20" s="14" customFormat="1" ht="12.75" customHeight="1">
      <c r="A1124" s="26" t="s">
        <v>574</v>
      </c>
      <c r="B1124" s="26" t="s">
        <v>34</v>
      </c>
      <c r="C1124" s="26" t="s">
        <v>516</v>
      </c>
      <c r="D1124" s="25">
        <v>42623</v>
      </c>
      <c r="E1124" s="19">
        <v>2016</v>
      </c>
      <c r="F1124" s="19">
        <v>9</v>
      </c>
      <c r="G1124" s="30">
        <v>10</v>
      </c>
      <c r="H1124" s="29" t="s">
        <v>501</v>
      </c>
      <c r="I1124" s="22">
        <v>137.417</v>
      </c>
      <c r="J1124" s="22">
        <v>40.049999999999997</v>
      </c>
      <c r="K1124" s="27">
        <v>0</v>
      </c>
      <c r="L1124" s="27">
        <v>0</v>
      </c>
      <c r="M1124" s="27">
        <v>0</v>
      </c>
      <c r="N1124" s="21">
        <v>24.8</v>
      </c>
      <c r="O1124" s="24">
        <v>33.57</v>
      </c>
      <c r="P1124" s="20">
        <v>-0.06</v>
      </c>
      <c r="Q1124" s="20">
        <v>-0.85</v>
      </c>
      <c r="R1124" s="26" t="s">
        <v>393</v>
      </c>
      <c r="S1124" s="26"/>
      <c r="T1124" s="71" t="s">
        <v>626</v>
      </c>
    </row>
    <row r="1125" spans="1:20" s="14" customFormat="1" ht="12.75" customHeight="1">
      <c r="A1125" s="26" t="s">
        <v>574</v>
      </c>
      <c r="B1125" s="26" t="s">
        <v>35</v>
      </c>
      <c r="C1125" s="26" t="s">
        <v>516</v>
      </c>
      <c r="D1125" s="25">
        <v>42623</v>
      </c>
      <c r="E1125" s="19">
        <v>2016</v>
      </c>
      <c r="F1125" s="19">
        <v>9</v>
      </c>
      <c r="G1125" s="30">
        <v>10</v>
      </c>
      <c r="H1125" s="29" t="s">
        <v>501</v>
      </c>
      <c r="I1125" s="22">
        <v>137.583</v>
      </c>
      <c r="J1125" s="22">
        <v>39.817</v>
      </c>
      <c r="K1125" s="27">
        <v>0</v>
      </c>
      <c r="L1125" s="27">
        <v>0</v>
      </c>
      <c r="M1125" s="27">
        <v>0</v>
      </c>
      <c r="N1125" s="21">
        <v>24.5</v>
      </c>
      <c r="O1125" s="24">
        <v>33.661999999999999</v>
      </c>
      <c r="P1125" s="20">
        <v>-0.02</v>
      </c>
      <c r="Q1125" s="20">
        <v>-0.63</v>
      </c>
      <c r="R1125" s="26" t="s">
        <v>393</v>
      </c>
      <c r="S1125" s="26"/>
      <c r="T1125" s="71" t="s">
        <v>626</v>
      </c>
    </row>
    <row r="1126" spans="1:20" s="14" customFormat="1" ht="12.75" customHeight="1">
      <c r="A1126" s="26" t="s">
        <v>574</v>
      </c>
      <c r="B1126" s="26" t="s">
        <v>36</v>
      </c>
      <c r="C1126" s="26" t="s">
        <v>516</v>
      </c>
      <c r="D1126" s="25">
        <v>42623</v>
      </c>
      <c r="E1126" s="19">
        <v>2016</v>
      </c>
      <c r="F1126" s="19">
        <v>9</v>
      </c>
      <c r="G1126" s="30">
        <v>10</v>
      </c>
      <c r="H1126" s="29" t="s">
        <v>501</v>
      </c>
      <c r="I1126" s="22">
        <v>137.733</v>
      </c>
      <c r="J1126" s="22">
        <v>39.567</v>
      </c>
      <c r="K1126" s="27">
        <v>0</v>
      </c>
      <c r="L1126" s="27">
        <v>0</v>
      </c>
      <c r="M1126" s="27">
        <v>0</v>
      </c>
      <c r="N1126" s="21">
        <v>24.9</v>
      </c>
      <c r="O1126" s="24">
        <v>33.43</v>
      </c>
      <c r="P1126" s="20">
        <v>-7.0000000000000007E-2</v>
      </c>
      <c r="Q1126" s="20">
        <v>-1.07</v>
      </c>
      <c r="R1126" s="26" t="s">
        <v>393</v>
      </c>
      <c r="S1126" s="26"/>
      <c r="T1126" s="71" t="s">
        <v>626</v>
      </c>
    </row>
    <row r="1127" spans="1:20" s="14" customFormat="1" ht="12.75" customHeight="1">
      <c r="A1127" s="26" t="s">
        <v>574</v>
      </c>
      <c r="B1127" s="26" t="s">
        <v>37</v>
      </c>
      <c r="C1127" s="26" t="s">
        <v>516</v>
      </c>
      <c r="D1127" s="25">
        <v>42624</v>
      </c>
      <c r="E1127" s="19">
        <v>2016</v>
      </c>
      <c r="F1127" s="19">
        <v>9</v>
      </c>
      <c r="G1127" s="30">
        <v>11</v>
      </c>
      <c r="H1127" s="29" t="s">
        <v>501</v>
      </c>
      <c r="I1127" s="22">
        <v>137.9</v>
      </c>
      <c r="J1127" s="22">
        <v>39.317</v>
      </c>
      <c r="K1127" s="27">
        <v>0</v>
      </c>
      <c r="L1127" s="27">
        <v>0</v>
      </c>
      <c r="M1127" s="27">
        <v>0</v>
      </c>
      <c r="N1127" s="21">
        <v>24.9</v>
      </c>
      <c r="O1127" s="24">
        <v>33.533999999999999</v>
      </c>
      <c r="P1127" s="20">
        <v>-0.03</v>
      </c>
      <c r="Q1127" s="20">
        <v>-0.6</v>
      </c>
      <c r="R1127" s="26" t="s">
        <v>393</v>
      </c>
      <c r="S1127" s="26"/>
      <c r="T1127" s="71" t="s">
        <v>626</v>
      </c>
    </row>
    <row r="1128" spans="1:20" s="14" customFormat="1" ht="12.75" customHeight="1">
      <c r="A1128" s="26" t="s">
        <v>574</v>
      </c>
      <c r="B1128" s="26" t="s">
        <v>38</v>
      </c>
      <c r="C1128" s="26" t="s">
        <v>516</v>
      </c>
      <c r="D1128" s="25">
        <v>42624</v>
      </c>
      <c r="E1128" s="19">
        <v>2016</v>
      </c>
      <c r="F1128" s="19">
        <v>9</v>
      </c>
      <c r="G1128" s="30">
        <v>11</v>
      </c>
      <c r="H1128" s="29" t="s">
        <v>501</v>
      </c>
      <c r="I1128" s="22">
        <v>138.05000000000001</v>
      </c>
      <c r="J1128" s="22">
        <v>39.067</v>
      </c>
      <c r="K1128" s="27">
        <v>0</v>
      </c>
      <c r="L1128" s="27">
        <v>0</v>
      </c>
      <c r="M1128" s="27">
        <v>0</v>
      </c>
      <c r="N1128" s="21">
        <v>24.7</v>
      </c>
      <c r="O1128" s="24">
        <v>33.533999999999999</v>
      </c>
      <c r="P1128" s="20">
        <v>-0.03</v>
      </c>
      <c r="Q1128" s="20">
        <v>-0.59</v>
      </c>
      <c r="R1128" s="26" t="s">
        <v>393</v>
      </c>
      <c r="S1128" s="26"/>
      <c r="T1128" s="71" t="s">
        <v>626</v>
      </c>
    </row>
    <row r="1129" spans="1:20" s="14" customFormat="1" ht="12.75" customHeight="1">
      <c r="A1129" s="26" t="s">
        <v>574</v>
      </c>
      <c r="B1129" s="26" t="s">
        <v>39</v>
      </c>
      <c r="C1129" s="26" t="s">
        <v>516</v>
      </c>
      <c r="D1129" s="25">
        <v>42624</v>
      </c>
      <c r="E1129" s="19">
        <v>2016</v>
      </c>
      <c r="F1129" s="19">
        <v>9</v>
      </c>
      <c r="G1129" s="30">
        <v>11</v>
      </c>
      <c r="H1129" s="29" t="s">
        <v>501</v>
      </c>
      <c r="I1129" s="22">
        <v>138.21700000000001</v>
      </c>
      <c r="J1129" s="22">
        <v>38.817</v>
      </c>
      <c r="K1129" s="27">
        <v>0</v>
      </c>
      <c r="L1129" s="27">
        <v>0</v>
      </c>
      <c r="M1129" s="27">
        <v>0</v>
      </c>
      <c r="N1129" s="21">
        <v>24.7</v>
      </c>
      <c r="O1129" s="24">
        <v>33.390999999999998</v>
      </c>
      <c r="P1129" s="20">
        <v>-7.0000000000000007E-2</v>
      </c>
      <c r="Q1129" s="20">
        <v>-0.79</v>
      </c>
      <c r="R1129" s="26" t="s">
        <v>393</v>
      </c>
      <c r="S1129" s="26"/>
      <c r="T1129" s="71" t="s">
        <v>626</v>
      </c>
    </row>
    <row r="1130" spans="1:20" s="14" customFormat="1" ht="12.75" customHeight="1">
      <c r="A1130" s="26" t="s">
        <v>574</v>
      </c>
      <c r="B1130" s="26" t="s">
        <v>40</v>
      </c>
      <c r="C1130" s="26" t="s">
        <v>516</v>
      </c>
      <c r="D1130" s="25">
        <v>42625</v>
      </c>
      <c r="E1130" s="19">
        <v>2016</v>
      </c>
      <c r="F1130" s="19">
        <v>9</v>
      </c>
      <c r="G1130" s="30">
        <v>12</v>
      </c>
      <c r="H1130" s="29" t="s">
        <v>501</v>
      </c>
      <c r="I1130" s="22">
        <v>138.4</v>
      </c>
      <c r="J1130" s="22">
        <v>38.567</v>
      </c>
      <c r="K1130" s="27">
        <v>0</v>
      </c>
      <c r="L1130" s="27">
        <v>0</v>
      </c>
      <c r="M1130" s="27">
        <v>0</v>
      </c>
      <c r="N1130" s="21">
        <v>25</v>
      </c>
      <c r="O1130" s="24">
        <v>33.634999999999998</v>
      </c>
      <c r="P1130" s="20">
        <v>-7.0000000000000007E-2</v>
      </c>
      <c r="Q1130" s="20">
        <v>-0.5</v>
      </c>
      <c r="R1130" s="26" t="s">
        <v>393</v>
      </c>
      <c r="S1130" s="26"/>
      <c r="T1130" s="71" t="s">
        <v>626</v>
      </c>
    </row>
    <row r="1131" spans="1:20" s="14" customFormat="1" ht="12.75" customHeight="1">
      <c r="A1131" s="26" t="s">
        <v>574</v>
      </c>
      <c r="B1131" s="26" t="s">
        <v>41</v>
      </c>
      <c r="C1131" s="26" t="s">
        <v>516</v>
      </c>
      <c r="D1131" s="25">
        <v>42625</v>
      </c>
      <c r="E1131" s="19">
        <v>2016</v>
      </c>
      <c r="F1131" s="19">
        <v>9</v>
      </c>
      <c r="G1131" s="30">
        <v>12</v>
      </c>
      <c r="H1131" s="29" t="s">
        <v>501</v>
      </c>
      <c r="I1131" s="22">
        <v>138.56700000000001</v>
      </c>
      <c r="J1131" s="22">
        <v>39.082999999999998</v>
      </c>
      <c r="K1131" s="27">
        <v>0</v>
      </c>
      <c r="L1131" s="27">
        <v>0</v>
      </c>
      <c r="M1131" s="27">
        <v>0</v>
      </c>
      <c r="N1131" s="21">
        <v>24.8</v>
      </c>
      <c r="O1131" s="24">
        <v>33.399000000000001</v>
      </c>
      <c r="P1131" s="20">
        <v>-0.08</v>
      </c>
      <c r="Q1131" s="20">
        <v>-0.78</v>
      </c>
      <c r="R1131" s="26" t="s">
        <v>393</v>
      </c>
      <c r="S1131" s="26"/>
      <c r="T1131" s="71" t="s">
        <v>626</v>
      </c>
    </row>
    <row r="1132" spans="1:20" s="14" customFormat="1" ht="12.75" customHeight="1">
      <c r="A1132" s="26" t="s">
        <v>574</v>
      </c>
      <c r="B1132" s="26" t="s">
        <v>42</v>
      </c>
      <c r="C1132" s="26" t="s">
        <v>516</v>
      </c>
      <c r="D1132" s="25">
        <v>42625</v>
      </c>
      <c r="E1132" s="19">
        <v>2016</v>
      </c>
      <c r="F1132" s="19">
        <v>9</v>
      </c>
      <c r="G1132" s="30">
        <v>12</v>
      </c>
      <c r="H1132" s="29" t="s">
        <v>501</v>
      </c>
      <c r="I1132" s="22">
        <v>138.71700000000001</v>
      </c>
      <c r="J1132" s="22">
        <v>38.817</v>
      </c>
      <c r="K1132" s="27">
        <v>0</v>
      </c>
      <c r="L1132" s="27">
        <v>0</v>
      </c>
      <c r="M1132" s="27">
        <v>0</v>
      </c>
      <c r="N1132" s="21">
        <v>24.7</v>
      </c>
      <c r="O1132" s="24">
        <v>33.344999999999999</v>
      </c>
      <c r="P1132" s="20">
        <v>-0.09</v>
      </c>
      <c r="Q1132" s="20">
        <v>-0.86</v>
      </c>
      <c r="R1132" s="26" t="s">
        <v>393</v>
      </c>
      <c r="S1132" s="26"/>
      <c r="T1132" s="71" t="s">
        <v>626</v>
      </c>
    </row>
    <row r="1133" spans="1:20" s="14" customFormat="1" ht="12.75" customHeight="1">
      <c r="A1133" s="26" t="s">
        <v>574</v>
      </c>
      <c r="B1133" s="26" t="s">
        <v>43</v>
      </c>
      <c r="C1133" s="26" t="s">
        <v>516</v>
      </c>
      <c r="D1133" s="25">
        <v>42626</v>
      </c>
      <c r="E1133" s="19">
        <v>2016</v>
      </c>
      <c r="F1133" s="19">
        <v>9</v>
      </c>
      <c r="G1133" s="30">
        <v>13</v>
      </c>
      <c r="H1133" s="29" t="s">
        <v>501</v>
      </c>
      <c r="I1133" s="22">
        <v>138.9</v>
      </c>
      <c r="J1133" s="22">
        <v>38.567</v>
      </c>
      <c r="K1133" s="27">
        <v>0</v>
      </c>
      <c r="L1133" s="27">
        <v>0</v>
      </c>
      <c r="M1133" s="27">
        <v>0</v>
      </c>
      <c r="N1133" s="21">
        <v>25.6</v>
      </c>
      <c r="O1133" s="24">
        <v>33.180999999999997</v>
      </c>
      <c r="P1133" s="20">
        <v>-0.17</v>
      </c>
      <c r="Q1133" s="20">
        <v>-1.23</v>
      </c>
      <c r="R1133" s="26" t="s">
        <v>393</v>
      </c>
      <c r="S1133" s="26"/>
      <c r="T1133" s="71" t="s">
        <v>626</v>
      </c>
    </row>
    <row r="1134" spans="1:20" s="14" customFormat="1" ht="12.75" customHeight="1">
      <c r="A1134" s="26" t="s">
        <v>65</v>
      </c>
      <c r="B1134" s="26" t="s">
        <v>66</v>
      </c>
      <c r="C1134" s="26" t="s">
        <v>516</v>
      </c>
      <c r="D1134" s="25">
        <v>42983</v>
      </c>
      <c r="E1134" s="19">
        <v>2017</v>
      </c>
      <c r="F1134" s="19">
        <v>9</v>
      </c>
      <c r="G1134" s="30">
        <v>5</v>
      </c>
      <c r="H1134" s="29" t="s">
        <v>501</v>
      </c>
      <c r="I1134" s="22">
        <v>137.77799999999999</v>
      </c>
      <c r="J1134" s="22">
        <v>38.817</v>
      </c>
      <c r="K1134" s="27">
        <v>0</v>
      </c>
      <c r="L1134" s="27">
        <v>0</v>
      </c>
      <c r="M1134" s="27">
        <v>0</v>
      </c>
      <c r="N1134" s="21">
        <v>25.3</v>
      </c>
      <c r="O1134" s="24">
        <v>33.1205</v>
      </c>
      <c r="P1134" s="20">
        <v>-0.11</v>
      </c>
      <c r="Q1134" s="20">
        <v>-1.37</v>
      </c>
      <c r="R1134" s="26" t="s">
        <v>393</v>
      </c>
      <c r="S1134" s="26"/>
      <c r="T1134" s="71" t="s">
        <v>626</v>
      </c>
    </row>
    <row r="1135" spans="1:20" s="14" customFormat="1" ht="12.75" customHeight="1">
      <c r="A1135" s="26" t="s">
        <v>65</v>
      </c>
      <c r="B1135" s="26" t="s">
        <v>67</v>
      </c>
      <c r="C1135" s="26" t="s">
        <v>516</v>
      </c>
      <c r="D1135" s="25">
        <v>42983</v>
      </c>
      <c r="E1135" s="19">
        <v>2017</v>
      </c>
      <c r="F1135" s="19">
        <v>9</v>
      </c>
      <c r="G1135" s="30">
        <v>5</v>
      </c>
      <c r="H1135" s="29" t="s">
        <v>501</v>
      </c>
      <c r="I1135" s="22">
        <v>137.58500000000001</v>
      </c>
      <c r="J1135" s="22">
        <v>39.085000000000001</v>
      </c>
      <c r="K1135" s="27">
        <v>0</v>
      </c>
      <c r="L1135" s="27">
        <v>0</v>
      </c>
      <c r="M1135" s="27">
        <v>0</v>
      </c>
      <c r="N1135" s="21">
        <v>25.9</v>
      </c>
      <c r="O1135" s="24">
        <v>33.165599999999998</v>
      </c>
      <c r="P1135" s="20">
        <v>-0.09</v>
      </c>
      <c r="Q1135" s="20">
        <v>-1.22</v>
      </c>
      <c r="R1135" s="26" t="s">
        <v>393</v>
      </c>
      <c r="S1135" s="26"/>
      <c r="T1135" s="71" t="s">
        <v>626</v>
      </c>
    </row>
    <row r="1136" spans="1:20" s="14" customFormat="1" ht="12.75" customHeight="1">
      <c r="A1136" s="26" t="s">
        <v>65</v>
      </c>
      <c r="B1136" s="26" t="s">
        <v>68</v>
      </c>
      <c r="C1136" s="26" t="s">
        <v>516</v>
      </c>
      <c r="D1136" s="25">
        <v>42983</v>
      </c>
      <c r="E1136" s="19">
        <v>2017</v>
      </c>
      <c r="F1136" s="19">
        <v>9</v>
      </c>
      <c r="G1136" s="30">
        <v>5</v>
      </c>
      <c r="H1136" s="29" t="s">
        <v>501</v>
      </c>
      <c r="I1136" s="22">
        <v>137.41999999999999</v>
      </c>
      <c r="J1136" s="22">
        <v>39.335000000000001</v>
      </c>
      <c r="K1136" s="27">
        <v>0</v>
      </c>
      <c r="L1136" s="27">
        <v>0</v>
      </c>
      <c r="M1136" s="27">
        <v>0</v>
      </c>
      <c r="N1136" s="21">
        <v>25.6</v>
      </c>
      <c r="O1136" s="24">
        <v>34.034399999999998</v>
      </c>
      <c r="P1136" s="20">
        <v>-0.1</v>
      </c>
      <c r="Q1136" s="20">
        <v>-1.36</v>
      </c>
      <c r="R1136" s="26" t="s">
        <v>393</v>
      </c>
      <c r="S1136" s="26"/>
      <c r="T1136" s="71" t="s">
        <v>626</v>
      </c>
    </row>
    <row r="1137" spans="1:20" s="14" customFormat="1" ht="12.75" customHeight="1">
      <c r="A1137" s="26" t="s">
        <v>65</v>
      </c>
      <c r="B1137" s="26" t="s">
        <v>70</v>
      </c>
      <c r="C1137" s="26" t="s">
        <v>516</v>
      </c>
      <c r="D1137" s="25">
        <v>42984</v>
      </c>
      <c r="E1137" s="19">
        <v>2017</v>
      </c>
      <c r="F1137" s="19">
        <v>9</v>
      </c>
      <c r="G1137" s="30">
        <v>6</v>
      </c>
      <c r="H1137" s="29" t="s">
        <v>501</v>
      </c>
      <c r="I1137" s="22">
        <v>137.083</v>
      </c>
      <c r="J1137" s="22">
        <v>39.832000000000001</v>
      </c>
      <c r="K1137" s="27">
        <v>0</v>
      </c>
      <c r="L1137" s="27">
        <v>0</v>
      </c>
      <c r="M1137" s="27">
        <v>0</v>
      </c>
      <c r="N1137" s="21">
        <v>23.3</v>
      </c>
      <c r="O1137" s="24">
        <v>34.140900000000002</v>
      </c>
      <c r="P1137" s="20">
        <v>0.05</v>
      </c>
      <c r="Q1137" s="20">
        <v>0.14000000000000001</v>
      </c>
      <c r="R1137" s="26" t="s">
        <v>393</v>
      </c>
      <c r="S1137" s="26"/>
      <c r="T1137" s="71" t="s">
        <v>626</v>
      </c>
    </row>
    <row r="1138" spans="1:20" s="14" customFormat="1" ht="12.75" customHeight="1">
      <c r="A1138" s="26" t="s">
        <v>65</v>
      </c>
      <c r="B1138" s="26" t="s">
        <v>71</v>
      </c>
      <c r="C1138" s="26" t="s">
        <v>516</v>
      </c>
      <c r="D1138" s="25">
        <v>42984</v>
      </c>
      <c r="E1138" s="19">
        <v>2017</v>
      </c>
      <c r="F1138" s="19">
        <v>9</v>
      </c>
      <c r="G1138" s="30">
        <v>6</v>
      </c>
      <c r="H1138" s="29" t="s">
        <v>501</v>
      </c>
      <c r="I1138" s="22">
        <v>136.91900000000001</v>
      </c>
      <c r="J1138" s="22">
        <v>40.082999999999998</v>
      </c>
      <c r="K1138" s="27">
        <v>0</v>
      </c>
      <c r="L1138" s="27">
        <v>0</v>
      </c>
      <c r="M1138" s="27">
        <v>0</v>
      </c>
      <c r="N1138" s="21">
        <v>24.3</v>
      </c>
      <c r="O1138" s="24">
        <v>34.204500000000003</v>
      </c>
      <c r="P1138" s="20">
        <v>0.01</v>
      </c>
      <c r="Q1138" s="20">
        <v>-0.2</v>
      </c>
      <c r="R1138" s="26" t="s">
        <v>393</v>
      </c>
      <c r="S1138" s="26"/>
      <c r="T1138" s="71" t="s">
        <v>626</v>
      </c>
    </row>
    <row r="1139" spans="1:20" s="14" customFormat="1" ht="12.75" customHeight="1">
      <c r="A1139" s="26" t="s">
        <v>65</v>
      </c>
      <c r="B1139" s="26" t="s">
        <v>72</v>
      </c>
      <c r="C1139" s="26" t="s">
        <v>516</v>
      </c>
      <c r="D1139" s="25">
        <v>42985</v>
      </c>
      <c r="E1139" s="19">
        <v>2017</v>
      </c>
      <c r="F1139" s="19">
        <v>9</v>
      </c>
      <c r="G1139" s="30">
        <v>7</v>
      </c>
      <c r="H1139" s="29" t="s">
        <v>501</v>
      </c>
      <c r="I1139" s="22">
        <v>136.75399999999999</v>
      </c>
      <c r="J1139" s="22">
        <v>40.341999999999999</v>
      </c>
      <c r="K1139" s="27">
        <v>0</v>
      </c>
      <c r="L1139" s="27">
        <v>0</v>
      </c>
      <c r="M1139" s="27">
        <v>0</v>
      </c>
      <c r="N1139" s="21">
        <v>23.5</v>
      </c>
      <c r="O1139" s="24">
        <v>34.281799999999997</v>
      </c>
      <c r="P1139" s="20">
        <v>0.01</v>
      </c>
      <c r="Q1139" s="20">
        <v>-0.3</v>
      </c>
      <c r="R1139" s="26" t="s">
        <v>393</v>
      </c>
      <c r="S1139" s="26"/>
      <c r="T1139" s="71" t="s">
        <v>626</v>
      </c>
    </row>
    <row r="1140" spans="1:20" s="14" customFormat="1" ht="12.75" customHeight="1">
      <c r="A1140" s="26" t="s">
        <v>65</v>
      </c>
      <c r="B1140" s="26" t="s">
        <v>73</v>
      </c>
      <c r="C1140" s="26" t="s">
        <v>516</v>
      </c>
      <c r="D1140" s="25">
        <v>42985</v>
      </c>
      <c r="E1140" s="19">
        <v>2017</v>
      </c>
      <c r="F1140" s="19">
        <v>9</v>
      </c>
      <c r="G1140" s="30">
        <v>7</v>
      </c>
      <c r="H1140" s="29" t="s">
        <v>501</v>
      </c>
      <c r="I1140" s="22">
        <v>137.583</v>
      </c>
      <c r="J1140" s="22">
        <v>39.832999999999998</v>
      </c>
      <c r="K1140" s="27">
        <v>0</v>
      </c>
      <c r="L1140" s="27">
        <v>0</v>
      </c>
      <c r="M1140" s="27">
        <v>0</v>
      </c>
      <c r="N1140" s="21">
        <v>22.8</v>
      </c>
      <c r="O1140" s="24">
        <v>34.122500000000002</v>
      </c>
      <c r="P1140" s="20">
        <v>0.03</v>
      </c>
      <c r="Q1140" s="20">
        <v>-0.06</v>
      </c>
      <c r="R1140" s="26" t="s">
        <v>393</v>
      </c>
      <c r="S1140" s="26"/>
      <c r="T1140" s="71" t="s">
        <v>626</v>
      </c>
    </row>
    <row r="1141" spans="1:20" s="14" customFormat="1" ht="12.75" customHeight="1">
      <c r="A1141" s="26" t="s">
        <v>65</v>
      </c>
      <c r="B1141" s="26" t="s">
        <v>74</v>
      </c>
      <c r="C1141" s="26" t="s">
        <v>516</v>
      </c>
      <c r="D1141" s="25">
        <v>42985</v>
      </c>
      <c r="E1141" s="19">
        <v>2017</v>
      </c>
      <c r="F1141" s="19">
        <v>9</v>
      </c>
      <c r="G1141" s="30">
        <v>7</v>
      </c>
      <c r="H1141" s="29" t="s">
        <v>501</v>
      </c>
      <c r="I1141" s="22">
        <v>137.755</v>
      </c>
      <c r="J1141" s="22">
        <v>39.582999999999998</v>
      </c>
      <c r="K1141" s="27">
        <v>0</v>
      </c>
      <c r="L1141" s="27">
        <v>0</v>
      </c>
      <c r="M1141" s="27">
        <v>0</v>
      </c>
      <c r="N1141" s="21">
        <v>24.8</v>
      </c>
      <c r="O1141" s="24">
        <v>33.391300000000001</v>
      </c>
      <c r="P1141" s="20">
        <v>-0.14000000000000001</v>
      </c>
      <c r="Q1141" s="20">
        <v>-1.18</v>
      </c>
      <c r="R1141" s="26" t="s">
        <v>393</v>
      </c>
      <c r="S1141" s="26"/>
      <c r="T1141" s="71" t="s">
        <v>626</v>
      </c>
    </row>
    <row r="1142" spans="1:20" s="14" customFormat="1" ht="12.75" customHeight="1">
      <c r="A1142" s="26" t="s">
        <v>65</v>
      </c>
      <c r="B1142" s="26" t="s">
        <v>76</v>
      </c>
      <c r="C1142" s="26" t="s">
        <v>516</v>
      </c>
      <c r="D1142" s="25">
        <v>42986</v>
      </c>
      <c r="E1142" s="19">
        <v>2017</v>
      </c>
      <c r="F1142" s="19">
        <v>9</v>
      </c>
      <c r="G1142" s="30">
        <v>8</v>
      </c>
      <c r="H1142" s="29" t="s">
        <v>501</v>
      </c>
      <c r="I1142" s="22">
        <v>138.084</v>
      </c>
      <c r="J1142" s="22">
        <v>39.082999999999998</v>
      </c>
      <c r="K1142" s="27">
        <v>0</v>
      </c>
      <c r="L1142" s="27">
        <v>0</v>
      </c>
      <c r="M1142" s="27">
        <v>0</v>
      </c>
      <c r="N1142" s="21">
        <v>25.6</v>
      </c>
      <c r="O1142" s="24">
        <v>33.196899999999999</v>
      </c>
      <c r="P1142" s="20">
        <v>-0.22</v>
      </c>
      <c r="Q1142" s="20">
        <v>-1.73</v>
      </c>
      <c r="R1142" s="26" t="s">
        <v>393</v>
      </c>
      <c r="S1142" s="26"/>
      <c r="T1142" s="71" t="s">
        <v>626</v>
      </c>
    </row>
    <row r="1143" spans="1:20" s="14" customFormat="1" ht="12.75" customHeight="1">
      <c r="A1143" s="26" t="s">
        <v>65</v>
      </c>
      <c r="B1143" s="26" t="s">
        <v>77</v>
      </c>
      <c r="C1143" s="26" t="s">
        <v>516</v>
      </c>
      <c r="D1143" s="25">
        <v>42986</v>
      </c>
      <c r="E1143" s="19">
        <v>2017</v>
      </c>
      <c r="F1143" s="19">
        <v>9</v>
      </c>
      <c r="G1143" s="30">
        <v>8</v>
      </c>
      <c r="H1143" s="29" t="s">
        <v>501</v>
      </c>
      <c r="I1143" s="22">
        <v>138.25</v>
      </c>
      <c r="J1143" s="22">
        <v>38.831000000000003</v>
      </c>
      <c r="K1143" s="27">
        <v>0</v>
      </c>
      <c r="L1143" s="27">
        <v>0</v>
      </c>
      <c r="M1143" s="27">
        <v>0</v>
      </c>
      <c r="N1143" s="21">
        <v>25.4</v>
      </c>
      <c r="O1143" s="24">
        <v>33.440399999999997</v>
      </c>
      <c r="P1143" s="20">
        <v>-0.11</v>
      </c>
      <c r="Q1143" s="20">
        <v>-0.96</v>
      </c>
      <c r="R1143" s="26" t="s">
        <v>393</v>
      </c>
      <c r="S1143" s="26"/>
      <c r="T1143" s="71" t="s">
        <v>626</v>
      </c>
    </row>
    <row r="1144" spans="1:20" s="14" customFormat="1" ht="12.75" customHeight="1">
      <c r="A1144" s="26" t="s">
        <v>65</v>
      </c>
      <c r="B1144" s="26" t="s">
        <v>78</v>
      </c>
      <c r="C1144" s="26" t="s">
        <v>516</v>
      </c>
      <c r="D1144" s="25">
        <v>42987</v>
      </c>
      <c r="E1144" s="19">
        <v>2017</v>
      </c>
      <c r="F1144" s="19">
        <v>9</v>
      </c>
      <c r="G1144" s="30">
        <v>9</v>
      </c>
      <c r="H1144" s="29" t="s">
        <v>501</v>
      </c>
      <c r="I1144" s="22">
        <v>138.4</v>
      </c>
      <c r="J1144" s="22">
        <v>38.585999999999999</v>
      </c>
      <c r="K1144" s="27">
        <v>0</v>
      </c>
      <c r="L1144" s="27">
        <v>0</v>
      </c>
      <c r="M1144" s="27">
        <v>0</v>
      </c>
      <c r="N1144" s="21">
        <v>25.5</v>
      </c>
      <c r="O1144" s="24">
        <v>33.232900000000001</v>
      </c>
      <c r="P1144" s="20">
        <v>-0.19</v>
      </c>
      <c r="Q1144" s="20">
        <v>-1.38</v>
      </c>
      <c r="R1144" s="26" t="s">
        <v>393</v>
      </c>
      <c r="S1144" s="26"/>
      <c r="T1144" s="71" t="s">
        <v>626</v>
      </c>
    </row>
    <row r="1145" spans="1:20" s="14" customFormat="1" ht="12.75" customHeight="1">
      <c r="A1145" s="26" t="s">
        <v>65</v>
      </c>
      <c r="B1145" s="26" t="s">
        <v>80</v>
      </c>
      <c r="C1145" s="26" t="s">
        <v>516</v>
      </c>
      <c r="D1145" s="25">
        <v>42988</v>
      </c>
      <c r="E1145" s="19">
        <v>2017</v>
      </c>
      <c r="F1145" s="19">
        <v>9</v>
      </c>
      <c r="G1145" s="30">
        <v>10</v>
      </c>
      <c r="H1145" s="29" t="s">
        <v>501</v>
      </c>
      <c r="I1145" s="22">
        <v>138.905</v>
      </c>
      <c r="J1145" s="22">
        <v>38.578000000000003</v>
      </c>
      <c r="K1145" s="27">
        <v>0</v>
      </c>
      <c r="L1145" s="27">
        <v>0</v>
      </c>
      <c r="M1145" s="27">
        <v>0</v>
      </c>
      <c r="N1145" s="21">
        <v>23.8</v>
      </c>
      <c r="O1145" s="24">
        <v>33.142299999999999</v>
      </c>
      <c r="P1145" s="20">
        <v>-0.22</v>
      </c>
      <c r="Q1145" s="20">
        <v>-1.95</v>
      </c>
      <c r="R1145" s="26" t="s">
        <v>393</v>
      </c>
      <c r="S1145" s="26"/>
      <c r="T1145" s="71" t="s">
        <v>626</v>
      </c>
    </row>
    <row r="1146" spans="1:20" s="14" customFormat="1" ht="12.75" customHeight="1">
      <c r="A1146" s="26" t="s">
        <v>65</v>
      </c>
      <c r="B1146" s="26" t="s">
        <v>81</v>
      </c>
      <c r="C1146" s="26" t="s">
        <v>516</v>
      </c>
      <c r="D1146" s="25">
        <v>42988</v>
      </c>
      <c r="E1146" s="19">
        <v>2017</v>
      </c>
      <c r="F1146" s="19">
        <v>9</v>
      </c>
      <c r="G1146" s="30">
        <v>10</v>
      </c>
      <c r="H1146" s="29" t="s">
        <v>501</v>
      </c>
      <c r="I1146" s="22">
        <v>138.749</v>
      </c>
      <c r="J1146" s="22">
        <v>38.834000000000003</v>
      </c>
      <c r="K1146" s="27">
        <v>0</v>
      </c>
      <c r="L1146" s="27">
        <v>0</v>
      </c>
      <c r="M1146" s="27">
        <v>0</v>
      </c>
      <c r="N1146" s="21">
        <v>24.7</v>
      </c>
      <c r="O1146" s="24">
        <v>33.802300000000002</v>
      </c>
      <c r="P1146" s="20">
        <v>0.04</v>
      </c>
      <c r="Q1146" s="20">
        <v>-0.28000000000000003</v>
      </c>
      <c r="R1146" s="26" t="s">
        <v>393</v>
      </c>
      <c r="S1146" s="26"/>
      <c r="T1146" s="71" t="s">
        <v>626</v>
      </c>
    </row>
    <row r="1147" spans="1:20" s="14" customFormat="1" ht="12.75" customHeight="1">
      <c r="A1147" s="26" t="s">
        <v>65</v>
      </c>
      <c r="B1147" s="26" t="s">
        <v>82</v>
      </c>
      <c r="C1147" s="26" t="s">
        <v>516</v>
      </c>
      <c r="D1147" s="25">
        <v>42988</v>
      </c>
      <c r="E1147" s="19">
        <v>2017</v>
      </c>
      <c r="F1147" s="19">
        <v>9</v>
      </c>
      <c r="G1147" s="30">
        <v>10</v>
      </c>
      <c r="H1147" s="29" t="s">
        <v>501</v>
      </c>
      <c r="I1147" s="22">
        <v>137.41900000000001</v>
      </c>
      <c r="J1147" s="22">
        <v>40.082999999999998</v>
      </c>
      <c r="K1147" s="27">
        <v>0</v>
      </c>
      <c r="L1147" s="27">
        <v>0</v>
      </c>
      <c r="M1147" s="27">
        <v>0</v>
      </c>
      <c r="N1147" s="21">
        <v>23.5</v>
      </c>
      <c r="O1147" s="24">
        <v>33.8703</v>
      </c>
      <c r="P1147" s="20">
        <v>0.02</v>
      </c>
      <c r="Q1147" s="20">
        <v>-0.47</v>
      </c>
      <c r="R1147" s="26" t="s">
        <v>393</v>
      </c>
      <c r="S1147" s="26"/>
      <c r="T1147" s="71" t="s">
        <v>626</v>
      </c>
    </row>
    <row r="1148" spans="1:20" s="14" customFormat="1" ht="12.75" customHeight="1">
      <c r="A1148" s="26" t="s">
        <v>65</v>
      </c>
      <c r="B1148" s="26" t="s">
        <v>83</v>
      </c>
      <c r="C1148" s="26" t="s">
        <v>516</v>
      </c>
      <c r="D1148" s="25">
        <v>42988</v>
      </c>
      <c r="E1148" s="19">
        <v>2017</v>
      </c>
      <c r="F1148" s="19">
        <v>9</v>
      </c>
      <c r="G1148" s="30">
        <v>10</v>
      </c>
      <c r="H1148" s="29" t="s">
        <v>501</v>
      </c>
      <c r="I1148" s="22">
        <v>137.25</v>
      </c>
      <c r="J1148" s="22">
        <v>40.332999999999998</v>
      </c>
      <c r="K1148" s="27">
        <v>0</v>
      </c>
      <c r="L1148" s="27">
        <v>0</v>
      </c>
      <c r="M1148" s="27">
        <v>0</v>
      </c>
      <c r="N1148" s="21">
        <v>23.4</v>
      </c>
      <c r="O1148" s="24">
        <v>34.0045</v>
      </c>
      <c r="P1148" s="20">
        <v>0.01</v>
      </c>
      <c r="Q1148" s="20">
        <v>-0.46</v>
      </c>
      <c r="R1148" s="26" t="s">
        <v>393</v>
      </c>
      <c r="S1148" s="26"/>
      <c r="T1148" s="71" t="s">
        <v>626</v>
      </c>
    </row>
    <row r="1149" spans="1:20" s="14" customFormat="1" ht="12.75" customHeight="1">
      <c r="A1149" s="26" t="s">
        <v>65</v>
      </c>
      <c r="B1149" s="26" t="s">
        <v>84</v>
      </c>
      <c r="C1149" s="26" t="s">
        <v>516</v>
      </c>
      <c r="D1149" s="25">
        <v>42988</v>
      </c>
      <c r="E1149" s="19">
        <v>2017</v>
      </c>
      <c r="F1149" s="19">
        <v>9</v>
      </c>
      <c r="G1149" s="30">
        <v>10</v>
      </c>
      <c r="H1149" s="29" t="s">
        <v>501</v>
      </c>
      <c r="I1149" s="22">
        <v>137.08099999999999</v>
      </c>
      <c r="J1149" s="22">
        <v>40.584000000000003</v>
      </c>
      <c r="K1149" s="27">
        <v>0</v>
      </c>
      <c r="L1149" s="27">
        <v>0</v>
      </c>
      <c r="M1149" s="27">
        <v>0</v>
      </c>
      <c r="N1149" s="21">
        <v>25.5</v>
      </c>
      <c r="O1149" s="24">
        <v>33.986699999999999</v>
      </c>
      <c r="P1149" s="20">
        <v>-0.09</v>
      </c>
      <c r="Q1149" s="20">
        <v>-1.27</v>
      </c>
      <c r="R1149" s="26" t="s">
        <v>393</v>
      </c>
      <c r="S1149" s="26"/>
      <c r="T1149" s="71" t="s">
        <v>626</v>
      </c>
    </row>
    <row r="1150" spans="1:20" s="14" customFormat="1" ht="12.75" customHeight="1">
      <c r="A1150" s="26" t="s">
        <v>65</v>
      </c>
      <c r="B1150" s="26" t="s">
        <v>85</v>
      </c>
      <c r="C1150" s="26" t="s">
        <v>516</v>
      </c>
      <c r="D1150" s="25">
        <v>42989</v>
      </c>
      <c r="E1150" s="19">
        <v>2017</v>
      </c>
      <c r="F1150" s="19">
        <v>9</v>
      </c>
      <c r="G1150" s="30">
        <v>11</v>
      </c>
      <c r="H1150" s="29" t="s">
        <v>501</v>
      </c>
      <c r="I1150" s="22">
        <v>136.91800000000001</v>
      </c>
      <c r="J1150" s="22">
        <v>40.834000000000003</v>
      </c>
      <c r="K1150" s="27">
        <v>0</v>
      </c>
      <c r="L1150" s="27">
        <v>0</v>
      </c>
      <c r="M1150" s="27">
        <v>0</v>
      </c>
      <c r="N1150" s="21">
        <v>22.8</v>
      </c>
      <c r="O1150" s="24">
        <v>33.939399999999999</v>
      </c>
      <c r="P1150" s="20">
        <v>-0.1</v>
      </c>
      <c r="Q1150" s="20">
        <v>-1.38</v>
      </c>
      <c r="R1150" s="26" t="s">
        <v>393</v>
      </c>
      <c r="S1150" s="26"/>
      <c r="T1150" s="71" t="s">
        <v>626</v>
      </c>
    </row>
    <row r="1151" spans="1:20" s="14" customFormat="1" ht="12.75" customHeight="1">
      <c r="A1151" s="19" t="s">
        <v>392</v>
      </c>
      <c r="B1151" s="19" t="s">
        <v>372</v>
      </c>
      <c r="C1151" s="19" t="s">
        <v>514</v>
      </c>
      <c r="D1151" s="34">
        <v>43310</v>
      </c>
      <c r="E1151" s="19">
        <v>2018</v>
      </c>
      <c r="F1151" s="19">
        <v>7</v>
      </c>
      <c r="G1151" s="30">
        <v>29</v>
      </c>
      <c r="H1151" s="29">
        <v>0.65797453703703701</v>
      </c>
      <c r="I1151" s="35">
        <v>138.08583333333334</v>
      </c>
      <c r="J1151" s="35">
        <v>37.55833333333333</v>
      </c>
      <c r="K1151" s="28">
        <v>10</v>
      </c>
      <c r="L1151" s="28">
        <v>10</v>
      </c>
      <c r="M1151" s="28">
        <v>0</v>
      </c>
      <c r="N1151" s="36">
        <v>24.9511</v>
      </c>
      <c r="O1151" s="35">
        <v>33.564900000000002</v>
      </c>
      <c r="P1151" s="20">
        <v>-0.11620799999999987</v>
      </c>
      <c r="Q1151" s="20">
        <v>-1.2006716599999994</v>
      </c>
      <c r="R1151" s="26" t="s">
        <v>393</v>
      </c>
      <c r="S1151" s="26"/>
      <c r="T1151" s="71" t="s">
        <v>626</v>
      </c>
    </row>
    <row r="1152" spans="1:20" s="14" customFormat="1" ht="12.75" customHeight="1">
      <c r="A1152" s="19" t="s">
        <v>392</v>
      </c>
      <c r="B1152" s="19" t="s">
        <v>373</v>
      </c>
      <c r="C1152" s="19" t="s">
        <v>514</v>
      </c>
      <c r="D1152" s="34">
        <v>43310</v>
      </c>
      <c r="E1152" s="19">
        <v>2018</v>
      </c>
      <c r="F1152" s="19">
        <v>7</v>
      </c>
      <c r="G1152" s="30">
        <v>29</v>
      </c>
      <c r="H1152" s="29">
        <v>0.76393518518518511</v>
      </c>
      <c r="I1152" s="35">
        <v>137.90666666666667</v>
      </c>
      <c r="J1152" s="35">
        <v>37.840000000000003</v>
      </c>
      <c r="K1152" s="28">
        <v>500</v>
      </c>
      <c r="L1152" s="28">
        <v>500</v>
      </c>
      <c r="M1152" s="28">
        <v>0</v>
      </c>
      <c r="N1152" s="36">
        <v>0.72950000000000004</v>
      </c>
      <c r="O1152" s="35">
        <v>34.066000000000003</v>
      </c>
      <c r="P1152" s="20">
        <v>-6.736572235294136E-2</v>
      </c>
      <c r="Q1152" s="20">
        <v>-0.94456993294117453</v>
      </c>
      <c r="R1152" s="26" t="s">
        <v>393</v>
      </c>
      <c r="S1152" s="26">
        <v>1</v>
      </c>
      <c r="T1152" s="71" t="s">
        <v>626</v>
      </c>
    </row>
    <row r="1153" spans="1:20" s="14" customFormat="1" ht="12.75" customHeight="1">
      <c r="A1153" s="19" t="s">
        <v>392</v>
      </c>
      <c r="B1153" s="19" t="s">
        <v>373</v>
      </c>
      <c r="C1153" s="19" t="s">
        <v>514</v>
      </c>
      <c r="D1153" s="34">
        <v>43310</v>
      </c>
      <c r="E1153" s="19">
        <v>2018</v>
      </c>
      <c r="F1153" s="19">
        <v>7</v>
      </c>
      <c r="G1153" s="30">
        <v>29</v>
      </c>
      <c r="H1153" s="29">
        <v>0.76581018518518518</v>
      </c>
      <c r="I1153" s="35">
        <v>137.90666666666667</v>
      </c>
      <c r="J1153" s="35">
        <v>37.840000000000003</v>
      </c>
      <c r="K1153" s="28">
        <v>400</v>
      </c>
      <c r="L1153" s="28">
        <v>400</v>
      </c>
      <c r="M1153" s="28">
        <v>0</v>
      </c>
      <c r="N1153" s="36">
        <v>0.96020000000000005</v>
      </c>
      <c r="O1153" s="35">
        <v>34.058999999999997</v>
      </c>
      <c r="P1153" s="20">
        <v>-7.2625844705882292E-2</v>
      </c>
      <c r="Q1153" s="20">
        <v>-0.91314010588235206</v>
      </c>
      <c r="R1153" s="26" t="s">
        <v>393</v>
      </c>
      <c r="S1153" s="26">
        <v>1</v>
      </c>
      <c r="T1153" s="71" t="s">
        <v>626</v>
      </c>
    </row>
    <row r="1154" spans="1:20" s="14" customFormat="1" ht="12.75" customHeight="1">
      <c r="A1154" s="19" t="s">
        <v>392</v>
      </c>
      <c r="B1154" s="19" t="s">
        <v>373</v>
      </c>
      <c r="C1154" s="19" t="s">
        <v>514</v>
      </c>
      <c r="D1154" s="34">
        <v>43310</v>
      </c>
      <c r="E1154" s="19">
        <v>2018</v>
      </c>
      <c r="F1154" s="19">
        <v>7</v>
      </c>
      <c r="G1154" s="30">
        <v>29</v>
      </c>
      <c r="H1154" s="29">
        <v>0.76736111111111116</v>
      </c>
      <c r="I1154" s="35">
        <v>137.90666666666667</v>
      </c>
      <c r="J1154" s="35">
        <v>37.840000000000003</v>
      </c>
      <c r="K1154" s="28">
        <v>300</v>
      </c>
      <c r="L1154" s="28">
        <v>300</v>
      </c>
      <c r="M1154" s="28">
        <v>0</v>
      </c>
      <c r="N1154" s="36">
        <v>1.6193</v>
      </c>
      <c r="O1154" s="35">
        <v>34.0456</v>
      </c>
      <c r="P1154" s="20">
        <v>-1.7760847058823526E-2</v>
      </c>
      <c r="Q1154" s="20">
        <v>-0.80621463382352943</v>
      </c>
      <c r="R1154" s="26" t="s">
        <v>393</v>
      </c>
      <c r="S1154" s="26">
        <v>1</v>
      </c>
      <c r="T1154" s="71" t="s">
        <v>626</v>
      </c>
    </row>
    <row r="1155" spans="1:20" s="14" customFormat="1" ht="12.75" customHeight="1">
      <c r="A1155" s="19" t="s">
        <v>392</v>
      </c>
      <c r="B1155" s="19" t="s">
        <v>373</v>
      </c>
      <c r="C1155" s="19" t="s">
        <v>514</v>
      </c>
      <c r="D1155" s="34">
        <v>43310</v>
      </c>
      <c r="E1155" s="19">
        <v>2018</v>
      </c>
      <c r="F1155" s="19">
        <v>7</v>
      </c>
      <c r="G1155" s="30">
        <v>29</v>
      </c>
      <c r="H1155" s="29">
        <v>0.7689583333333333</v>
      </c>
      <c r="I1155" s="35">
        <v>137.90666666666667</v>
      </c>
      <c r="J1155" s="35">
        <v>37.840000000000003</v>
      </c>
      <c r="K1155" s="28">
        <v>200</v>
      </c>
      <c r="L1155" s="28">
        <v>200</v>
      </c>
      <c r="M1155" s="28">
        <v>0</v>
      </c>
      <c r="N1155" s="36">
        <v>6.4691999999999998</v>
      </c>
      <c r="O1155" s="35">
        <v>34.1556</v>
      </c>
      <c r="P1155" s="20">
        <v>6.3236630588235698E-2</v>
      </c>
      <c r="Q1155" s="20">
        <v>-1.0262631764705432E-2</v>
      </c>
      <c r="R1155" s="26" t="s">
        <v>393</v>
      </c>
      <c r="S1155" s="26">
        <v>1</v>
      </c>
      <c r="T1155" s="71" t="s">
        <v>626</v>
      </c>
    </row>
    <row r="1156" spans="1:20" s="14" customFormat="1" ht="12.75" customHeight="1">
      <c r="A1156" s="19" t="s">
        <v>392</v>
      </c>
      <c r="B1156" s="19" t="s">
        <v>373</v>
      </c>
      <c r="C1156" s="19" t="s">
        <v>514</v>
      </c>
      <c r="D1156" s="34">
        <v>43310</v>
      </c>
      <c r="E1156" s="19">
        <v>2018</v>
      </c>
      <c r="F1156" s="19">
        <v>7</v>
      </c>
      <c r="G1156" s="30">
        <v>29</v>
      </c>
      <c r="H1156" s="29">
        <v>0.76989583333333333</v>
      </c>
      <c r="I1156" s="35">
        <v>137.90666666666667</v>
      </c>
      <c r="J1156" s="35">
        <v>37.840000000000003</v>
      </c>
      <c r="K1156" s="28">
        <v>150</v>
      </c>
      <c r="L1156" s="28">
        <v>150</v>
      </c>
      <c r="M1156" s="28">
        <v>0</v>
      </c>
      <c r="N1156" s="36">
        <v>10.767300000000001</v>
      </c>
      <c r="O1156" s="35">
        <v>34.336300000000001</v>
      </c>
      <c r="P1156" s="20">
        <v>0.15291090823529396</v>
      </c>
      <c r="Q1156" s="20">
        <v>0.67045917529411625</v>
      </c>
      <c r="R1156" s="26" t="s">
        <v>393</v>
      </c>
      <c r="S1156" s="26">
        <v>1</v>
      </c>
      <c r="T1156" s="71" t="s">
        <v>626</v>
      </c>
    </row>
    <row r="1157" spans="1:20" s="14" customFormat="1" ht="12.75" customHeight="1">
      <c r="A1157" s="19" t="s">
        <v>392</v>
      </c>
      <c r="B1157" s="19" t="s">
        <v>373</v>
      </c>
      <c r="C1157" s="19" t="s">
        <v>514</v>
      </c>
      <c r="D1157" s="34">
        <v>43310</v>
      </c>
      <c r="E1157" s="19">
        <v>2018</v>
      </c>
      <c r="F1157" s="19">
        <v>7</v>
      </c>
      <c r="G1157" s="30">
        <v>29</v>
      </c>
      <c r="H1157" s="29">
        <v>0.77047453703703705</v>
      </c>
      <c r="I1157" s="35">
        <v>137.90666666666667</v>
      </c>
      <c r="J1157" s="35">
        <v>37.840000000000003</v>
      </c>
      <c r="K1157" s="28">
        <v>125</v>
      </c>
      <c r="L1157" s="28">
        <v>125</v>
      </c>
      <c r="M1157" s="28">
        <v>0</v>
      </c>
      <c r="N1157" s="36">
        <v>12.7111</v>
      </c>
      <c r="O1157" s="35">
        <v>34.454599999999999</v>
      </c>
      <c r="P1157" s="20">
        <v>0.26268888823529446</v>
      </c>
      <c r="Q1157" s="20">
        <v>1.1661739247058822</v>
      </c>
      <c r="R1157" s="26" t="s">
        <v>393</v>
      </c>
      <c r="S1157" s="26">
        <v>1</v>
      </c>
      <c r="T1157" s="71" t="s">
        <v>626</v>
      </c>
    </row>
    <row r="1158" spans="1:20" s="14" customFormat="1" ht="12.75" customHeight="1">
      <c r="A1158" s="19" t="s">
        <v>392</v>
      </c>
      <c r="B1158" s="19" t="s">
        <v>373</v>
      </c>
      <c r="C1158" s="19" t="s">
        <v>514</v>
      </c>
      <c r="D1158" s="34">
        <v>43310</v>
      </c>
      <c r="E1158" s="19">
        <v>2018</v>
      </c>
      <c r="F1158" s="19">
        <v>7</v>
      </c>
      <c r="G1158" s="30">
        <v>29</v>
      </c>
      <c r="H1158" s="29">
        <v>0.77107638888888896</v>
      </c>
      <c r="I1158" s="35">
        <v>137.90666666666667</v>
      </c>
      <c r="J1158" s="35">
        <v>37.840000000000003</v>
      </c>
      <c r="K1158" s="28">
        <v>100</v>
      </c>
      <c r="L1158" s="28">
        <v>100</v>
      </c>
      <c r="M1158" s="28">
        <v>0</v>
      </c>
      <c r="N1158" s="36">
        <v>13.435</v>
      </c>
      <c r="O1158" s="35">
        <v>34.487400000000001</v>
      </c>
      <c r="P1158" s="20">
        <v>0.22237558588235329</v>
      </c>
      <c r="Q1158" s="20">
        <v>1.1715790376470601</v>
      </c>
      <c r="R1158" s="26" t="s">
        <v>393</v>
      </c>
      <c r="S1158" s="26">
        <v>1</v>
      </c>
      <c r="T1158" s="71" t="s">
        <v>626</v>
      </c>
    </row>
    <row r="1159" spans="1:20" s="14" customFormat="1" ht="12.75" customHeight="1">
      <c r="A1159" s="19" t="s">
        <v>392</v>
      </c>
      <c r="B1159" s="19" t="s">
        <v>373</v>
      </c>
      <c r="C1159" s="19" t="s">
        <v>514</v>
      </c>
      <c r="D1159" s="34">
        <v>43310</v>
      </c>
      <c r="E1159" s="19">
        <v>2018</v>
      </c>
      <c r="F1159" s="19">
        <v>7</v>
      </c>
      <c r="G1159" s="30">
        <v>29</v>
      </c>
      <c r="H1159" s="29">
        <v>0.77164351851851853</v>
      </c>
      <c r="I1159" s="35">
        <v>137.90666666666667</v>
      </c>
      <c r="J1159" s="35">
        <v>37.840000000000003</v>
      </c>
      <c r="K1159" s="28">
        <v>80</v>
      </c>
      <c r="L1159" s="28">
        <v>80</v>
      </c>
      <c r="M1159" s="28">
        <v>0</v>
      </c>
      <c r="N1159" s="36">
        <v>14.6098</v>
      </c>
      <c r="O1159" s="35">
        <v>34.508600000000001</v>
      </c>
      <c r="P1159" s="20">
        <v>0.21843150352941221</v>
      </c>
      <c r="Q1159" s="20">
        <v>1.2495885905882371</v>
      </c>
      <c r="R1159" s="26" t="s">
        <v>393</v>
      </c>
      <c r="S1159" s="26">
        <v>1</v>
      </c>
      <c r="T1159" s="71" t="s">
        <v>626</v>
      </c>
    </row>
    <row r="1160" spans="1:20" s="14" customFormat="1" ht="12.75" customHeight="1">
      <c r="A1160" s="19" t="s">
        <v>392</v>
      </c>
      <c r="B1160" s="19" t="s">
        <v>373</v>
      </c>
      <c r="C1160" s="19" t="s">
        <v>514</v>
      </c>
      <c r="D1160" s="34">
        <v>43310</v>
      </c>
      <c r="E1160" s="19">
        <v>2018</v>
      </c>
      <c r="F1160" s="19">
        <v>7</v>
      </c>
      <c r="G1160" s="30">
        <v>29</v>
      </c>
      <c r="H1160" s="29">
        <v>0.77217592592592599</v>
      </c>
      <c r="I1160" s="35">
        <v>137.90666666666667</v>
      </c>
      <c r="J1160" s="35">
        <v>37.840000000000003</v>
      </c>
      <c r="K1160" s="28">
        <v>60</v>
      </c>
      <c r="L1160" s="28">
        <v>60</v>
      </c>
      <c r="M1160" s="28">
        <v>0</v>
      </c>
      <c r="N1160" s="36">
        <v>15.6791</v>
      </c>
      <c r="O1160" s="35">
        <v>34.541400000000003</v>
      </c>
      <c r="P1160" s="20">
        <v>0.24618350117647037</v>
      </c>
      <c r="Q1160" s="20">
        <v>1.334484743529412</v>
      </c>
      <c r="R1160" s="26" t="s">
        <v>393</v>
      </c>
      <c r="S1160" s="26">
        <v>1</v>
      </c>
      <c r="T1160" s="71" t="s">
        <v>626</v>
      </c>
    </row>
    <row r="1161" spans="1:20" s="14" customFormat="1" ht="12.75" customHeight="1">
      <c r="A1161" s="19" t="s">
        <v>392</v>
      </c>
      <c r="B1161" s="19" t="s">
        <v>373</v>
      </c>
      <c r="C1161" s="19" t="s">
        <v>514</v>
      </c>
      <c r="D1161" s="34">
        <v>43310</v>
      </c>
      <c r="E1161" s="19">
        <v>2018</v>
      </c>
      <c r="F1161" s="19">
        <v>7</v>
      </c>
      <c r="G1161" s="30">
        <v>29</v>
      </c>
      <c r="H1161" s="29">
        <v>0.77251157407407411</v>
      </c>
      <c r="I1161" s="35">
        <v>137.90666666666667</v>
      </c>
      <c r="J1161" s="35">
        <v>37.840000000000003</v>
      </c>
      <c r="K1161" s="28">
        <v>50</v>
      </c>
      <c r="L1161" s="28">
        <v>50</v>
      </c>
      <c r="M1161" s="28">
        <v>0</v>
      </c>
      <c r="N1161" s="36">
        <v>16.479600000000001</v>
      </c>
      <c r="O1161" s="35">
        <v>34.527500000000003</v>
      </c>
      <c r="P1161" s="20">
        <v>0.22781363882352945</v>
      </c>
      <c r="Q1161" s="20">
        <v>1.2840100164705888</v>
      </c>
      <c r="R1161" s="26" t="s">
        <v>393</v>
      </c>
      <c r="S1161" s="26">
        <v>1</v>
      </c>
      <c r="T1161" s="71" t="s">
        <v>626</v>
      </c>
    </row>
    <row r="1162" spans="1:20" s="14" customFormat="1" ht="12.75" customHeight="1">
      <c r="A1162" s="19" t="s">
        <v>392</v>
      </c>
      <c r="B1162" s="19" t="s">
        <v>373</v>
      </c>
      <c r="C1162" s="19" t="s">
        <v>514</v>
      </c>
      <c r="D1162" s="34">
        <v>43310</v>
      </c>
      <c r="E1162" s="19">
        <v>2018</v>
      </c>
      <c r="F1162" s="19">
        <v>7</v>
      </c>
      <c r="G1162" s="30">
        <v>29</v>
      </c>
      <c r="H1162" s="29">
        <v>0.77289351851851851</v>
      </c>
      <c r="I1162" s="35">
        <v>137.90666666666667</v>
      </c>
      <c r="J1162" s="35">
        <v>37.840000000000003</v>
      </c>
      <c r="K1162" s="28">
        <v>40</v>
      </c>
      <c r="L1162" s="28">
        <v>40</v>
      </c>
      <c r="M1162" s="28">
        <v>0</v>
      </c>
      <c r="N1162" s="36">
        <v>17.220400000000001</v>
      </c>
      <c r="O1162" s="35">
        <v>34.412199999999999</v>
      </c>
      <c r="P1162" s="20">
        <v>0.25292429647058823</v>
      </c>
      <c r="Q1162" s="20">
        <v>1.1428289294117686</v>
      </c>
      <c r="R1162" s="26" t="s">
        <v>393</v>
      </c>
      <c r="S1162" s="26">
        <v>1</v>
      </c>
      <c r="T1162" s="71" t="s">
        <v>626</v>
      </c>
    </row>
    <row r="1163" spans="1:20" s="14" customFormat="1" ht="12.75" customHeight="1">
      <c r="A1163" s="19" t="s">
        <v>392</v>
      </c>
      <c r="B1163" s="19" t="s">
        <v>373</v>
      </c>
      <c r="C1163" s="19" t="s">
        <v>514</v>
      </c>
      <c r="D1163" s="34">
        <v>43310</v>
      </c>
      <c r="E1163" s="19">
        <v>2018</v>
      </c>
      <c r="F1163" s="19">
        <v>7</v>
      </c>
      <c r="G1163" s="30">
        <v>29</v>
      </c>
      <c r="H1163" s="29">
        <v>0.77328703703703694</v>
      </c>
      <c r="I1163" s="35">
        <v>137.90666666666667</v>
      </c>
      <c r="J1163" s="35">
        <v>37.840000000000003</v>
      </c>
      <c r="K1163" s="28">
        <v>30</v>
      </c>
      <c r="L1163" s="28">
        <v>30</v>
      </c>
      <c r="M1163" s="28">
        <v>0</v>
      </c>
      <c r="N1163" s="36">
        <v>19.2211</v>
      </c>
      <c r="O1163" s="35">
        <v>34.337400000000002</v>
      </c>
      <c r="P1163" s="20">
        <v>0.19635659411764683</v>
      </c>
      <c r="Q1163" s="20">
        <v>0.98767788235294063</v>
      </c>
      <c r="R1163" s="26" t="s">
        <v>393</v>
      </c>
      <c r="S1163" s="26">
        <v>1</v>
      </c>
      <c r="T1163" s="71" t="s">
        <v>626</v>
      </c>
    </row>
    <row r="1164" spans="1:20" s="14" customFormat="1" ht="12.75" customHeight="1">
      <c r="A1164" s="19" t="s">
        <v>392</v>
      </c>
      <c r="B1164" s="19" t="s">
        <v>373</v>
      </c>
      <c r="C1164" s="19" t="s">
        <v>514</v>
      </c>
      <c r="D1164" s="34">
        <v>43310</v>
      </c>
      <c r="E1164" s="19">
        <v>2018</v>
      </c>
      <c r="F1164" s="19">
        <v>7</v>
      </c>
      <c r="G1164" s="30">
        <v>29</v>
      </c>
      <c r="H1164" s="29">
        <v>0.77418981481481486</v>
      </c>
      <c r="I1164" s="35">
        <v>137.90666666666667</v>
      </c>
      <c r="J1164" s="35">
        <v>37.840000000000003</v>
      </c>
      <c r="K1164" s="28">
        <v>20</v>
      </c>
      <c r="L1164" s="28">
        <v>20</v>
      </c>
      <c r="M1164" s="28">
        <v>0</v>
      </c>
      <c r="N1164" s="36">
        <v>20.988900000000001</v>
      </c>
      <c r="O1164" s="35">
        <v>34.219099999999997</v>
      </c>
      <c r="P1164" s="20">
        <v>0.17976754470588263</v>
      </c>
      <c r="Q1164" s="20">
        <v>0.65886877411764644</v>
      </c>
      <c r="R1164" s="26" t="s">
        <v>393</v>
      </c>
      <c r="S1164" s="26">
        <v>1</v>
      </c>
      <c r="T1164" s="71" t="s">
        <v>626</v>
      </c>
    </row>
    <row r="1165" spans="1:20" s="14" customFormat="1" ht="12.75" customHeight="1">
      <c r="A1165" s="19" t="s">
        <v>392</v>
      </c>
      <c r="B1165" s="19" t="s">
        <v>373</v>
      </c>
      <c r="C1165" s="19" t="s">
        <v>514</v>
      </c>
      <c r="D1165" s="34">
        <v>43310</v>
      </c>
      <c r="E1165" s="19">
        <v>2018</v>
      </c>
      <c r="F1165" s="19">
        <v>7</v>
      </c>
      <c r="G1165" s="30">
        <v>29</v>
      </c>
      <c r="H1165" s="29">
        <v>0.77484953703703707</v>
      </c>
      <c r="I1165" s="35">
        <v>137.90666666666667</v>
      </c>
      <c r="J1165" s="35">
        <v>37.840000000000003</v>
      </c>
      <c r="K1165" s="28">
        <v>10</v>
      </c>
      <c r="L1165" s="28">
        <v>10</v>
      </c>
      <c r="M1165" s="28">
        <v>0</v>
      </c>
      <c r="N1165" s="36">
        <v>25.562799999999999</v>
      </c>
      <c r="O1165" s="35">
        <v>34.0441</v>
      </c>
      <c r="P1165" s="20">
        <v>5.6353622352941279E-2</v>
      </c>
      <c r="Q1165" s="20">
        <v>0.14758212705882556</v>
      </c>
      <c r="R1165" s="26" t="s">
        <v>393</v>
      </c>
      <c r="S1165" s="26">
        <v>1</v>
      </c>
      <c r="T1165" s="71" t="s">
        <v>626</v>
      </c>
    </row>
    <row r="1166" spans="1:20" s="14" customFormat="1" ht="12.75" customHeight="1">
      <c r="A1166" s="19" t="s">
        <v>392</v>
      </c>
      <c r="B1166" s="19" t="s">
        <v>374</v>
      </c>
      <c r="C1166" s="19" t="s">
        <v>514</v>
      </c>
      <c r="D1166" s="34">
        <v>43310</v>
      </c>
      <c r="E1166" s="19">
        <v>2018</v>
      </c>
      <c r="F1166" s="19">
        <v>7</v>
      </c>
      <c r="G1166" s="30">
        <v>29</v>
      </c>
      <c r="H1166" s="29">
        <v>0.8797800925925926</v>
      </c>
      <c r="I1166" s="35">
        <v>137.74816666666666</v>
      </c>
      <c r="J1166" s="35">
        <v>38.090000000000003</v>
      </c>
      <c r="K1166" s="28">
        <v>10</v>
      </c>
      <c r="L1166" s="28">
        <v>10</v>
      </c>
      <c r="M1166" s="28">
        <v>0</v>
      </c>
      <c r="N1166" s="36">
        <v>22.760200000000001</v>
      </c>
      <c r="O1166" s="35">
        <v>34.133099999999999</v>
      </c>
      <c r="P1166" s="20">
        <v>0.12270981999999986</v>
      </c>
      <c r="Q1166" s="20">
        <v>0.37965476000000109</v>
      </c>
      <c r="R1166" s="26" t="s">
        <v>393</v>
      </c>
      <c r="S1166" s="26"/>
      <c r="T1166" s="71" t="s">
        <v>626</v>
      </c>
    </row>
    <row r="1167" spans="1:20" s="14" customFormat="1" ht="12.75" customHeight="1">
      <c r="A1167" s="19" t="s">
        <v>392</v>
      </c>
      <c r="B1167" s="19" t="s">
        <v>375</v>
      </c>
      <c r="C1167" s="19" t="s">
        <v>514</v>
      </c>
      <c r="D1167" s="34">
        <v>43311</v>
      </c>
      <c r="E1167" s="19">
        <v>2018</v>
      </c>
      <c r="F1167" s="19">
        <v>7</v>
      </c>
      <c r="G1167" s="30">
        <v>30</v>
      </c>
      <c r="H1167" s="29">
        <v>0.28401620370370367</v>
      </c>
      <c r="I1167" s="35">
        <v>137.58783333333332</v>
      </c>
      <c r="J1167" s="35">
        <v>38.336666666666666</v>
      </c>
      <c r="K1167" s="28">
        <v>10</v>
      </c>
      <c r="L1167" s="28">
        <v>10</v>
      </c>
      <c r="M1167" s="28">
        <v>0</v>
      </c>
      <c r="N1167" s="36">
        <v>23.240500000000001</v>
      </c>
      <c r="O1167" s="35">
        <v>34.148099999999999</v>
      </c>
      <c r="P1167" s="20">
        <v>0.14456959764705823</v>
      </c>
      <c r="Q1167" s="20">
        <v>0.43267579294117731</v>
      </c>
      <c r="R1167" s="26" t="s">
        <v>393</v>
      </c>
      <c r="S1167" s="26"/>
      <c r="T1167" s="71" t="s">
        <v>626</v>
      </c>
    </row>
    <row r="1168" spans="1:20" s="14" customFormat="1" ht="12.75" customHeight="1">
      <c r="A1168" s="19" t="s">
        <v>392</v>
      </c>
      <c r="B1168" s="19" t="s">
        <v>376</v>
      </c>
      <c r="C1168" s="19" t="s">
        <v>514</v>
      </c>
      <c r="D1168" s="34">
        <v>43311</v>
      </c>
      <c r="E1168" s="19">
        <v>2018</v>
      </c>
      <c r="F1168" s="19">
        <v>7</v>
      </c>
      <c r="G1168" s="30">
        <v>30</v>
      </c>
      <c r="H1168" s="29">
        <v>0.39956018518518516</v>
      </c>
      <c r="I1168" s="35">
        <v>137.42400000000001</v>
      </c>
      <c r="J1168" s="35">
        <v>38.581666666666663</v>
      </c>
      <c r="K1168" s="28">
        <v>10</v>
      </c>
      <c r="L1168" s="28">
        <v>10</v>
      </c>
      <c r="M1168" s="28">
        <v>0</v>
      </c>
      <c r="N1168" s="36">
        <v>25.5992</v>
      </c>
      <c r="O1168" s="35">
        <v>33.804200000000002</v>
      </c>
      <c r="P1168" s="20">
        <v>5.1023135294117949E-2</v>
      </c>
      <c r="Q1168" s="20">
        <v>-0.31708397411764722</v>
      </c>
      <c r="R1168" s="26" t="s">
        <v>393</v>
      </c>
      <c r="S1168" s="26"/>
      <c r="T1168" s="71" t="s">
        <v>626</v>
      </c>
    </row>
    <row r="1169" spans="1:20" s="14" customFormat="1" ht="12.75" customHeight="1">
      <c r="A1169" s="19" t="s">
        <v>392</v>
      </c>
      <c r="B1169" s="19" t="s">
        <v>377</v>
      </c>
      <c r="C1169" s="19" t="s">
        <v>514</v>
      </c>
      <c r="D1169" s="34">
        <v>43311</v>
      </c>
      <c r="E1169" s="19">
        <v>2018</v>
      </c>
      <c r="F1169" s="19">
        <v>7</v>
      </c>
      <c r="G1169" s="30">
        <v>30</v>
      </c>
      <c r="H1169" s="29">
        <v>0.75604166666666661</v>
      </c>
      <c r="I1169" s="35">
        <v>138.0445</v>
      </c>
      <c r="J1169" s="35">
        <v>38.325000000000003</v>
      </c>
      <c r="K1169" s="28">
        <v>10</v>
      </c>
      <c r="L1169" s="28">
        <v>10</v>
      </c>
      <c r="M1169" s="28">
        <v>0</v>
      </c>
      <c r="N1169" s="36">
        <v>24.6571</v>
      </c>
      <c r="O1169" s="35">
        <v>33.956499999999998</v>
      </c>
      <c r="P1169" s="20">
        <v>-2.9032270588238429E-3</v>
      </c>
      <c r="Q1169" s="20">
        <v>-0.32879698117647038</v>
      </c>
      <c r="R1169" s="26" t="s">
        <v>393</v>
      </c>
      <c r="S1169" s="26"/>
      <c r="T1169" s="71" t="s">
        <v>626</v>
      </c>
    </row>
    <row r="1170" spans="1:20" s="14" customFormat="1" ht="12.75" customHeight="1">
      <c r="A1170" s="19" t="s">
        <v>392</v>
      </c>
      <c r="B1170" s="19" t="s">
        <v>378</v>
      </c>
      <c r="C1170" s="19" t="s">
        <v>514</v>
      </c>
      <c r="D1170" s="34">
        <v>43311</v>
      </c>
      <c r="E1170" s="19">
        <v>2018</v>
      </c>
      <c r="F1170" s="19">
        <v>7</v>
      </c>
      <c r="G1170" s="30">
        <v>30</v>
      </c>
      <c r="H1170" s="29">
        <v>0.65021990740740743</v>
      </c>
      <c r="I1170" s="35">
        <v>137.89533333333333</v>
      </c>
      <c r="J1170" s="35">
        <v>38.563333333333333</v>
      </c>
      <c r="K1170" s="28">
        <v>10</v>
      </c>
      <c r="L1170" s="28">
        <v>10</v>
      </c>
      <c r="M1170" s="28">
        <v>0</v>
      </c>
      <c r="N1170" s="36">
        <v>23.5959</v>
      </c>
      <c r="O1170" s="35">
        <v>34.178600000000003</v>
      </c>
      <c r="P1170" s="20">
        <v>0.1901502134453783</v>
      </c>
      <c r="Q1170" s="20">
        <v>0.51666089747899413</v>
      </c>
      <c r="R1170" s="26" t="s">
        <v>393</v>
      </c>
      <c r="S1170" s="26"/>
      <c r="T1170" s="71" t="s">
        <v>626</v>
      </c>
    </row>
    <row r="1171" spans="1:20" s="14" customFormat="1" ht="12.75" customHeight="1">
      <c r="A1171" s="19" t="s">
        <v>392</v>
      </c>
      <c r="B1171" s="19" t="s">
        <v>379</v>
      </c>
      <c r="C1171" s="19" t="s">
        <v>514</v>
      </c>
      <c r="D1171" s="34">
        <v>43313</v>
      </c>
      <c r="E1171" s="19">
        <v>2018</v>
      </c>
      <c r="F1171" s="19">
        <v>8</v>
      </c>
      <c r="G1171" s="30">
        <v>1</v>
      </c>
      <c r="H1171" s="29">
        <v>0.40013888888888888</v>
      </c>
      <c r="I1171" s="35">
        <v>137.5975</v>
      </c>
      <c r="J1171" s="35">
        <v>39.086666666666666</v>
      </c>
      <c r="K1171" s="28">
        <v>10</v>
      </c>
      <c r="L1171" s="28">
        <v>10</v>
      </c>
      <c r="M1171" s="28">
        <v>0</v>
      </c>
      <c r="N1171" s="36">
        <v>25.830100000000002</v>
      </c>
      <c r="O1171" s="35">
        <v>33.965000000000003</v>
      </c>
      <c r="P1171" s="20">
        <v>6.6823368235294112E-2</v>
      </c>
      <c r="Q1171" s="20">
        <v>-0.12968743529411775</v>
      </c>
      <c r="R1171" s="26" t="s">
        <v>393</v>
      </c>
      <c r="S1171" s="26"/>
      <c r="T1171" s="71" t="s">
        <v>626</v>
      </c>
    </row>
    <row r="1172" spans="1:20" s="14" customFormat="1" ht="12.75" customHeight="1">
      <c r="A1172" s="19" t="s">
        <v>392</v>
      </c>
      <c r="B1172" s="19" t="s">
        <v>380</v>
      </c>
      <c r="C1172" s="19" t="s">
        <v>514</v>
      </c>
      <c r="D1172" s="34">
        <v>43313</v>
      </c>
      <c r="E1172" s="19">
        <v>2018</v>
      </c>
      <c r="F1172" s="19">
        <v>8</v>
      </c>
      <c r="G1172" s="30">
        <v>1</v>
      </c>
      <c r="H1172" s="29">
        <v>0.26730324074074074</v>
      </c>
      <c r="I1172" s="35">
        <v>137.42883333333333</v>
      </c>
      <c r="J1172" s="35">
        <v>39.335000000000001</v>
      </c>
      <c r="K1172" s="28">
        <v>500</v>
      </c>
      <c r="L1172" s="28">
        <v>500</v>
      </c>
      <c r="M1172" s="28">
        <v>0</v>
      </c>
      <c r="N1172" s="36">
        <v>0.72860000000000003</v>
      </c>
      <c r="O1172" s="35">
        <v>34.065399999999997</v>
      </c>
      <c r="P1172" s="20">
        <v>-7.2326748235293614E-2</v>
      </c>
      <c r="Q1172" s="20">
        <v>-0.86103030117647172</v>
      </c>
      <c r="R1172" s="26" t="s">
        <v>393</v>
      </c>
      <c r="S1172" s="26">
        <v>1</v>
      </c>
      <c r="T1172" s="71" t="s">
        <v>626</v>
      </c>
    </row>
    <row r="1173" spans="1:20" s="14" customFormat="1" ht="12.75" customHeight="1">
      <c r="A1173" s="19" t="s">
        <v>392</v>
      </c>
      <c r="B1173" s="19" t="s">
        <v>380</v>
      </c>
      <c r="C1173" s="19" t="s">
        <v>514</v>
      </c>
      <c r="D1173" s="34">
        <v>43313</v>
      </c>
      <c r="E1173" s="19">
        <v>2018</v>
      </c>
      <c r="F1173" s="19">
        <v>8</v>
      </c>
      <c r="G1173" s="30">
        <v>1</v>
      </c>
      <c r="H1173" s="29">
        <v>0.26931712962962961</v>
      </c>
      <c r="I1173" s="35">
        <v>137.42883333333333</v>
      </c>
      <c r="J1173" s="35">
        <v>39.335000000000001</v>
      </c>
      <c r="K1173" s="28">
        <v>400</v>
      </c>
      <c r="L1173" s="28">
        <v>400</v>
      </c>
      <c r="M1173" s="28">
        <v>0</v>
      </c>
      <c r="N1173" s="36">
        <v>0.8962</v>
      </c>
      <c r="O1173" s="35">
        <v>34.055599999999998</v>
      </c>
      <c r="P1173" s="20">
        <v>-8.5410065882352892E-2</v>
      </c>
      <c r="Q1173" s="20">
        <v>-0.83171612941176321</v>
      </c>
      <c r="R1173" s="26" t="s">
        <v>393</v>
      </c>
      <c r="S1173" s="26">
        <v>1</v>
      </c>
      <c r="T1173" s="71" t="s">
        <v>626</v>
      </c>
    </row>
    <row r="1174" spans="1:20" s="14" customFormat="1" ht="12.75" customHeight="1">
      <c r="A1174" s="19" t="s">
        <v>392</v>
      </c>
      <c r="B1174" s="19" t="s">
        <v>380</v>
      </c>
      <c r="C1174" s="19" t="s">
        <v>514</v>
      </c>
      <c r="D1174" s="34">
        <v>43313</v>
      </c>
      <c r="E1174" s="19">
        <v>2018</v>
      </c>
      <c r="F1174" s="19">
        <v>8</v>
      </c>
      <c r="G1174" s="30">
        <v>1</v>
      </c>
      <c r="H1174" s="29">
        <v>0.27127314814814812</v>
      </c>
      <c r="I1174" s="35">
        <v>137.42883333333333</v>
      </c>
      <c r="J1174" s="35">
        <v>39.335000000000001</v>
      </c>
      <c r="K1174" s="28">
        <v>300</v>
      </c>
      <c r="L1174" s="28">
        <v>300</v>
      </c>
      <c r="M1174" s="28">
        <v>0</v>
      </c>
      <c r="N1174" s="36">
        <v>1.2158</v>
      </c>
      <c r="O1174" s="35">
        <v>34.039499999999997</v>
      </c>
      <c r="P1174" s="20">
        <v>-7.9984073529411281E-2</v>
      </c>
      <c r="Q1174" s="20">
        <v>-0.75935361764705966</v>
      </c>
      <c r="R1174" s="26" t="s">
        <v>393</v>
      </c>
      <c r="S1174" s="26">
        <v>1</v>
      </c>
      <c r="T1174" s="71" t="s">
        <v>626</v>
      </c>
    </row>
    <row r="1175" spans="1:20" s="14" customFormat="1" ht="12.75" customHeight="1">
      <c r="A1175" s="19" t="s">
        <v>392</v>
      </c>
      <c r="B1175" s="19" t="s">
        <v>380</v>
      </c>
      <c r="C1175" s="19" t="s">
        <v>514</v>
      </c>
      <c r="D1175" s="34">
        <v>43313</v>
      </c>
      <c r="E1175" s="19">
        <v>2018</v>
      </c>
      <c r="F1175" s="19">
        <v>8</v>
      </c>
      <c r="G1175" s="30">
        <v>1</v>
      </c>
      <c r="H1175" s="29">
        <v>0.27306712962962965</v>
      </c>
      <c r="I1175" s="35">
        <v>137.42883333333333</v>
      </c>
      <c r="J1175" s="35">
        <v>39.335000000000001</v>
      </c>
      <c r="K1175" s="28">
        <v>200</v>
      </c>
      <c r="L1175" s="28">
        <v>200</v>
      </c>
      <c r="M1175" s="28">
        <v>0</v>
      </c>
      <c r="N1175" s="36">
        <v>2.7111000000000001</v>
      </c>
      <c r="O1175" s="35">
        <v>34.028500000000001</v>
      </c>
      <c r="P1175" s="20">
        <v>-2.0172701176470298E-2</v>
      </c>
      <c r="Q1175" s="20">
        <v>-0.63070466588235341</v>
      </c>
      <c r="R1175" s="26" t="s">
        <v>393</v>
      </c>
      <c r="S1175" s="26">
        <v>1</v>
      </c>
      <c r="T1175" s="71" t="s">
        <v>626</v>
      </c>
    </row>
    <row r="1176" spans="1:20" s="14" customFormat="1" ht="12.75" customHeight="1">
      <c r="A1176" s="19" t="s">
        <v>392</v>
      </c>
      <c r="B1176" s="19" t="s">
        <v>380</v>
      </c>
      <c r="C1176" s="19" t="s">
        <v>514</v>
      </c>
      <c r="D1176" s="34">
        <v>43313</v>
      </c>
      <c r="E1176" s="19">
        <v>2018</v>
      </c>
      <c r="F1176" s="19">
        <v>8</v>
      </c>
      <c r="G1176" s="30">
        <v>1</v>
      </c>
      <c r="H1176" s="29">
        <v>0.27417824074074076</v>
      </c>
      <c r="I1176" s="35">
        <v>137.42883333333333</v>
      </c>
      <c r="J1176" s="35">
        <v>39.335000000000001</v>
      </c>
      <c r="K1176" s="28">
        <v>150</v>
      </c>
      <c r="L1176" s="28">
        <v>150</v>
      </c>
      <c r="M1176" s="28">
        <v>0</v>
      </c>
      <c r="N1176" s="36">
        <v>5.1510999999999996</v>
      </c>
      <c r="O1176" s="35">
        <v>34.097499999999997</v>
      </c>
      <c r="P1176" s="20">
        <v>3.6034117647076869E-4</v>
      </c>
      <c r="Q1176" s="20">
        <v>-0.34153149411764616</v>
      </c>
      <c r="R1176" s="26" t="s">
        <v>393</v>
      </c>
      <c r="S1176" s="26">
        <v>1</v>
      </c>
      <c r="T1176" s="71" t="s">
        <v>626</v>
      </c>
    </row>
    <row r="1177" spans="1:20" s="14" customFormat="1" ht="12.75" customHeight="1">
      <c r="A1177" s="19" t="s">
        <v>392</v>
      </c>
      <c r="B1177" s="19" t="s">
        <v>380</v>
      </c>
      <c r="C1177" s="19" t="s">
        <v>514</v>
      </c>
      <c r="D1177" s="34">
        <v>43313</v>
      </c>
      <c r="E1177" s="19">
        <v>2018</v>
      </c>
      <c r="F1177" s="19">
        <v>8</v>
      </c>
      <c r="G1177" s="30">
        <v>1</v>
      </c>
      <c r="H1177" s="29">
        <v>0.27496527777777779</v>
      </c>
      <c r="I1177" s="35">
        <v>137.42883333333333</v>
      </c>
      <c r="J1177" s="35">
        <v>39.335000000000001</v>
      </c>
      <c r="K1177" s="28">
        <v>125</v>
      </c>
      <c r="L1177" s="28">
        <v>125</v>
      </c>
      <c r="M1177" s="28">
        <v>0</v>
      </c>
      <c r="N1177" s="36">
        <v>7.5316000000000001</v>
      </c>
      <c r="O1177" s="35">
        <v>34.179600000000001</v>
      </c>
      <c r="P1177" s="20">
        <v>8.6907383529412296E-2</v>
      </c>
      <c r="Q1177" s="20">
        <v>0.1425849576470597</v>
      </c>
      <c r="R1177" s="26" t="s">
        <v>393</v>
      </c>
      <c r="S1177" s="26">
        <v>1</v>
      </c>
      <c r="T1177" s="71" t="s">
        <v>626</v>
      </c>
    </row>
    <row r="1178" spans="1:20" s="14" customFormat="1" ht="12.75" customHeight="1">
      <c r="A1178" s="19" t="s">
        <v>392</v>
      </c>
      <c r="B1178" s="19" t="s">
        <v>380</v>
      </c>
      <c r="C1178" s="19" t="s">
        <v>514</v>
      </c>
      <c r="D1178" s="34">
        <v>43313</v>
      </c>
      <c r="E1178" s="19">
        <v>2018</v>
      </c>
      <c r="F1178" s="19">
        <v>8</v>
      </c>
      <c r="G1178" s="30">
        <v>1</v>
      </c>
      <c r="H1178" s="29">
        <v>0.27575231481481483</v>
      </c>
      <c r="I1178" s="35">
        <v>137.42883333333333</v>
      </c>
      <c r="J1178" s="35">
        <v>39.335000000000001</v>
      </c>
      <c r="K1178" s="28">
        <v>100</v>
      </c>
      <c r="L1178" s="28">
        <v>100</v>
      </c>
      <c r="M1178" s="28">
        <v>0</v>
      </c>
      <c r="N1178" s="36">
        <v>9.5131999999999994</v>
      </c>
      <c r="O1178" s="35">
        <v>34.271299999999997</v>
      </c>
      <c r="P1178" s="20">
        <v>0.16157190588235304</v>
      </c>
      <c r="Q1178" s="20">
        <v>0.61807212941176459</v>
      </c>
      <c r="R1178" s="26" t="s">
        <v>393</v>
      </c>
      <c r="S1178" s="26">
        <v>1</v>
      </c>
      <c r="T1178" s="71" t="s">
        <v>626</v>
      </c>
    </row>
    <row r="1179" spans="1:20" s="14" customFormat="1" ht="12.75" customHeight="1">
      <c r="A1179" s="19" t="s">
        <v>392</v>
      </c>
      <c r="B1179" s="19" t="s">
        <v>380</v>
      </c>
      <c r="C1179" s="19" t="s">
        <v>514</v>
      </c>
      <c r="D1179" s="34">
        <v>43313</v>
      </c>
      <c r="E1179" s="19">
        <v>2018</v>
      </c>
      <c r="F1179" s="19">
        <v>8</v>
      </c>
      <c r="G1179" s="30">
        <v>1</v>
      </c>
      <c r="H1179" s="29">
        <v>0.27649305555555553</v>
      </c>
      <c r="I1179" s="35">
        <v>137.42883333333333</v>
      </c>
      <c r="J1179" s="35">
        <v>39.335000000000001</v>
      </c>
      <c r="K1179" s="28">
        <v>80</v>
      </c>
      <c r="L1179" s="28">
        <v>80</v>
      </c>
      <c r="M1179" s="28">
        <v>0</v>
      </c>
      <c r="N1179" s="36">
        <v>10.468500000000001</v>
      </c>
      <c r="O1179" s="35">
        <v>34.293999999999997</v>
      </c>
      <c r="P1179" s="20">
        <v>0.1488470352941178</v>
      </c>
      <c r="Q1179" s="20">
        <v>0.63715674789916044</v>
      </c>
      <c r="R1179" s="26" t="s">
        <v>393</v>
      </c>
      <c r="S1179" s="26">
        <v>1</v>
      </c>
      <c r="T1179" s="71" t="s">
        <v>626</v>
      </c>
    </row>
    <row r="1180" spans="1:20" s="14" customFormat="1" ht="12.75" customHeight="1">
      <c r="A1180" s="19" t="s">
        <v>392</v>
      </c>
      <c r="B1180" s="19" t="s">
        <v>380</v>
      </c>
      <c r="C1180" s="19" t="s">
        <v>514</v>
      </c>
      <c r="D1180" s="34">
        <v>43313</v>
      </c>
      <c r="E1180" s="19">
        <v>2018</v>
      </c>
      <c r="F1180" s="19">
        <v>8</v>
      </c>
      <c r="G1180" s="30">
        <v>1</v>
      </c>
      <c r="H1180" s="29">
        <v>0.2772337962962963</v>
      </c>
      <c r="I1180" s="35">
        <v>137.42883333333333</v>
      </c>
      <c r="J1180" s="35">
        <v>39.335000000000001</v>
      </c>
      <c r="K1180" s="28">
        <v>60</v>
      </c>
      <c r="L1180" s="28">
        <v>60</v>
      </c>
      <c r="M1180" s="28">
        <v>0</v>
      </c>
      <c r="N1180" s="36">
        <v>11.665100000000001</v>
      </c>
      <c r="O1180" s="35">
        <v>34.376899999999999</v>
      </c>
      <c r="P1180" s="20">
        <v>0.18596337478991654</v>
      </c>
      <c r="Q1180" s="20">
        <v>0.90206707394957952</v>
      </c>
      <c r="R1180" s="26" t="s">
        <v>393</v>
      </c>
      <c r="S1180" s="26">
        <v>1</v>
      </c>
      <c r="T1180" s="71" t="s">
        <v>626</v>
      </c>
    </row>
    <row r="1181" spans="1:20" s="14" customFormat="1" ht="12.75" customHeight="1">
      <c r="A1181" s="19" t="s">
        <v>392</v>
      </c>
      <c r="B1181" s="19" t="s">
        <v>380</v>
      </c>
      <c r="C1181" s="19" t="s">
        <v>514</v>
      </c>
      <c r="D1181" s="34">
        <v>43313</v>
      </c>
      <c r="E1181" s="19">
        <v>2018</v>
      </c>
      <c r="F1181" s="19">
        <v>8</v>
      </c>
      <c r="G1181" s="30">
        <v>1</v>
      </c>
      <c r="H1181" s="29">
        <v>0.27769675925925924</v>
      </c>
      <c r="I1181" s="35">
        <v>137.42883333333333</v>
      </c>
      <c r="J1181" s="35">
        <v>39.335000000000001</v>
      </c>
      <c r="K1181" s="28">
        <v>50</v>
      </c>
      <c r="L1181" s="28">
        <v>50</v>
      </c>
      <c r="M1181" s="28">
        <v>0</v>
      </c>
      <c r="N1181" s="36">
        <v>13.674300000000001</v>
      </c>
      <c r="O1181" s="35">
        <v>34.451300000000003</v>
      </c>
      <c r="P1181" s="20">
        <v>0.16736679999999993</v>
      </c>
      <c r="Q1181" s="20">
        <v>0.85043972000000068</v>
      </c>
      <c r="R1181" s="26" t="s">
        <v>393</v>
      </c>
      <c r="S1181" s="26">
        <v>1</v>
      </c>
      <c r="T1181" s="71" t="s">
        <v>626</v>
      </c>
    </row>
    <row r="1182" spans="1:20" s="14" customFormat="1" ht="12.75" customHeight="1">
      <c r="A1182" s="19" t="s">
        <v>392</v>
      </c>
      <c r="B1182" s="19" t="s">
        <v>380</v>
      </c>
      <c r="C1182" s="19" t="s">
        <v>514</v>
      </c>
      <c r="D1182" s="34">
        <v>43313</v>
      </c>
      <c r="E1182" s="19">
        <v>2018</v>
      </c>
      <c r="F1182" s="19">
        <v>8</v>
      </c>
      <c r="G1182" s="30">
        <v>1</v>
      </c>
      <c r="H1182" s="29">
        <v>0.27818287037037037</v>
      </c>
      <c r="I1182" s="35">
        <v>137.42883333333333</v>
      </c>
      <c r="J1182" s="35">
        <v>39.335000000000001</v>
      </c>
      <c r="K1182" s="28">
        <v>40</v>
      </c>
      <c r="L1182" s="28">
        <v>40</v>
      </c>
      <c r="M1182" s="28">
        <v>0</v>
      </c>
      <c r="N1182" s="36">
        <v>14.9719</v>
      </c>
      <c r="O1182" s="35">
        <v>34.43</v>
      </c>
      <c r="P1182" s="20">
        <v>0.1947043623529412</v>
      </c>
      <c r="Q1182" s="20">
        <v>1.0162534117647031</v>
      </c>
      <c r="R1182" s="26" t="s">
        <v>393</v>
      </c>
      <c r="S1182" s="26">
        <v>1</v>
      </c>
      <c r="T1182" s="71" t="s">
        <v>626</v>
      </c>
    </row>
    <row r="1183" spans="1:20" s="14" customFormat="1" ht="12.75" customHeight="1">
      <c r="A1183" s="19" t="s">
        <v>392</v>
      </c>
      <c r="B1183" s="19" t="s">
        <v>380</v>
      </c>
      <c r="C1183" s="19" t="s">
        <v>514</v>
      </c>
      <c r="D1183" s="34">
        <v>43313</v>
      </c>
      <c r="E1183" s="19">
        <v>2018</v>
      </c>
      <c r="F1183" s="19">
        <v>8</v>
      </c>
      <c r="G1183" s="30">
        <v>1</v>
      </c>
      <c r="H1183" s="29">
        <v>0.27879629629629626</v>
      </c>
      <c r="I1183" s="35">
        <v>137.42883333333333</v>
      </c>
      <c r="J1183" s="35">
        <v>39.335000000000001</v>
      </c>
      <c r="K1183" s="28">
        <v>30</v>
      </c>
      <c r="L1183" s="28">
        <v>30</v>
      </c>
      <c r="M1183" s="28">
        <v>0</v>
      </c>
      <c r="N1183" s="36">
        <v>17.531400000000001</v>
      </c>
      <c r="O1183" s="35">
        <v>34.339700000000001</v>
      </c>
      <c r="P1183" s="20">
        <v>0.2112765647058823</v>
      </c>
      <c r="Q1183" s="20">
        <v>0.84885922352941101</v>
      </c>
      <c r="R1183" s="26" t="s">
        <v>393</v>
      </c>
      <c r="S1183" s="26">
        <v>1</v>
      </c>
      <c r="T1183" s="71" t="s">
        <v>626</v>
      </c>
    </row>
    <row r="1184" spans="1:20" s="14" customFormat="1" ht="12.75" customHeight="1">
      <c r="A1184" s="19" t="s">
        <v>392</v>
      </c>
      <c r="B1184" s="19" t="s">
        <v>380</v>
      </c>
      <c r="C1184" s="19" t="s">
        <v>514</v>
      </c>
      <c r="D1184" s="34">
        <v>43313</v>
      </c>
      <c r="E1184" s="19">
        <v>2018</v>
      </c>
      <c r="F1184" s="19">
        <v>8</v>
      </c>
      <c r="G1184" s="30">
        <v>1</v>
      </c>
      <c r="H1184" s="29">
        <v>0.27997685185185184</v>
      </c>
      <c r="I1184" s="35">
        <v>137.42883333333333</v>
      </c>
      <c r="J1184" s="35">
        <v>39.335000000000001</v>
      </c>
      <c r="K1184" s="28">
        <v>20</v>
      </c>
      <c r="L1184" s="28">
        <v>20</v>
      </c>
      <c r="M1184" s="28">
        <v>0</v>
      </c>
      <c r="N1184" s="36">
        <v>20.335100000000001</v>
      </c>
      <c r="O1184" s="35">
        <v>34.261600000000001</v>
      </c>
      <c r="P1184" s="20">
        <v>0.15604584705882374</v>
      </c>
      <c r="Q1184" s="20">
        <v>0.63325220196078469</v>
      </c>
      <c r="R1184" s="26" t="s">
        <v>393</v>
      </c>
      <c r="S1184" s="26">
        <v>1</v>
      </c>
      <c r="T1184" s="71" t="s">
        <v>626</v>
      </c>
    </row>
    <row r="1185" spans="1:20" s="14" customFormat="1" ht="12.75" customHeight="1">
      <c r="A1185" s="19" t="s">
        <v>392</v>
      </c>
      <c r="B1185" s="19" t="s">
        <v>380</v>
      </c>
      <c r="C1185" s="19" t="s">
        <v>514</v>
      </c>
      <c r="D1185" s="34">
        <v>43313</v>
      </c>
      <c r="E1185" s="19">
        <v>2018</v>
      </c>
      <c r="F1185" s="19">
        <v>8</v>
      </c>
      <c r="G1185" s="30">
        <v>1</v>
      </c>
      <c r="H1185" s="29">
        <v>0.28114583333333337</v>
      </c>
      <c r="I1185" s="35">
        <v>137.42883333333333</v>
      </c>
      <c r="J1185" s="35">
        <v>39.335000000000001</v>
      </c>
      <c r="K1185" s="28">
        <v>10</v>
      </c>
      <c r="L1185" s="28">
        <v>10</v>
      </c>
      <c r="M1185" s="28">
        <v>0</v>
      </c>
      <c r="N1185" s="36">
        <v>23.209399999999999</v>
      </c>
      <c r="O1185" s="35">
        <v>34.101399999999998</v>
      </c>
      <c r="P1185" s="20">
        <v>4.1097849411765086E-2</v>
      </c>
      <c r="Q1185" s="20">
        <v>-6.5659872941177255E-2</v>
      </c>
      <c r="R1185" s="26" t="s">
        <v>393</v>
      </c>
      <c r="S1185" s="26">
        <v>1</v>
      </c>
      <c r="T1185" s="71" t="s">
        <v>626</v>
      </c>
    </row>
    <row r="1186" spans="1:20" s="14" customFormat="1" ht="12.75" customHeight="1">
      <c r="A1186" s="19" t="s">
        <v>392</v>
      </c>
      <c r="B1186" s="19" t="s">
        <v>381</v>
      </c>
      <c r="C1186" s="19" t="s">
        <v>514</v>
      </c>
      <c r="D1186" s="34">
        <v>43312</v>
      </c>
      <c r="E1186" s="19">
        <v>2018</v>
      </c>
      <c r="F1186" s="19">
        <v>7</v>
      </c>
      <c r="G1186" s="30">
        <v>31</v>
      </c>
      <c r="H1186" s="29">
        <v>0.27775462962962966</v>
      </c>
      <c r="I1186" s="35">
        <v>138.41983333333334</v>
      </c>
      <c r="J1186" s="35">
        <v>38.578333333333333</v>
      </c>
      <c r="K1186" s="28">
        <v>10</v>
      </c>
      <c r="L1186" s="28">
        <v>10</v>
      </c>
      <c r="M1186" s="28">
        <v>0</v>
      </c>
      <c r="N1186" s="36">
        <v>24.3872</v>
      </c>
      <c r="O1186" s="35">
        <v>34.000599999999999</v>
      </c>
      <c r="P1186" s="20">
        <v>4.832653176470636E-2</v>
      </c>
      <c r="Q1186" s="20">
        <v>-0.1710801411764713</v>
      </c>
      <c r="R1186" s="26" t="s">
        <v>393</v>
      </c>
      <c r="S1186" s="26"/>
      <c r="T1186" s="71" t="s">
        <v>626</v>
      </c>
    </row>
    <row r="1187" spans="1:20" s="14" customFormat="1" ht="12.75" customHeight="1">
      <c r="A1187" s="19" t="s">
        <v>392</v>
      </c>
      <c r="B1187" s="19" t="s">
        <v>382</v>
      </c>
      <c r="C1187" s="19" t="s">
        <v>514</v>
      </c>
      <c r="D1187" s="34">
        <v>43312</v>
      </c>
      <c r="E1187" s="19">
        <v>2018</v>
      </c>
      <c r="F1187" s="19">
        <v>7</v>
      </c>
      <c r="G1187" s="30">
        <v>31</v>
      </c>
      <c r="H1187" s="29">
        <v>0.39501157407407406</v>
      </c>
      <c r="I1187" s="35">
        <v>138.25383333333335</v>
      </c>
      <c r="J1187" s="35">
        <v>38.831666666666663</v>
      </c>
      <c r="K1187" s="28">
        <v>500</v>
      </c>
      <c r="L1187" s="28">
        <v>500</v>
      </c>
      <c r="M1187" s="28">
        <v>0</v>
      </c>
      <c r="N1187" s="36">
        <v>0.76019999999999999</v>
      </c>
      <c r="O1187" s="35">
        <v>34.064300000000003</v>
      </c>
      <c r="P1187" s="20">
        <v>-3.6200829411764168E-2</v>
      </c>
      <c r="Q1187" s="20">
        <v>-0.79501225647058682</v>
      </c>
      <c r="R1187" s="26" t="s">
        <v>393</v>
      </c>
      <c r="S1187" s="26">
        <v>1</v>
      </c>
      <c r="T1187" s="71" t="s">
        <v>626</v>
      </c>
    </row>
    <row r="1188" spans="1:20" s="14" customFormat="1" ht="12.75" customHeight="1">
      <c r="A1188" s="19" t="s">
        <v>392</v>
      </c>
      <c r="B1188" s="19" t="s">
        <v>382</v>
      </c>
      <c r="C1188" s="19" t="s">
        <v>514</v>
      </c>
      <c r="D1188" s="34">
        <v>43312</v>
      </c>
      <c r="E1188" s="19">
        <v>2018</v>
      </c>
      <c r="F1188" s="19">
        <v>7</v>
      </c>
      <c r="G1188" s="30">
        <v>31</v>
      </c>
      <c r="H1188" s="29">
        <v>0.3971412037037037</v>
      </c>
      <c r="I1188" s="35">
        <v>138.25383333333335</v>
      </c>
      <c r="J1188" s="35">
        <v>38.831666666666663</v>
      </c>
      <c r="K1188" s="28">
        <v>400</v>
      </c>
      <c r="L1188" s="28">
        <v>400</v>
      </c>
      <c r="M1188" s="28">
        <v>0</v>
      </c>
      <c r="N1188" s="36">
        <v>1.0126999999999999</v>
      </c>
      <c r="O1188" s="35">
        <v>34.053699999999999</v>
      </c>
      <c r="P1188" s="20">
        <v>-7.6624635294118004E-2</v>
      </c>
      <c r="Q1188" s="20">
        <v>-1.0165124917647042</v>
      </c>
      <c r="R1188" s="26" t="s">
        <v>393</v>
      </c>
      <c r="S1188" s="26">
        <v>1</v>
      </c>
      <c r="T1188" s="71" t="s">
        <v>626</v>
      </c>
    </row>
    <row r="1189" spans="1:20" s="14" customFormat="1" ht="12.75" customHeight="1">
      <c r="A1189" s="19" t="s">
        <v>392</v>
      </c>
      <c r="B1189" s="19" t="s">
        <v>382</v>
      </c>
      <c r="C1189" s="19" t="s">
        <v>514</v>
      </c>
      <c r="D1189" s="34">
        <v>43312</v>
      </c>
      <c r="E1189" s="19">
        <v>2018</v>
      </c>
      <c r="F1189" s="19">
        <v>7</v>
      </c>
      <c r="G1189" s="30">
        <v>31</v>
      </c>
      <c r="H1189" s="29">
        <v>0.39900462962962963</v>
      </c>
      <c r="I1189" s="35">
        <v>138.25383333333335</v>
      </c>
      <c r="J1189" s="35">
        <v>38.831666666666663</v>
      </c>
      <c r="K1189" s="28">
        <v>300</v>
      </c>
      <c r="L1189" s="28">
        <v>300</v>
      </c>
      <c r="M1189" s="28">
        <v>0</v>
      </c>
      <c r="N1189" s="36">
        <v>1.8260000000000001</v>
      </c>
      <c r="O1189" s="35">
        <v>34.034300000000002</v>
      </c>
      <c r="P1189" s="20">
        <v>-2.8877241176470836E-2</v>
      </c>
      <c r="Q1189" s="20">
        <v>-0.78046476705882384</v>
      </c>
      <c r="R1189" s="26" t="s">
        <v>393</v>
      </c>
      <c r="S1189" s="26">
        <v>1</v>
      </c>
      <c r="T1189" s="71" t="s">
        <v>626</v>
      </c>
    </row>
    <row r="1190" spans="1:20" s="14" customFormat="1" ht="12.75" customHeight="1">
      <c r="A1190" s="19" t="s">
        <v>392</v>
      </c>
      <c r="B1190" s="19" t="s">
        <v>382</v>
      </c>
      <c r="C1190" s="19" t="s">
        <v>514</v>
      </c>
      <c r="D1190" s="34">
        <v>43312</v>
      </c>
      <c r="E1190" s="19">
        <v>2018</v>
      </c>
      <c r="F1190" s="19">
        <v>7</v>
      </c>
      <c r="G1190" s="30">
        <v>31</v>
      </c>
      <c r="H1190" s="29">
        <v>0.40075231481481483</v>
      </c>
      <c r="I1190" s="35">
        <v>138.25383333333335</v>
      </c>
      <c r="J1190" s="35">
        <v>38.831666666666663</v>
      </c>
      <c r="K1190" s="28">
        <v>200</v>
      </c>
      <c r="L1190" s="28">
        <v>200</v>
      </c>
      <c r="M1190" s="28">
        <v>0</v>
      </c>
      <c r="N1190" s="36">
        <v>5.0540000000000003</v>
      </c>
      <c r="O1190" s="35">
        <v>34.085700000000003</v>
      </c>
      <c r="P1190" s="20">
        <v>-7.6628470588233633E-3</v>
      </c>
      <c r="Q1190" s="20">
        <v>-0.32201696235294008</v>
      </c>
      <c r="R1190" s="26" t="s">
        <v>393</v>
      </c>
      <c r="S1190" s="26">
        <v>1</v>
      </c>
      <c r="T1190" s="71" t="s">
        <v>626</v>
      </c>
    </row>
    <row r="1191" spans="1:20" s="14" customFormat="1" ht="12.75" customHeight="1">
      <c r="A1191" s="19" t="s">
        <v>392</v>
      </c>
      <c r="B1191" s="19" t="s">
        <v>382</v>
      </c>
      <c r="C1191" s="19" t="s">
        <v>514</v>
      </c>
      <c r="D1191" s="34">
        <v>43312</v>
      </c>
      <c r="E1191" s="19">
        <v>2018</v>
      </c>
      <c r="F1191" s="19">
        <v>7</v>
      </c>
      <c r="G1191" s="30">
        <v>31</v>
      </c>
      <c r="H1191" s="29">
        <v>0.40199074074074076</v>
      </c>
      <c r="I1191" s="35">
        <v>138.25383333333335</v>
      </c>
      <c r="J1191" s="35">
        <v>38.831666666666663</v>
      </c>
      <c r="K1191" s="28">
        <v>150</v>
      </c>
      <c r="L1191" s="28">
        <v>150</v>
      </c>
      <c r="M1191" s="28">
        <v>0</v>
      </c>
      <c r="N1191" s="36">
        <v>8.8630999999999993</v>
      </c>
      <c r="O1191" s="35">
        <v>34.246499999999997</v>
      </c>
      <c r="P1191" s="20">
        <v>0.11682614705882388</v>
      </c>
      <c r="Q1191" s="20">
        <v>0.39334804235294207</v>
      </c>
      <c r="R1191" s="26" t="s">
        <v>393</v>
      </c>
      <c r="S1191" s="26">
        <v>1</v>
      </c>
      <c r="T1191" s="71" t="s">
        <v>626</v>
      </c>
    </row>
    <row r="1192" spans="1:20" s="14" customFormat="1" ht="12.75" customHeight="1">
      <c r="A1192" s="19" t="s">
        <v>392</v>
      </c>
      <c r="B1192" s="19" t="s">
        <v>382</v>
      </c>
      <c r="C1192" s="19" t="s">
        <v>514</v>
      </c>
      <c r="D1192" s="34">
        <v>43312</v>
      </c>
      <c r="E1192" s="19">
        <v>2018</v>
      </c>
      <c r="F1192" s="19">
        <v>7</v>
      </c>
      <c r="G1192" s="30">
        <v>31</v>
      </c>
      <c r="H1192" s="29">
        <v>0.40287037037037038</v>
      </c>
      <c r="I1192" s="35">
        <v>138.25383333333335</v>
      </c>
      <c r="J1192" s="35">
        <v>38.831666666666663</v>
      </c>
      <c r="K1192" s="28">
        <v>125</v>
      </c>
      <c r="L1192" s="28">
        <v>125</v>
      </c>
      <c r="M1192" s="28">
        <v>0</v>
      </c>
      <c r="N1192" s="36">
        <v>10.118600000000001</v>
      </c>
      <c r="O1192" s="35">
        <v>34.3033</v>
      </c>
      <c r="P1192" s="20">
        <v>0.1088542411764708</v>
      </c>
      <c r="Q1192" s="20">
        <v>0.58683772705882475</v>
      </c>
      <c r="R1192" s="26" t="s">
        <v>393</v>
      </c>
      <c r="S1192" s="26">
        <v>1</v>
      </c>
      <c r="T1192" s="71" t="s">
        <v>626</v>
      </c>
    </row>
    <row r="1193" spans="1:20" s="14" customFormat="1" ht="12.75" customHeight="1">
      <c r="A1193" s="19" t="s">
        <v>392</v>
      </c>
      <c r="B1193" s="19" t="s">
        <v>382</v>
      </c>
      <c r="C1193" s="19" t="s">
        <v>514</v>
      </c>
      <c r="D1193" s="34">
        <v>43312</v>
      </c>
      <c r="E1193" s="19">
        <v>2018</v>
      </c>
      <c r="F1193" s="19">
        <v>7</v>
      </c>
      <c r="G1193" s="30">
        <v>31</v>
      </c>
      <c r="H1193" s="29">
        <v>0.40369212962962964</v>
      </c>
      <c r="I1193" s="35">
        <v>138.25383333333335</v>
      </c>
      <c r="J1193" s="35">
        <v>38.831666666666663</v>
      </c>
      <c r="K1193" s="28">
        <v>100</v>
      </c>
      <c r="L1193" s="28">
        <v>100</v>
      </c>
      <c r="M1193" s="28">
        <v>0</v>
      </c>
      <c r="N1193" s="36">
        <v>12.2064</v>
      </c>
      <c r="O1193" s="35">
        <v>34.414200000000001</v>
      </c>
      <c r="P1193" s="20">
        <v>0.21762753529411771</v>
      </c>
      <c r="Q1193" s="20">
        <v>0.98880297176470755</v>
      </c>
      <c r="R1193" s="26" t="s">
        <v>393</v>
      </c>
      <c r="S1193" s="26">
        <v>1</v>
      </c>
      <c r="T1193" s="71" t="s">
        <v>626</v>
      </c>
    </row>
    <row r="1194" spans="1:20" s="14" customFormat="1" ht="12.75" customHeight="1">
      <c r="A1194" s="19" t="s">
        <v>392</v>
      </c>
      <c r="B1194" s="19" t="s">
        <v>382</v>
      </c>
      <c r="C1194" s="19" t="s">
        <v>514</v>
      </c>
      <c r="D1194" s="34">
        <v>43312</v>
      </c>
      <c r="E1194" s="19">
        <v>2018</v>
      </c>
      <c r="F1194" s="19">
        <v>7</v>
      </c>
      <c r="G1194" s="30">
        <v>31</v>
      </c>
      <c r="H1194" s="29">
        <v>0.40434027777777781</v>
      </c>
      <c r="I1194" s="35">
        <v>138.25383333333335</v>
      </c>
      <c r="J1194" s="35">
        <v>38.831666666666663</v>
      </c>
      <c r="K1194" s="28">
        <v>80</v>
      </c>
      <c r="L1194" s="28">
        <v>80</v>
      </c>
      <c r="M1194" s="28">
        <v>0</v>
      </c>
      <c r="N1194" s="36">
        <v>14.69</v>
      </c>
      <c r="O1194" s="35">
        <v>34.512599999999999</v>
      </c>
      <c r="P1194" s="20">
        <v>0.19431211176470553</v>
      </c>
      <c r="Q1194" s="20">
        <v>1.1387078705882363</v>
      </c>
      <c r="R1194" s="26" t="s">
        <v>393</v>
      </c>
      <c r="S1194" s="26">
        <v>1</v>
      </c>
      <c r="T1194" s="71" t="s">
        <v>626</v>
      </c>
    </row>
    <row r="1195" spans="1:20" s="14" customFormat="1" ht="12.75" customHeight="1">
      <c r="A1195" s="19" t="s">
        <v>392</v>
      </c>
      <c r="B1195" s="19" t="s">
        <v>382</v>
      </c>
      <c r="C1195" s="19" t="s">
        <v>514</v>
      </c>
      <c r="D1195" s="34">
        <v>43312</v>
      </c>
      <c r="E1195" s="19">
        <v>2018</v>
      </c>
      <c r="F1195" s="19">
        <v>7</v>
      </c>
      <c r="G1195" s="30">
        <v>31</v>
      </c>
      <c r="H1195" s="29">
        <v>0.40502314814814816</v>
      </c>
      <c r="I1195" s="35">
        <v>138.25383333333335</v>
      </c>
      <c r="J1195" s="35">
        <v>38.831666666666663</v>
      </c>
      <c r="K1195" s="28">
        <v>60</v>
      </c>
      <c r="L1195" s="28">
        <v>60</v>
      </c>
      <c r="M1195" s="28">
        <v>0</v>
      </c>
      <c r="N1195" s="36">
        <v>16.092199999999998</v>
      </c>
      <c r="O1195" s="35">
        <v>34.538899999999998</v>
      </c>
      <c r="P1195" s="20">
        <v>0.19185090588235276</v>
      </c>
      <c r="Q1195" s="20">
        <v>1.3357277152941158</v>
      </c>
      <c r="R1195" s="26" t="s">
        <v>393</v>
      </c>
      <c r="S1195" s="26">
        <v>1</v>
      </c>
      <c r="T1195" s="71" t="s">
        <v>626</v>
      </c>
    </row>
    <row r="1196" spans="1:20" s="14" customFormat="1" ht="12.75" customHeight="1">
      <c r="A1196" s="19" t="s">
        <v>392</v>
      </c>
      <c r="B1196" s="19" t="s">
        <v>382</v>
      </c>
      <c r="C1196" s="19" t="s">
        <v>514</v>
      </c>
      <c r="D1196" s="34">
        <v>43312</v>
      </c>
      <c r="E1196" s="19">
        <v>2018</v>
      </c>
      <c r="F1196" s="19">
        <v>7</v>
      </c>
      <c r="G1196" s="30">
        <v>31</v>
      </c>
      <c r="H1196" s="29">
        <v>0.40552083333333333</v>
      </c>
      <c r="I1196" s="35">
        <v>138.25383333333335</v>
      </c>
      <c r="J1196" s="35">
        <v>38.831666666666663</v>
      </c>
      <c r="K1196" s="28">
        <v>50</v>
      </c>
      <c r="L1196" s="28">
        <v>50</v>
      </c>
      <c r="M1196" s="28">
        <v>0</v>
      </c>
      <c r="N1196" s="36">
        <v>16.750599999999999</v>
      </c>
      <c r="O1196" s="35">
        <v>34.533799999999999</v>
      </c>
      <c r="P1196" s="20">
        <v>0.16163209999999895</v>
      </c>
      <c r="Q1196" s="20">
        <v>1.2387636799999999</v>
      </c>
      <c r="R1196" s="26" t="s">
        <v>393</v>
      </c>
      <c r="S1196" s="26">
        <v>1</v>
      </c>
      <c r="T1196" s="71" t="s">
        <v>626</v>
      </c>
    </row>
    <row r="1197" spans="1:20" s="14" customFormat="1" ht="12.75" customHeight="1">
      <c r="A1197" s="19" t="s">
        <v>392</v>
      </c>
      <c r="B1197" s="19" t="s">
        <v>382</v>
      </c>
      <c r="C1197" s="19" t="s">
        <v>514</v>
      </c>
      <c r="D1197" s="34">
        <v>43312</v>
      </c>
      <c r="E1197" s="19">
        <v>2018</v>
      </c>
      <c r="F1197" s="19">
        <v>7</v>
      </c>
      <c r="G1197" s="30">
        <v>31</v>
      </c>
      <c r="H1197" s="29">
        <v>0.40604166666666663</v>
      </c>
      <c r="I1197" s="35">
        <v>138.25383333333335</v>
      </c>
      <c r="J1197" s="35">
        <v>38.831666666666663</v>
      </c>
      <c r="K1197" s="28">
        <v>40</v>
      </c>
      <c r="L1197" s="28">
        <v>40</v>
      </c>
      <c r="M1197" s="28">
        <v>0</v>
      </c>
      <c r="N1197" s="36">
        <v>17.743600000000001</v>
      </c>
      <c r="O1197" s="35">
        <v>34.503900000000002</v>
      </c>
      <c r="P1197" s="20">
        <v>0.17672349411764676</v>
      </c>
      <c r="Q1197" s="20">
        <v>1.1370927647058835</v>
      </c>
      <c r="R1197" s="26" t="s">
        <v>393</v>
      </c>
      <c r="S1197" s="26">
        <v>1</v>
      </c>
      <c r="T1197" s="71" t="s">
        <v>626</v>
      </c>
    </row>
    <row r="1198" spans="1:20" s="14" customFormat="1" ht="12.75" customHeight="1">
      <c r="A1198" s="19" t="s">
        <v>392</v>
      </c>
      <c r="B1198" s="19" t="s">
        <v>382</v>
      </c>
      <c r="C1198" s="19" t="s">
        <v>514</v>
      </c>
      <c r="D1198" s="34">
        <v>43312</v>
      </c>
      <c r="E1198" s="19">
        <v>2018</v>
      </c>
      <c r="F1198" s="19">
        <v>7</v>
      </c>
      <c r="G1198" s="30">
        <v>31</v>
      </c>
      <c r="H1198" s="29">
        <v>0.40653935185185186</v>
      </c>
      <c r="I1198" s="35">
        <v>138.25383333333335</v>
      </c>
      <c r="J1198" s="35">
        <v>38.831666666666663</v>
      </c>
      <c r="K1198" s="28">
        <v>30</v>
      </c>
      <c r="L1198" s="28">
        <v>30</v>
      </c>
      <c r="M1198" s="28">
        <v>0</v>
      </c>
      <c r="N1198" s="36">
        <v>18.971399999999999</v>
      </c>
      <c r="O1198" s="35">
        <v>34.415399999999998</v>
      </c>
      <c r="P1198" s="20">
        <v>0.12895208823529369</v>
      </c>
      <c r="Q1198" s="20">
        <v>0.95520876941176525</v>
      </c>
      <c r="R1198" s="26" t="s">
        <v>393</v>
      </c>
      <c r="S1198" s="26">
        <v>1</v>
      </c>
      <c r="T1198" s="71" t="s">
        <v>626</v>
      </c>
    </row>
    <row r="1199" spans="1:20" s="14" customFormat="1" ht="12.75" customHeight="1">
      <c r="A1199" s="19" t="s">
        <v>392</v>
      </c>
      <c r="B1199" s="19" t="s">
        <v>382</v>
      </c>
      <c r="C1199" s="19" t="s">
        <v>514</v>
      </c>
      <c r="D1199" s="34">
        <v>43312</v>
      </c>
      <c r="E1199" s="19">
        <v>2018</v>
      </c>
      <c r="F1199" s="19">
        <v>7</v>
      </c>
      <c r="G1199" s="30">
        <v>31</v>
      </c>
      <c r="H1199" s="29">
        <v>0.40768518518518521</v>
      </c>
      <c r="I1199" s="35">
        <v>138.25383333333335</v>
      </c>
      <c r="J1199" s="35">
        <v>38.831666666666663</v>
      </c>
      <c r="K1199" s="28">
        <v>20</v>
      </c>
      <c r="L1199" s="28">
        <v>20</v>
      </c>
      <c r="M1199" s="28">
        <v>0</v>
      </c>
      <c r="N1199" s="36">
        <v>20.869599999999998</v>
      </c>
      <c r="O1199" s="35">
        <v>34.261400000000002</v>
      </c>
      <c r="P1199" s="20">
        <v>9.8120982352940977E-2</v>
      </c>
      <c r="Q1199" s="20">
        <v>0.65996741411764859</v>
      </c>
      <c r="R1199" s="26" t="s">
        <v>393</v>
      </c>
      <c r="S1199" s="26">
        <v>1</v>
      </c>
      <c r="T1199" s="71" t="s">
        <v>626</v>
      </c>
    </row>
    <row r="1200" spans="1:20" s="14" customFormat="1" ht="12.75" customHeight="1">
      <c r="A1200" s="19" t="s">
        <v>392</v>
      </c>
      <c r="B1200" s="19" t="s">
        <v>382</v>
      </c>
      <c r="C1200" s="19" t="s">
        <v>514</v>
      </c>
      <c r="D1200" s="34">
        <v>43312</v>
      </c>
      <c r="E1200" s="19">
        <v>2018</v>
      </c>
      <c r="F1200" s="19">
        <v>7</v>
      </c>
      <c r="G1200" s="30">
        <v>31</v>
      </c>
      <c r="H1200" s="29">
        <v>0.4082986111111111</v>
      </c>
      <c r="I1200" s="35">
        <v>138.25383333333335</v>
      </c>
      <c r="J1200" s="35">
        <v>38.831666666666663</v>
      </c>
      <c r="K1200" s="28">
        <v>10</v>
      </c>
      <c r="L1200" s="28">
        <v>10</v>
      </c>
      <c r="M1200" s="28">
        <v>0</v>
      </c>
      <c r="N1200" s="36">
        <v>24.999300000000002</v>
      </c>
      <c r="O1200" s="35">
        <v>34.066099999999999</v>
      </c>
      <c r="P1200" s="20">
        <v>2.1775576470588032E-2</v>
      </c>
      <c r="Q1200" s="20">
        <v>-9.7528781176469792E-2</v>
      </c>
      <c r="R1200" s="26" t="s">
        <v>393</v>
      </c>
      <c r="S1200" s="26">
        <v>1</v>
      </c>
      <c r="T1200" s="71" t="s">
        <v>626</v>
      </c>
    </row>
    <row r="1201" spans="1:20" s="14" customFormat="1" ht="12.75" customHeight="1">
      <c r="A1201" s="19" t="s">
        <v>392</v>
      </c>
      <c r="B1201" s="19" t="s">
        <v>383</v>
      </c>
      <c r="C1201" s="19" t="s">
        <v>514</v>
      </c>
      <c r="D1201" s="34">
        <v>43312</v>
      </c>
      <c r="E1201" s="19">
        <v>2018</v>
      </c>
      <c r="F1201" s="19">
        <v>7</v>
      </c>
      <c r="G1201" s="30">
        <v>31</v>
      </c>
      <c r="H1201" s="29">
        <v>0.53531249999999997</v>
      </c>
      <c r="I1201" s="35">
        <v>138.07849999999999</v>
      </c>
      <c r="J1201" s="35">
        <v>39.081666666666663</v>
      </c>
      <c r="K1201" s="28">
        <v>10</v>
      </c>
      <c r="L1201" s="28">
        <v>10</v>
      </c>
      <c r="M1201" s="28">
        <v>0</v>
      </c>
      <c r="N1201" s="36">
        <v>23.971900000000002</v>
      </c>
      <c r="O1201" s="35">
        <v>34.110900000000001</v>
      </c>
      <c r="P1201" s="20">
        <v>4.8704770588234858E-2</v>
      </c>
      <c r="Q1201" s="20">
        <v>7.1053663529411892E-2</v>
      </c>
      <c r="R1201" s="26" t="s">
        <v>393</v>
      </c>
      <c r="S1201" s="26"/>
      <c r="T1201" s="71" t="s">
        <v>626</v>
      </c>
    </row>
    <row r="1202" spans="1:20" s="14" customFormat="1" ht="12.75" customHeight="1">
      <c r="A1202" s="19" t="s">
        <v>392</v>
      </c>
      <c r="B1202" s="19" t="s">
        <v>384</v>
      </c>
      <c r="C1202" s="19" t="s">
        <v>514</v>
      </c>
      <c r="D1202" s="34">
        <v>43312</v>
      </c>
      <c r="E1202" s="19">
        <v>2018</v>
      </c>
      <c r="F1202" s="19">
        <v>7</v>
      </c>
      <c r="G1202" s="30">
        <v>31</v>
      </c>
      <c r="H1202" s="29">
        <v>0.65614583333333332</v>
      </c>
      <c r="I1202" s="35">
        <v>137.92033333333333</v>
      </c>
      <c r="J1202" s="35">
        <v>39.335000000000001</v>
      </c>
      <c r="K1202" s="28">
        <v>10</v>
      </c>
      <c r="L1202" s="28">
        <v>10</v>
      </c>
      <c r="M1202" s="28">
        <v>0</v>
      </c>
      <c r="N1202" s="36">
        <v>24.337399999999999</v>
      </c>
      <c r="O1202" s="35">
        <v>33.952599999999997</v>
      </c>
      <c r="P1202" s="20">
        <v>5.3992729411769247E-3</v>
      </c>
      <c r="Q1202" s="20">
        <v>-0.19359819647058885</v>
      </c>
      <c r="R1202" s="26" t="s">
        <v>393</v>
      </c>
      <c r="S1202" s="26"/>
      <c r="T1202" s="71" t="s">
        <v>626</v>
      </c>
    </row>
    <row r="1203" spans="1:20" s="14" customFormat="1" ht="12.75" customHeight="1">
      <c r="A1203" s="19" t="s">
        <v>392</v>
      </c>
      <c r="B1203" s="19" t="s">
        <v>385</v>
      </c>
      <c r="C1203" s="19" t="s">
        <v>514</v>
      </c>
      <c r="D1203" s="34">
        <v>43312</v>
      </c>
      <c r="E1203" s="19">
        <v>2018</v>
      </c>
      <c r="F1203" s="19">
        <v>7</v>
      </c>
      <c r="G1203" s="30">
        <v>31</v>
      </c>
      <c r="H1203" s="29">
        <v>0.77106481481481481</v>
      </c>
      <c r="I1203" s="35">
        <v>137.77183333333335</v>
      </c>
      <c r="J1203" s="35">
        <v>39.586666666666666</v>
      </c>
      <c r="K1203" s="28">
        <v>10</v>
      </c>
      <c r="L1203" s="28">
        <v>10</v>
      </c>
      <c r="M1203" s="28">
        <v>0</v>
      </c>
      <c r="N1203" s="36">
        <v>22.7562</v>
      </c>
      <c r="O1203" s="35">
        <v>34.084499999999998</v>
      </c>
      <c r="P1203" s="20">
        <v>2.3237863529411484E-2</v>
      </c>
      <c r="Q1203" s="20">
        <v>8.5030708235292352E-2</v>
      </c>
      <c r="R1203" s="26" t="s">
        <v>393</v>
      </c>
      <c r="S1203" s="26"/>
      <c r="T1203" s="71" t="s">
        <v>626</v>
      </c>
    </row>
    <row r="1204" spans="1:20" s="66" customFormat="1" ht="12.75" customHeight="1">
      <c r="A1204" s="58" t="s">
        <v>417</v>
      </c>
      <c r="B1204" s="58" t="s">
        <v>418</v>
      </c>
      <c r="C1204" s="58" t="s">
        <v>514</v>
      </c>
      <c r="D1204" s="59">
        <v>43342</v>
      </c>
      <c r="E1204" s="58">
        <v>2018</v>
      </c>
      <c r="F1204" s="58">
        <v>8</v>
      </c>
      <c r="G1204" s="60">
        <v>30</v>
      </c>
      <c r="H1204" s="61">
        <v>0.81207175925925934</v>
      </c>
      <c r="I1204" s="62">
        <v>138.24933329999999</v>
      </c>
      <c r="J1204" s="62">
        <v>37.332166669999999</v>
      </c>
      <c r="K1204" s="67">
        <v>10</v>
      </c>
      <c r="L1204" s="67">
        <v>10</v>
      </c>
      <c r="M1204" s="63">
        <v>0</v>
      </c>
      <c r="N1204" s="68">
        <v>27.156300000000002</v>
      </c>
      <c r="O1204" s="69">
        <v>32.464100000000002</v>
      </c>
      <c r="P1204" s="64">
        <v>-0.56982313411764696</v>
      </c>
      <c r="Q1204" s="64">
        <v>-4.0458946529411772</v>
      </c>
      <c r="R1204" s="65" t="s">
        <v>393</v>
      </c>
      <c r="S1204" s="65"/>
      <c r="T1204" s="71" t="s">
        <v>626</v>
      </c>
    </row>
    <row r="1205" spans="1:20" s="14" customFormat="1" ht="12.75" customHeight="1">
      <c r="A1205" s="19" t="s">
        <v>417</v>
      </c>
      <c r="B1205" s="19" t="s">
        <v>419</v>
      </c>
      <c r="C1205" s="19" t="s">
        <v>514</v>
      </c>
      <c r="D1205" s="34">
        <v>43342</v>
      </c>
      <c r="E1205" s="19">
        <v>2018</v>
      </c>
      <c r="F1205" s="19">
        <v>8</v>
      </c>
      <c r="G1205" s="30">
        <v>30</v>
      </c>
      <c r="H1205" s="29">
        <v>0.93568287037037035</v>
      </c>
      <c r="I1205" s="35">
        <v>138.08316669999999</v>
      </c>
      <c r="J1205" s="35">
        <v>37.585000000000001</v>
      </c>
      <c r="K1205" s="28">
        <v>500</v>
      </c>
      <c r="L1205" s="28">
        <v>500</v>
      </c>
      <c r="M1205" s="28">
        <v>0</v>
      </c>
      <c r="N1205" s="36">
        <v>0.78759999999999997</v>
      </c>
      <c r="O1205" s="35">
        <v>34.0578</v>
      </c>
      <c r="P1205" s="20">
        <v>-4.4022927058823491E-2</v>
      </c>
      <c r="Q1205" s="20">
        <v>-0.86220887647058753</v>
      </c>
      <c r="R1205" s="26" t="s">
        <v>393</v>
      </c>
      <c r="S1205" s="26">
        <v>1</v>
      </c>
      <c r="T1205" s="71" t="s">
        <v>626</v>
      </c>
    </row>
    <row r="1206" spans="1:20" s="14" customFormat="1" ht="12.75" customHeight="1">
      <c r="A1206" s="19" t="s">
        <v>417</v>
      </c>
      <c r="B1206" s="19" t="s">
        <v>419</v>
      </c>
      <c r="C1206" s="19" t="s">
        <v>514</v>
      </c>
      <c r="D1206" s="34">
        <v>43342</v>
      </c>
      <c r="E1206" s="19">
        <v>2018</v>
      </c>
      <c r="F1206" s="19">
        <v>8</v>
      </c>
      <c r="G1206" s="30">
        <v>30</v>
      </c>
      <c r="H1206" s="29">
        <v>0.93745370370370373</v>
      </c>
      <c r="I1206" s="35">
        <v>138.08316669999999</v>
      </c>
      <c r="J1206" s="35">
        <v>37.585000000000001</v>
      </c>
      <c r="K1206" s="28">
        <v>400</v>
      </c>
      <c r="L1206" s="28">
        <v>400</v>
      </c>
      <c r="M1206" s="28">
        <v>0</v>
      </c>
      <c r="N1206" s="36">
        <v>1.1103000000000001</v>
      </c>
      <c r="O1206" s="35">
        <v>34.048400000000001</v>
      </c>
      <c r="P1206" s="20">
        <v>-5.1934079999999438E-2</v>
      </c>
      <c r="Q1206" s="20">
        <v>-0.76161089999999909</v>
      </c>
      <c r="R1206" s="26" t="s">
        <v>393</v>
      </c>
      <c r="S1206" s="26">
        <v>1</v>
      </c>
      <c r="T1206" s="71" t="s">
        <v>626</v>
      </c>
    </row>
    <row r="1207" spans="1:20" s="14" customFormat="1" ht="12.75" customHeight="1">
      <c r="A1207" s="19" t="s">
        <v>417</v>
      </c>
      <c r="B1207" s="19" t="s">
        <v>419</v>
      </c>
      <c r="C1207" s="19" t="s">
        <v>514</v>
      </c>
      <c r="D1207" s="34">
        <v>43342</v>
      </c>
      <c r="E1207" s="19">
        <v>2018</v>
      </c>
      <c r="F1207" s="19">
        <v>8</v>
      </c>
      <c r="G1207" s="30">
        <v>30</v>
      </c>
      <c r="H1207" s="29">
        <v>0.93887731481481485</v>
      </c>
      <c r="I1207" s="35">
        <v>138.08316669999999</v>
      </c>
      <c r="J1207" s="35">
        <v>37.585000000000001</v>
      </c>
      <c r="K1207" s="28">
        <v>300</v>
      </c>
      <c r="L1207" s="28">
        <v>300</v>
      </c>
      <c r="M1207" s="28">
        <v>0</v>
      </c>
      <c r="N1207" s="36">
        <v>2.3927</v>
      </c>
      <c r="O1207" s="35">
        <v>34.0154</v>
      </c>
      <c r="P1207" s="20">
        <v>-4.95309929411758E-2</v>
      </c>
      <c r="Q1207" s="20">
        <v>-0.39365232352941248</v>
      </c>
      <c r="R1207" s="26" t="s">
        <v>393</v>
      </c>
      <c r="S1207" s="26">
        <v>1</v>
      </c>
      <c r="T1207" s="71" t="s">
        <v>626</v>
      </c>
    </row>
    <row r="1208" spans="1:20" s="14" customFormat="1" ht="12.75" customHeight="1">
      <c r="A1208" s="19" t="s">
        <v>417</v>
      </c>
      <c r="B1208" s="19" t="s">
        <v>419</v>
      </c>
      <c r="C1208" s="19" t="s">
        <v>514</v>
      </c>
      <c r="D1208" s="34">
        <v>43342</v>
      </c>
      <c r="E1208" s="19">
        <v>2018</v>
      </c>
      <c r="F1208" s="19">
        <v>8</v>
      </c>
      <c r="G1208" s="30">
        <v>30</v>
      </c>
      <c r="H1208" s="29">
        <v>0.93991898148148145</v>
      </c>
      <c r="I1208" s="35">
        <v>138.08316669999999</v>
      </c>
      <c r="J1208" s="35">
        <v>37.585000000000001</v>
      </c>
      <c r="K1208" s="28">
        <v>250</v>
      </c>
      <c r="L1208" s="28">
        <v>250</v>
      </c>
      <c r="M1208" s="28">
        <v>0</v>
      </c>
      <c r="N1208" s="36">
        <v>5.3162000000000003</v>
      </c>
      <c r="O1208" s="35">
        <v>34.090299999999999</v>
      </c>
      <c r="P1208" s="20">
        <v>4.2262174117647211E-2</v>
      </c>
      <c r="Q1208" s="20">
        <v>-0.1870523470588239</v>
      </c>
      <c r="R1208" s="26" t="s">
        <v>393</v>
      </c>
      <c r="S1208" s="26">
        <v>1</v>
      </c>
      <c r="T1208" s="71" t="s">
        <v>626</v>
      </c>
    </row>
    <row r="1209" spans="1:20" s="14" customFormat="1" ht="12.75" customHeight="1">
      <c r="A1209" s="19" t="s">
        <v>417</v>
      </c>
      <c r="B1209" s="19" t="s">
        <v>419</v>
      </c>
      <c r="C1209" s="19" t="s">
        <v>514</v>
      </c>
      <c r="D1209" s="34">
        <v>43342</v>
      </c>
      <c r="E1209" s="19">
        <v>2018</v>
      </c>
      <c r="F1209" s="19">
        <v>8</v>
      </c>
      <c r="G1209" s="30">
        <v>30</v>
      </c>
      <c r="H1209" s="29">
        <v>0.94047453703703709</v>
      </c>
      <c r="I1209" s="35">
        <v>138.08316669999999</v>
      </c>
      <c r="J1209" s="35">
        <v>37.585000000000001</v>
      </c>
      <c r="K1209" s="28">
        <v>225</v>
      </c>
      <c r="L1209" s="28">
        <v>225</v>
      </c>
      <c r="M1209" s="28">
        <v>0</v>
      </c>
      <c r="N1209" s="36">
        <v>6.7175000000000002</v>
      </c>
      <c r="O1209" s="35">
        <v>34.129899999999999</v>
      </c>
      <c r="P1209" s="20">
        <v>6.2260141176471384E-2</v>
      </c>
      <c r="Q1209" s="20">
        <v>6.2537329411764375E-2</v>
      </c>
      <c r="R1209" s="26" t="s">
        <v>393</v>
      </c>
      <c r="S1209" s="26">
        <v>1</v>
      </c>
      <c r="T1209" s="71" t="s">
        <v>626</v>
      </c>
    </row>
    <row r="1210" spans="1:20" s="14" customFormat="1" ht="12.75" customHeight="1">
      <c r="A1210" s="19" t="s">
        <v>417</v>
      </c>
      <c r="B1210" s="19" t="s">
        <v>419</v>
      </c>
      <c r="C1210" s="19" t="s">
        <v>514</v>
      </c>
      <c r="D1210" s="34">
        <v>43342</v>
      </c>
      <c r="E1210" s="19">
        <v>2018</v>
      </c>
      <c r="F1210" s="19">
        <v>8</v>
      </c>
      <c r="G1210" s="30">
        <v>30</v>
      </c>
      <c r="H1210" s="29">
        <v>0.9410532407407407</v>
      </c>
      <c r="I1210" s="35">
        <v>138.08316669999999</v>
      </c>
      <c r="J1210" s="35">
        <v>37.585000000000001</v>
      </c>
      <c r="K1210" s="28">
        <v>200</v>
      </c>
      <c r="L1210" s="28">
        <v>200</v>
      </c>
      <c r="M1210" s="28">
        <v>0</v>
      </c>
      <c r="N1210" s="36">
        <v>7.6393000000000004</v>
      </c>
      <c r="O1210" s="35">
        <v>34.179000000000002</v>
      </c>
      <c r="P1210" s="20">
        <v>0.11825682823529404</v>
      </c>
      <c r="Q1210" s="20">
        <v>0.27757820588235305</v>
      </c>
      <c r="R1210" s="26" t="s">
        <v>393</v>
      </c>
      <c r="S1210" s="26">
        <v>1</v>
      </c>
      <c r="T1210" s="71" t="s">
        <v>626</v>
      </c>
    </row>
    <row r="1211" spans="1:20" s="14" customFormat="1" ht="12.75" customHeight="1">
      <c r="A1211" s="19" t="s">
        <v>417</v>
      </c>
      <c r="B1211" s="19" t="s">
        <v>419</v>
      </c>
      <c r="C1211" s="19" t="s">
        <v>514</v>
      </c>
      <c r="D1211" s="34">
        <v>43342</v>
      </c>
      <c r="E1211" s="19">
        <v>2018</v>
      </c>
      <c r="F1211" s="19">
        <v>8</v>
      </c>
      <c r="G1211" s="30">
        <v>30</v>
      </c>
      <c r="H1211" s="29">
        <v>0.9415972222222222</v>
      </c>
      <c r="I1211" s="35">
        <v>138.08316669999999</v>
      </c>
      <c r="J1211" s="35">
        <v>37.585000000000001</v>
      </c>
      <c r="K1211" s="28">
        <v>175</v>
      </c>
      <c r="L1211" s="28">
        <v>175</v>
      </c>
      <c r="M1211" s="28">
        <v>0</v>
      </c>
      <c r="N1211" s="36">
        <v>9.1092999999999993</v>
      </c>
      <c r="O1211" s="35">
        <v>34.241700000000002</v>
      </c>
      <c r="P1211" s="20">
        <v>0.15160263529411799</v>
      </c>
      <c r="Q1211" s="20">
        <v>0.55739808235293964</v>
      </c>
      <c r="R1211" s="26" t="s">
        <v>393</v>
      </c>
      <c r="S1211" s="26">
        <v>1</v>
      </c>
      <c r="T1211" s="71" t="s">
        <v>626</v>
      </c>
    </row>
    <row r="1212" spans="1:20" s="14" customFormat="1" ht="12.75" customHeight="1">
      <c r="A1212" s="19" t="s">
        <v>417</v>
      </c>
      <c r="B1212" s="19" t="s">
        <v>419</v>
      </c>
      <c r="C1212" s="19" t="s">
        <v>514</v>
      </c>
      <c r="D1212" s="34">
        <v>43342</v>
      </c>
      <c r="E1212" s="19">
        <v>2018</v>
      </c>
      <c r="F1212" s="19">
        <v>8</v>
      </c>
      <c r="G1212" s="30">
        <v>30</v>
      </c>
      <c r="H1212" s="29">
        <v>0.94229166666666664</v>
      </c>
      <c r="I1212" s="35">
        <v>138.08316669999999</v>
      </c>
      <c r="J1212" s="35">
        <v>37.585000000000001</v>
      </c>
      <c r="K1212" s="28">
        <v>150</v>
      </c>
      <c r="L1212" s="28">
        <v>150</v>
      </c>
      <c r="M1212" s="28">
        <v>0</v>
      </c>
      <c r="N1212" s="36">
        <v>10.1983</v>
      </c>
      <c r="O1212" s="35">
        <v>34.303100000000001</v>
      </c>
      <c r="P1212" s="20">
        <v>8.3274564705882348E-2</v>
      </c>
      <c r="Q1212" s="20">
        <v>0.50145159764705838</v>
      </c>
      <c r="R1212" s="26" t="s">
        <v>393</v>
      </c>
      <c r="S1212" s="26">
        <v>1</v>
      </c>
      <c r="T1212" s="71" t="s">
        <v>626</v>
      </c>
    </row>
    <row r="1213" spans="1:20" s="14" customFormat="1" ht="12.75" customHeight="1">
      <c r="A1213" s="19" t="s">
        <v>417</v>
      </c>
      <c r="B1213" s="19" t="s">
        <v>419</v>
      </c>
      <c r="C1213" s="19" t="s">
        <v>514</v>
      </c>
      <c r="D1213" s="34">
        <v>43342</v>
      </c>
      <c r="E1213" s="19">
        <v>2018</v>
      </c>
      <c r="F1213" s="19">
        <v>8</v>
      </c>
      <c r="G1213" s="30">
        <v>30</v>
      </c>
      <c r="H1213" s="29">
        <v>0.94353009259259257</v>
      </c>
      <c r="I1213" s="35">
        <v>138.08316669999999</v>
      </c>
      <c r="J1213" s="35">
        <v>37.585000000000001</v>
      </c>
      <c r="K1213" s="28">
        <v>100</v>
      </c>
      <c r="L1213" s="28">
        <v>100</v>
      </c>
      <c r="M1213" s="28">
        <v>0</v>
      </c>
      <c r="N1213" s="36">
        <v>14.5722</v>
      </c>
      <c r="O1213" s="35">
        <v>34.4587</v>
      </c>
      <c r="P1213" s="20">
        <v>0.11551711764705841</v>
      </c>
      <c r="Q1213" s="20">
        <v>1.0143177411764714</v>
      </c>
      <c r="R1213" s="26" t="s">
        <v>393</v>
      </c>
      <c r="S1213" s="26">
        <v>1</v>
      </c>
      <c r="T1213" s="71" t="s">
        <v>626</v>
      </c>
    </row>
    <row r="1214" spans="1:20" s="14" customFormat="1" ht="12.75" customHeight="1">
      <c r="A1214" s="19" t="s">
        <v>417</v>
      </c>
      <c r="B1214" s="19" t="s">
        <v>419</v>
      </c>
      <c r="C1214" s="19" t="s">
        <v>514</v>
      </c>
      <c r="D1214" s="34">
        <v>43342</v>
      </c>
      <c r="E1214" s="19">
        <v>2018</v>
      </c>
      <c r="F1214" s="19">
        <v>8</v>
      </c>
      <c r="G1214" s="30">
        <v>30</v>
      </c>
      <c r="H1214" s="29">
        <v>0.94390046296296293</v>
      </c>
      <c r="I1214" s="35">
        <v>138.08316669999999</v>
      </c>
      <c r="J1214" s="35">
        <v>37.585000000000001</v>
      </c>
      <c r="K1214" s="28">
        <v>90</v>
      </c>
      <c r="L1214" s="28">
        <v>90</v>
      </c>
      <c r="M1214" s="28">
        <v>0</v>
      </c>
      <c r="N1214" s="36">
        <v>15.561199999999999</v>
      </c>
      <c r="O1214" s="35">
        <v>34.487900000000003</v>
      </c>
      <c r="P1214" s="20">
        <v>0.17865427058823524</v>
      </c>
      <c r="Q1214" s="20">
        <v>1.0398604047058804</v>
      </c>
      <c r="R1214" s="26" t="s">
        <v>393</v>
      </c>
      <c r="S1214" s="26">
        <v>1</v>
      </c>
      <c r="T1214" s="71" t="s">
        <v>626</v>
      </c>
    </row>
    <row r="1215" spans="1:20" s="14" customFormat="1" ht="12.75" customHeight="1">
      <c r="A1215" s="19" t="s">
        <v>417</v>
      </c>
      <c r="B1215" s="19" t="s">
        <v>419</v>
      </c>
      <c r="C1215" s="19" t="s">
        <v>514</v>
      </c>
      <c r="D1215" s="34">
        <v>43342</v>
      </c>
      <c r="E1215" s="19">
        <v>2018</v>
      </c>
      <c r="F1215" s="19">
        <v>8</v>
      </c>
      <c r="G1215" s="30">
        <v>30</v>
      </c>
      <c r="H1215" s="29">
        <v>0.94420138888888883</v>
      </c>
      <c r="I1215" s="35">
        <v>138.08316669999999</v>
      </c>
      <c r="J1215" s="35">
        <v>37.585000000000001</v>
      </c>
      <c r="K1215" s="28">
        <v>80</v>
      </c>
      <c r="L1215" s="28">
        <v>80</v>
      </c>
      <c r="M1215" s="28">
        <v>0</v>
      </c>
      <c r="N1215" s="36">
        <v>16.761099999999999</v>
      </c>
      <c r="O1215" s="35">
        <v>34.479300000000002</v>
      </c>
      <c r="P1215" s="20">
        <v>0.17918382352941142</v>
      </c>
      <c r="Q1215" s="20">
        <v>1.2020817682352938</v>
      </c>
      <c r="R1215" s="26" t="s">
        <v>393</v>
      </c>
      <c r="S1215" s="26">
        <v>1</v>
      </c>
      <c r="T1215" s="71" t="s">
        <v>626</v>
      </c>
    </row>
    <row r="1216" spans="1:20" s="14" customFormat="1" ht="12.75" customHeight="1">
      <c r="A1216" s="19" t="s">
        <v>417</v>
      </c>
      <c r="B1216" s="19" t="s">
        <v>419</v>
      </c>
      <c r="C1216" s="19" t="s">
        <v>514</v>
      </c>
      <c r="D1216" s="34">
        <v>43342</v>
      </c>
      <c r="E1216" s="19">
        <v>2018</v>
      </c>
      <c r="F1216" s="19">
        <v>8</v>
      </c>
      <c r="G1216" s="30">
        <v>30</v>
      </c>
      <c r="H1216" s="29">
        <v>0.94451388888888888</v>
      </c>
      <c r="I1216" s="35">
        <v>138.08316669999999</v>
      </c>
      <c r="J1216" s="35">
        <v>37.585000000000001</v>
      </c>
      <c r="K1216" s="28">
        <v>70</v>
      </c>
      <c r="L1216" s="28">
        <v>70</v>
      </c>
      <c r="M1216" s="28">
        <v>0</v>
      </c>
      <c r="N1216" s="36">
        <v>17.808399999999999</v>
      </c>
      <c r="O1216" s="35">
        <v>34.434600000000003</v>
      </c>
      <c r="P1216" s="20">
        <v>0.15904877647058813</v>
      </c>
      <c r="Q1216" s="20">
        <v>1.1562368517647048</v>
      </c>
      <c r="R1216" s="26" t="s">
        <v>393</v>
      </c>
      <c r="S1216" s="26">
        <v>1</v>
      </c>
      <c r="T1216" s="71" t="s">
        <v>626</v>
      </c>
    </row>
    <row r="1217" spans="1:20" s="14" customFormat="1" ht="12.75" customHeight="1">
      <c r="A1217" s="19" t="s">
        <v>417</v>
      </c>
      <c r="B1217" s="19" t="s">
        <v>419</v>
      </c>
      <c r="C1217" s="19" t="s">
        <v>514</v>
      </c>
      <c r="D1217" s="34">
        <v>43342</v>
      </c>
      <c r="E1217" s="19">
        <v>2018</v>
      </c>
      <c r="F1217" s="19">
        <v>8</v>
      </c>
      <c r="G1217" s="30">
        <v>30</v>
      </c>
      <c r="H1217" s="29">
        <v>0.94480324074074085</v>
      </c>
      <c r="I1217" s="35">
        <v>138.08316669999999</v>
      </c>
      <c r="J1217" s="35">
        <v>37.585000000000001</v>
      </c>
      <c r="K1217" s="28">
        <v>60</v>
      </c>
      <c r="L1217" s="28">
        <v>60</v>
      </c>
      <c r="M1217" s="28">
        <v>0</v>
      </c>
      <c r="N1217" s="36">
        <v>18.667200000000001</v>
      </c>
      <c r="O1217" s="35">
        <v>34.365699999999997</v>
      </c>
      <c r="P1217" s="20">
        <v>0.15732772941176476</v>
      </c>
      <c r="Q1217" s="20">
        <v>1.0309412952941166</v>
      </c>
      <c r="R1217" s="26" t="s">
        <v>393</v>
      </c>
      <c r="S1217" s="26">
        <v>1</v>
      </c>
      <c r="T1217" s="71" t="s">
        <v>626</v>
      </c>
    </row>
    <row r="1218" spans="1:20" s="14" customFormat="1" ht="12.75" customHeight="1">
      <c r="A1218" s="19" t="s">
        <v>417</v>
      </c>
      <c r="B1218" s="19" t="s">
        <v>419</v>
      </c>
      <c r="C1218" s="19" t="s">
        <v>514</v>
      </c>
      <c r="D1218" s="34">
        <v>43342</v>
      </c>
      <c r="E1218" s="19">
        <v>2018</v>
      </c>
      <c r="F1218" s="19">
        <v>8</v>
      </c>
      <c r="G1218" s="30">
        <v>30</v>
      </c>
      <c r="H1218" s="29">
        <v>0.94516203703703694</v>
      </c>
      <c r="I1218" s="35">
        <v>138.08316669999999</v>
      </c>
      <c r="J1218" s="35">
        <v>37.585000000000001</v>
      </c>
      <c r="K1218" s="28">
        <v>50</v>
      </c>
      <c r="L1218" s="28">
        <v>50</v>
      </c>
      <c r="M1218" s="28">
        <v>0</v>
      </c>
      <c r="N1218" s="36">
        <v>19.315799999999999</v>
      </c>
      <c r="O1218" s="35">
        <v>34.204500000000003</v>
      </c>
      <c r="P1218" s="20">
        <v>0.11141308235294112</v>
      </c>
      <c r="Q1218" s="20">
        <v>0.86847699882352636</v>
      </c>
      <c r="R1218" s="26" t="s">
        <v>393</v>
      </c>
      <c r="S1218" s="26">
        <v>1</v>
      </c>
      <c r="T1218" s="71" t="s">
        <v>626</v>
      </c>
    </row>
    <row r="1219" spans="1:20" s="14" customFormat="1" ht="12.75" customHeight="1">
      <c r="A1219" s="19" t="s">
        <v>417</v>
      </c>
      <c r="B1219" s="19" t="s">
        <v>419</v>
      </c>
      <c r="C1219" s="19" t="s">
        <v>514</v>
      </c>
      <c r="D1219" s="34">
        <v>43342</v>
      </c>
      <c r="E1219" s="19">
        <v>2018</v>
      </c>
      <c r="F1219" s="19">
        <v>8</v>
      </c>
      <c r="G1219" s="30">
        <v>30</v>
      </c>
      <c r="H1219" s="29">
        <v>0.94634259259259268</v>
      </c>
      <c r="I1219" s="35">
        <v>138.08316669999999</v>
      </c>
      <c r="J1219" s="35">
        <v>37.585000000000001</v>
      </c>
      <c r="K1219" s="28">
        <v>40</v>
      </c>
      <c r="L1219" s="28">
        <v>40</v>
      </c>
      <c r="M1219" s="28">
        <v>0</v>
      </c>
      <c r="N1219" s="36">
        <v>20.177099999999999</v>
      </c>
      <c r="O1219" s="35">
        <v>34.156700000000001</v>
      </c>
      <c r="P1219" s="20">
        <v>5.9312294117646935E-2</v>
      </c>
      <c r="Q1219" s="20">
        <v>0.48017761294117456</v>
      </c>
      <c r="R1219" s="26" t="s">
        <v>393</v>
      </c>
      <c r="S1219" s="26">
        <v>1</v>
      </c>
      <c r="T1219" s="71" t="s">
        <v>626</v>
      </c>
    </row>
    <row r="1220" spans="1:20" s="14" customFormat="1" ht="12.75" customHeight="1">
      <c r="A1220" s="19" t="s">
        <v>417</v>
      </c>
      <c r="B1220" s="19" t="s">
        <v>419</v>
      </c>
      <c r="C1220" s="19" t="s">
        <v>514</v>
      </c>
      <c r="D1220" s="34">
        <v>43342</v>
      </c>
      <c r="E1220" s="19">
        <v>2018</v>
      </c>
      <c r="F1220" s="19">
        <v>8</v>
      </c>
      <c r="G1220" s="30">
        <v>30</v>
      </c>
      <c r="H1220" s="29">
        <v>0.94743055555555555</v>
      </c>
      <c r="I1220" s="35">
        <v>138.08316669999999</v>
      </c>
      <c r="J1220" s="35">
        <v>37.585000000000001</v>
      </c>
      <c r="K1220" s="28">
        <v>30</v>
      </c>
      <c r="L1220" s="28">
        <v>30</v>
      </c>
      <c r="M1220" s="28">
        <v>0</v>
      </c>
      <c r="N1220" s="36">
        <v>22.1404</v>
      </c>
      <c r="O1220" s="35">
        <v>34.008600000000001</v>
      </c>
      <c r="P1220" s="20">
        <v>2.6696647058822798E-2</v>
      </c>
      <c r="Q1220" s="20">
        <v>0.19752596218487461</v>
      </c>
      <c r="R1220" s="26" t="s">
        <v>393</v>
      </c>
      <c r="S1220" s="26">
        <v>1</v>
      </c>
      <c r="T1220" s="71" t="s">
        <v>626</v>
      </c>
    </row>
    <row r="1221" spans="1:20" s="14" customFormat="1" ht="12.75" customHeight="1">
      <c r="A1221" s="19" t="s">
        <v>417</v>
      </c>
      <c r="B1221" s="19" t="s">
        <v>419</v>
      </c>
      <c r="C1221" s="19" t="s">
        <v>514</v>
      </c>
      <c r="D1221" s="34">
        <v>43342</v>
      </c>
      <c r="E1221" s="19">
        <v>2018</v>
      </c>
      <c r="F1221" s="19">
        <v>8</v>
      </c>
      <c r="G1221" s="30">
        <v>30</v>
      </c>
      <c r="H1221" s="29">
        <v>0.94792824074074078</v>
      </c>
      <c r="I1221" s="35">
        <v>138.08316669999999</v>
      </c>
      <c r="J1221" s="35">
        <v>37.585000000000001</v>
      </c>
      <c r="K1221" s="28">
        <v>20</v>
      </c>
      <c r="L1221" s="28">
        <v>20</v>
      </c>
      <c r="M1221" s="28">
        <v>0</v>
      </c>
      <c r="N1221" s="36">
        <v>25.2942</v>
      </c>
      <c r="O1221" s="35">
        <v>33.491300000000003</v>
      </c>
      <c r="P1221" s="20">
        <v>-0.17184960000000049</v>
      </c>
      <c r="Q1221" s="20">
        <v>-1.1425103199999995</v>
      </c>
      <c r="R1221" s="26" t="s">
        <v>393</v>
      </c>
      <c r="S1221" s="26">
        <v>1</v>
      </c>
      <c r="T1221" s="71" t="s">
        <v>626</v>
      </c>
    </row>
    <row r="1222" spans="1:20" s="14" customFormat="1" ht="12.75" customHeight="1">
      <c r="A1222" s="19" t="s">
        <v>417</v>
      </c>
      <c r="B1222" s="19" t="s">
        <v>419</v>
      </c>
      <c r="C1222" s="19" t="s">
        <v>514</v>
      </c>
      <c r="D1222" s="34">
        <v>43342</v>
      </c>
      <c r="E1222" s="19">
        <v>2018</v>
      </c>
      <c r="F1222" s="19">
        <v>8</v>
      </c>
      <c r="G1222" s="30">
        <v>30</v>
      </c>
      <c r="H1222" s="29">
        <v>0.9485069444444445</v>
      </c>
      <c r="I1222" s="35">
        <v>138.08316669999999</v>
      </c>
      <c r="J1222" s="35">
        <v>37.585000000000001</v>
      </c>
      <c r="K1222" s="28">
        <v>10</v>
      </c>
      <c r="L1222" s="28">
        <v>10</v>
      </c>
      <c r="M1222" s="28">
        <v>0</v>
      </c>
      <c r="N1222" s="36">
        <v>25.773800000000001</v>
      </c>
      <c r="O1222" s="35">
        <v>33.294199999999996</v>
      </c>
      <c r="P1222" s="20">
        <v>-0.22635744705882366</v>
      </c>
      <c r="Q1222" s="20">
        <v>-1.7098975564705885</v>
      </c>
      <c r="R1222" s="26" t="s">
        <v>393</v>
      </c>
      <c r="S1222" s="26">
        <v>1</v>
      </c>
      <c r="T1222" s="71" t="s">
        <v>626</v>
      </c>
    </row>
    <row r="1223" spans="1:20" s="14" customFormat="1" ht="12.75" customHeight="1">
      <c r="A1223" s="19" t="s">
        <v>417</v>
      </c>
      <c r="B1223" s="19" t="s">
        <v>420</v>
      </c>
      <c r="C1223" s="19" t="s">
        <v>514</v>
      </c>
      <c r="D1223" s="34">
        <v>43343</v>
      </c>
      <c r="E1223" s="19">
        <v>2018</v>
      </c>
      <c r="F1223" s="19">
        <v>8</v>
      </c>
      <c r="G1223" s="30">
        <v>31</v>
      </c>
      <c r="H1223" s="29">
        <v>0.18784722222222219</v>
      </c>
      <c r="I1223" s="35">
        <v>137.97049999999999</v>
      </c>
      <c r="J1223" s="35">
        <v>37.813333329999999</v>
      </c>
      <c r="K1223" s="28">
        <v>10</v>
      </c>
      <c r="L1223" s="28">
        <v>10</v>
      </c>
      <c r="M1223" s="28">
        <v>0</v>
      </c>
      <c r="N1223" s="36">
        <v>26.1799</v>
      </c>
      <c r="O1223" s="35">
        <v>33.343499999999999</v>
      </c>
      <c r="P1223" s="20">
        <v>-0.22889689411764746</v>
      </c>
      <c r="Q1223" s="20">
        <v>-1.7343065329411784</v>
      </c>
      <c r="R1223" s="26" t="s">
        <v>393</v>
      </c>
      <c r="S1223" s="26"/>
      <c r="T1223" s="71" t="s">
        <v>626</v>
      </c>
    </row>
    <row r="1224" spans="1:20" s="14" customFormat="1" ht="12.75" customHeight="1">
      <c r="A1224" s="19" t="s">
        <v>417</v>
      </c>
      <c r="B1224" s="19" t="s">
        <v>421</v>
      </c>
      <c r="C1224" s="19" t="s">
        <v>514</v>
      </c>
      <c r="D1224" s="34">
        <v>43343</v>
      </c>
      <c r="E1224" s="19">
        <v>2018</v>
      </c>
      <c r="F1224" s="19">
        <v>8</v>
      </c>
      <c r="G1224" s="30">
        <v>31</v>
      </c>
      <c r="H1224" s="29">
        <v>0.76922453703703697</v>
      </c>
      <c r="I1224" s="35">
        <v>137.74666669999999</v>
      </c>
      <c r="J1224" s="35">
        <v>38.083333330000002</v>
      </c>
      <c r="K1224" s="28">
        <v>1000</v>
      </c>
      <c r="L1224" s="28">
        <v>1000</v>
      </c>
      <c r="M1224" s="28">
        <v>0</v>
      </c>
      <c r="N1224" s="36">
        <v>0.36859999999999998</v>
      </c>
      <c r="O1224" s="35">
        <v>34.067700000000002</v>
      </c>
      <c r="P1224" s="20">
        <v>-5.2411341176470838E-2</v>
      </c>
      <c r="Q1224" s="20">
        <v>-0.8835785094117643</v>
      </c>
      <c r="R1224" s="26" t="s">
        <v>393</v>
      </c>
      <c r="S1224" s="26">
        <v>1</v>
      </c>
      <c r="T1224" s="71" t="s">
        <v>626</v>
      </c>
    </row>
    <row r="1225" spans="1:20" s="14" customFormat="1" ht="12.75" customHeight="1">
      <c r="A1225" s="19" t="s">
        <v>417</v>
      </c>
      <c r="B1225" s="19" t="s">
        <v>421</v>
      </c>
      <c r="C1225" s="19" t="s">
        <v>514</v>
      </c>
      <c r="D1225" s="34">
        <v>43343</v>
      </c>
      <c r="E1225" s="19">
        <v>2018</v>
      </c>
      <c r="F1225" s="19">
        <v>8</v>
      </c>
      <c r="G1225" s="30">
        <v>31</v>
      </c>
      <c r="H1225" s="29">
        <v>0.77307870370370368</v>
      </c>
      <c r="I1225" s="35">
        <v>137.74666669999999</v>
      </c>
      <c r="J1225" s="35">
        <v>38.083333330000002</v>
      </c>
      <c r="K1225" s="28">
        <v>750</v>
      </c>
      <c r="L1225" s="28">
        <v>750</v>
      </c>
      <c r="M1225" s="28">
        <v>0</v>
      </c>
      <c r="N1225" s="36">
        <v>0.5252</v>
      </c>
      <c r="O1225" s="35">
        <v>34.065899999999999</v>
      </c>
      <c r="P1225" s="20">
        <v>-4.9017388235294224E-2</v>
      </c>
      <c r="Q1225" s="20">
        <v>-0.74121980588235381</v>
      </c>
      <c r="R1225" s="26" t="s">
        <v>393</v>
      </c>
      <c r="S1225" s="26">
        <v>1</v>
      </c>
      <c r="T1225" s="71" t="s">
        <v>626</v>
      </c>
    </row>
    <row r="1226" spans="1:20" s="14" customFormat="1" ht="12.75" customHeight="1">
      <c r="A1226" s="19" t="s">
        <v>417</v>
      </c>
      <c r="B1226" s="19" t="s">
        <v>421</v>
      </c>
      <c r="C1226" s="19" t="s">
        <v>514</v>
      </c>
      <c r="D1226" s="34">
        <v>43343</v>
      </c>
      <c r="E1226" s="19">
        <v>2018</v>
      </c>
      <c r="F1226" s="19">
        <v>8</v>
      </c>
      <c r="G1226" s="30">
        <v>31</v>
      </c>
      <c r="H1226" s="29">
        <v>0.77660879629629631</v>
      </c>
      <c r="I1226" s="35">
        <v>137.74666669999999</v>
      </c>
      <c r="J1226" s="35">
        <v>38.083333330000002</v>
      </c>
      <c r="K1226" s="28">
        <v>500</v>
      </c>
      <c r="L1226" s="28">
        <v>500</v>
      </c>
      <c r="M1226" s="28">
        <v>0</v>
      </c>
      <c r="N1226" s="36">
        <v>0.75160000000000005</v>
      </c>
      <c r="O1226" s="35">
        <v>34.059399999999997</v>
      </c>
      <c r="P1226" s="20">
        <v>-3.3347435294117656E-2</v>
      </c>
      <c r="Q1226" s="20">
        <v>-0.78863800235294157</v>
      </c>
      <c r="R1226" s="26" t="s">
        <v>393</v>
      </c>
      <c r="S1226" s="26">
        <v>1</v>
      </c>
      <c r="T1226" s="71" t="s">
        <v>626</v>
      </c>
    </row>
    <row r="1227" spans="1:20" s="14" customFormat="1" ht="12.75" customHeight="1">
      <c r="A1227" s="19" t="s">
        <v>417</v>
      </c>
      <c r="B1227" s="19" t="s">
        <v>421</v>
      </c>
      <c r="C1227" s="19" t="s">
        <v>514</v>
      </c>
      <c r="D1227" s="34">
        <v>43343</v>
      </c>
      <c r="E1227" s="19">
        <v>2018</v>
      </c>
      <c r="F1227" s="19">
        <v>8</v>
      </c>
      <c r="G1227" s="30">
        <v>31</v>
      </c>
      <c r="H1227" s="29">
        <v>0.7780555555555555</v>
      </c>
      <c r="I1227" s="35">
        <v>137.74666669999999</v>
      </c>
      <c r="J1227" s="35">
        <v>38.083333330000002</v>
      </c>
      <c r="K1227" s="28">
        <v>400</v>
      </c>
      <c r="L1227" s="28">
        <v>400</v>
      </c>
      <c r="M1227" s="28">
        <v>0</v>
      </c>
      <c r="N1227" s="36">
        <v>0.95699999999999996</v>
      </c>
      <c r="O1227" s="35">
        <v>34.054200000000002</v>
      </c>
      <c r="P1227" s="20">
        <v>-2.1844065882352215E-2</v>
      </c>
      <c r="Q1227" s="20">
        <v>-0.90778605176470606</v>
      </c>
      <c r="R1227" s="26" t="s">
        <v>393</v>
      </c>
      <c r="S1227" s="26">
        <v>1</v>
      </c>
      <c r="T1227" s="71" t="s">
        <v>626</v>
      </c>
    </row>
    <row r="1228" spans="1:20" s="14" customFormat="1" ht="12.75" customHeight="1">
      <c r="A1228" s="19" t="s">
        <v>417</v>
      </c>
      <c r="B1228" s="19" t="s">
        <v>421</v>
      </c>
      <c r="C1228" s="19" t="s">
        <v>514</v>
      </c>
      <c r="D1228" s="34">
        <v>43343</v>
      </c>
      <c r="E1228" s="19">
        <v>2018</v>
      </c>
      <c r="F1228" s="19">
        <v>8</v>
      </c>
      <c r="G1228" s="30">
        <v>31</v>
      </c>
      <c r="H1228" s="29">
        <v>0.77957175925925926</v>
      </c>
      <c r="I1228" s="35">
        <v>137.74666669999999</v>
      </c>
      <c r="J1228" s="35">
        <v>38.083333330000002</v>
      </c>
      <c r="K1228" s="28">
        <v>300</v>
      </c>
      <c r="L1228" s="28">
        <v>300</v>
      </c>
      <c r="M1228" s="28">
        <v>0</v>
      </c>
      <c r="N1228" s="36">
        <v>1.6443000000000001</v>
      </c>
      <c r="O1228" s="35">
        <v>34.035699999999999</v>
      </c>
      <c r="P1228" s="20">
        <v>9.9649129411774062E-3</v>
      </c>
      <c r="Q1228" s="20">
        <v>-0.68093289411764957</v>
      </c>
      <c r="R1228" s="26" t="s">
        <v>393</v>
      </c>
      <c r="S1228" s="26">
        <v>1</v>
      </c>
      <c r="T1228" s="71" t="s">
        <v>626</v>
      </c>
    </row>
    <row r="1229" spans="1:20" s="14" customFormat="1" ht="12.75" customHeight="1">
      <c r="A1229" s="19" t="s">
        <v>417</v>
      </c>
      <c r="B1229" s="19" t="s">
        <v>421</v>
      </c>
      <c r="C1229" s="19" t="s">
        <v>514</v>
      </c>
      <c r="D1229" s="34">
        <v>43343</v>
      </c>
      <c r="E1229" s="19">
        <v>2018</v>
      </c>
      <c r="F1229" s="19">
        <v>8</v>
      </c>
      <c r="G1229" s="30">
        <v>31</v>
      </c>
      <c r="H1229" s="29">
        <v>0.7805671296296296</v>
      </c>
      <c r="I1229" s="35">
        <v>137.74666669999999</v>
      </c>
      <c r="J1229" s="35">
        <v>38.083333330000002</v>
      </c>
      <c r="K1229" s="28">
        <v>250</v>
      </c>
      <c r="L1229" s="28">
        <v>250</v>
      </c>
      <c r="M1229" s="28">
        <v>0</v>
      </c>
      <c r="N1229" s="36">
        <v>2.7654000000000001</v>
      </c>
      <c r="O1229" s="35">
        <v>34.036700000000003</v>
      </c>
      <c r="P1229" s="20">
        <v>-3.4003388235293919E-2</v>
      </c>
      <c r="Q1229" s="20">
        <v>-0.59421850980392144</v>
      </c>
      <c r="R1229" s="26" t="s">
        <v>393</v>
      </c>
      <c r="S1229" s="26">
        <v>1</v>
      </c>
      <c r="T1229" s="71" t="s">
        <v>626</v>
      </c>
    </row>
    <row r="1230" spans="1:20" s="14" customFormat="1" ht="12.75" customHeight="1">
      <c r="A1230" s="19" t="s">
        <v>417</v>
      </c>
      <c r="B1230" s="19" t="s">
        <v>421</v>
      </c>
      <c r="C1230" s="19" t="s">
        <v>514</v>
      </c>
      <c r="D1230" s="34">
        <v>43343</v>
      </c>
      <c r="E1230" s="19">
        <v>2018</v>
      </c>
      <c r="F1230" s="19">
        <v>8</v>
      </c>
      <c r="G1230" s="30">
        <v>31</v>
      </c>
      <c r="H1230" s="29">
        <v>0.78122685185185192</v>
      </c>
      <c r="I1230" s="35">
        <v>137.74666669999999</v>
      </c>
      <c r="J1230" s="35">
        <v>38.083333330000002</v>
      </c>
      <c r="K1230" s="28">
        <v>225</v>
      </c>
      <c r="L1230" s="28">
        <v>225</v>
      </c>
      <c r="M1230" s="28">
        <v>0</v>
      </c>
      <c r="N1230" s="36">
        <v>4.0175999999999998</v>
      </c>
      <c r="O1230" s="35">
        <v>34.063600000000001</v>
      </c>
      <c r="P1230" s="20">
        <v>5.5673110588235541E-2</v>
      </c>
      <c r="Q1230" s="20">
        <v>-0.34934001882352916</v>
      </c>
      <c r="R1230" s="26" t="s">
        <v>393</v>
      </c>
      <c r="S1230" s="26">
        <v>1</v>
      </c>
      <c r="T1230" s="71" t="s">
        <v>626</v>
      </c>
    </row>
    <row r="1231" spans="1:20" s="14" customFormat="1" ht="12.75" customHeight="1">
      <c r="A1231" s="19" t="s">
        <v>417</v>
      </c>
      <c r="B1231" s="19" t="s">
        <v>421</v>
      </c>
      <c r="C1231" s="19" t="s">
        <v>514</v>
      </c>
      <c r="D1231" s="34">
        <v>43343</v>
      </c>
      <c r="E1231" s="19">
        <v>2018</v>
      </c>
      <c r="F1231" s="19">
        <v>8</v>
      </c>
      <c r="G1231" s="30">
        <v>31</v>
      </c>
      <c r="H1231" s="29">
        <v>0.7818518518518518</v>
      </c>
      <c r="I1231" s="35">
        <v>137.74666669999999</v>
      </c>
      <c r="J1231" s="35">
        <v>38.083333330000002</v>
      </c>
      <c r="K1231" s="28">
        <v>200</v>
      </c>
      <c r="L1231" s="28">
        <v>200</v>
      </c>
      <c r="M1231" s="28">
        <v>0</v>
      </c>
      <c r="N1231" s="36">
        <v>5.9104000000000001</v>
      </c>
      <c r="O1231" s="35">
        <v>34.107199999999999</v>
      </c>
      <c r="P1231" s="20">
        <v>5.2273129411765318E-2</v>
      </c>
      <c r="Q1231" s="20">
        <v>2.6172978823529647E-2</v>
      </c>
      <c r="R1231" s="26" t="s">
        <v>393</v>
      </c>
      <c r="S1231" s="26">
        <v>1</v>
      </c>
      <c r="T1231" s="71" t="s">
        <v>626</v>
      </c>
    </row>
    <row r="1232" spans="1:20" s="14" customFormat="1" ht="12.75" customHeight="1">
      <c r="A1232" s="19" t="s">
        <v>417</v>
      </c>
      <c r="B1232" s="19" t="s">
        <v>421</v>
      </c>
      <c r="C1232" s="19" t="s">
        <v>514</v>
      </c>
      <c r="D1232" s="34">
        <v>43343</v>
      </c>
      <c r="E1232" s="19">
        <v>2018</v>
      </c>
      <c r="F1232" s="19">
        <v>8</v>
      </c>
      <c r="G1232" s="30">
        <v>31</v>
      </c>
      <c r="H1232" s="29">
        <v>0.78267361111111111</v>
      </c>
      <c r="I1232" s="35">
        <v>137.74666669999999</v>
      </c>
      <c r="J1232" s="35">
        <v>38.083333330000002</v>
      </c>
      <c r="K1232" s="28">
        <v>175</v>
      </c>
      <c r="L1232" s="28">
        <v>175</v>
      </c>
      <c r="M1232" s="28">
        <v>0</v>
      </c>
      <c r="N1232" s="36">
        <v>8.1941000000000006</v>
      </c>
      <c r="O1232" s="35">
        <v>34.215299999999999</v>
      </c>
      <c r="P1232" s="20">
        <v>0.15144722823529433</v>
      </c>
      <c r="Q1232" s="20">
        <v>0.47404949647058636</v>
      </c>
      <c r="R1232" s="26" t="s">
        <v>393</v>
      </c>
      <c r="S1232" s="26">
        <v>1</v>
      </c>
      <c r="T1232" s="71" t="s">
        <v>626</v>
      </c>
    </row>
    <row r="1233" spans="1:20" s="14" customFormat="1" ht="12.75" customHeight="1">
      <c r="A1233" s="19" t="s">
        <v>417</v>
      </c>
      <c r="B1233" s="19" t="s">
        <v>421</v>
      </c>
      <c r="C1233" s="19" t="s">
        <v>514</v>
      </c>
      <c r="D1233" s="34">
        <v>43343</v>
      </c>
      <c r="E1233" s="19">
        <v>2018</v>
      </c>
      <c r="F1233" s="19">
        <v>8</v>
      </c>
      <c r="G1233" s="30">
        <v>31</v>
      </c>
      <c r="H1233" s="29">
        <v>0.7836805555555556</v>
      </c>
      <c r="I1233" s="35">
        <v>137.74666669999999</v>
      </c>
      <c r="J1233" s="35">
        <v>38.083333330000002</v>
      </c>
      <c r="K1233" s="28">
        <v>150</v>
      </c>
      <c r="L1233" s="28">
        <v>150</v>
      </c>
      <c r="M1233" s="28">
        <v>0</v>
      </c>
      <c r="N1233" s="36">
        <v>10.1805</v>
      </c>
      <c r="O1233" s="35">
        <v>34.296700000000001</v>
      </c>
      <c r="P1233" s="20">
        <v>0.10245876705882395</v>
      </c>
      <c r="Q1233" s="20">
        <v>0.54870329411764907</v>
      </c>
      <c r="R1233" s="26" t="s">
        <v>393</v>
      </c>
      <c r="S1233" s="26">
        <v>1</v>
      </c>
      <c r="T1233" s="71" t="s">
        <v>626</v>
      </c>
    </row>
    <row r="1234" spans="1:20" s="14" customFormat="1" ht="12.75" customHeight="1">
      <c r="A1234" s="19" t="s">
        <v>417</v>
      </c>
      <c r="B1234" s="19" t="s">
        <v>421</v>
      </c>
      <c r="C1234" s="19" t="s">
        <v>514</v>
      </c>
      <c r="D1234" s="34">
        <v>43343</v>
      </c>
      <c r="E1234" s="19">
        <v>2018</v>
      </c>
      <c r="F1234" s="19">
        <v>8</v>
      </c>
      <c r="G1234" s="30">
        <v>31</v>
      </c>
      <c r="H1234" s="29">
        <v>0.78461805555555564</v>
      </c>
      <c r="I1234" s="35">
        <v>137.74666669999999</v>
      </c>
      <c r="J1234" s="35">
        <v>38.083333330000002</v>
      </c>
      <c r="K1234" s="28">
        <v>125</v>
      </c>
      <c r="L1234" s="28">
        <v>125</v>
      </c>
      <c r="M1234" s="28">
        <v>0</v>
      </c>
      <c r="N1234" s="36">
        <v>13.7033</v>
      </c>
      <c r="O1234" s="35">
        <v>34.450899999999997</v>
      </c>
      <c r="P1234" s="20">
        <v>6.7024053781512993E-2</v>
      </c>
      <c r="Q1234" s="20">
        <v>0.78310147899159865</v>
      </c>
      <c r="R1234" s="26" t="s">
        <v>393</v>
      </c>
      <c r="S1234" s="26">
        <v>1</v>
      </c>
      <c r="T1234" s="71" t="s">
        <v>626</v>
      </c>
    </row>
    <row r="1235" spans="1:20" s="14" customFormat="1" ht="12.75" customHeight="1">
      <c r="A1235" s="19" t="s">
        <v>417</v>
      </c>
      <c r="B1235" s="19" t="s">
        <v>421</v>
      </c>
      <c r="C1235" s="19" t="s">
        <v>514</v>
      </c>
      <c r="D1235" s="34">
        <v>43343</v>
      </c>
      <c r="E1235" s="19">
        <v>2018</v>
      </c>
      <c r="F1235" s="19">
        <v>8</v>
      </c>
      <c r="G1235" s="30">
        <v>31</v>
      </c>
      <c r="H1235" s="29">
        <v>0.7853472222222222</v>
      </c>
      <c r="I1235" s="35">
        <v>137.74666669999999</v>
      </c>
      <c r="J1235" s="35">
        <v>38.083333330000002</v>
      </c>
      <c r="K1235" s="28">
        <v>100</v>
      </c>
      <c r="L1235" s="28">
        <v>100</v>
      </c>
      <c r="M1235" s="28">
        <v>0</v>
      </c>
      <c r="N1235" s="36">
        <v>15.7218</v>
      </c>
      <c r="O1235" s="35">
        <v>34.462800000000001</v>
      </c>
      <c r="P1235" s="20">
        <v>0.12229598117647056</v>
      </c>
      <c r="Q1235" s="20">
        <v>1.0128199623529408</v>
      </c>
      <c r="R1235" s="26" t="s">
        <v>393</v>
      </c>
      <c r="S1235" s="26">
        <v>1</v>
      </c>
      <c r="T1235" s="71" t="s">
        <v>626</v>
      </c>
    </row>
    <row r="1236" spans="1:20" s="14" customFormat="1" ht="12.75" customHeight="1">
      <c r="A1236" s="19" t="s">
        <v>417</v>
      </c>
      <c r="B1236" s="19" t="s">
        <v>421</v>
      </c>
      <c r="C1236" s="19" t="s">
        <v>514</v>
      </c>
      <c r="D1236" s="34">
        <v>43343</v>
      </c>
      <c r="E1236" s="19">
        <v>2018</v>
      </c>
      <c r="F1236" s="19">
        <v>8</v>
      </c>
      <c r="G1236" s="30">
        <v>31</v>
      </c>
      <c r="H1236" s="29">
        <v>0.78591435185185177</v>
      </c>
      <c r="I1236" s="35">
        <v>137.74666669999999</v>
      </c>
      <c r="J1236" s="35">
        <v>38.083333330000002</v>
      </c>
      <c r="K1236" s="28">
        <v>90</v>
      </c>
      <c r="L1236" s="28">
        <v>90</v>
      </c>
      <c r="M1236" s="28">
        <v>0</v>
      </c>
      <c r="N1236" s="36">
        <v>16.800999999999998</v>
      </c>
      <c r="O1236" s="35">
        <v>34.455399999999997</v>
      </c>
      <c r="P1236" s="20">
        <v>0.1758816000000003</v>
      </c>
      <c r="Q1236" s="20">
        <v>1.1218857599999996</v>
      </c>
      <c r="R1236" s="26" t="s">
        <v>393</v>
      </c>
      <c r="S1236" s="26">
        <v>1</v>
      </c>
      <c r="T1236" s="71" t="s">
        <v>626</v>
      </c>
    </row>
    <row r="1237" spans="1:20" s="14" customFormat="1" ht="12.75" customHeight="1">
      <c r="A1237" s="19" t="s">
        <v>417</v>
      </c>
      <c r="B1237" s="19" t="s">
        <v>421</v>
      </c>
      <c r="C1237" s="19" t="s">
        <v>514</v>
      </c>
      <c r="D1237" s="34">
        <v>43343</v>
      </c>
      <c r="E1237" s="19">
        <v>2018</v>
      </c>
      <c r="F1237" s="19">
        <v>8</v>
      </c>
      <c r="G1237" s="30">
        <v>31</v>
      </c>
      <c r="H1237" s="29">
        <v>0.78650462962962964</v>
      </c>
      <c r="I1237" s="35">
        <v>137.74666669999999</v>
      </c>
      <c r="J1237" s="35">
        <v>38.083333330000002</v>
      </c>
      <c r="K1237" s="28">
        <v>80</v>
      </c>
      <c r="L1237" s="28">
        <v>80</v>
      </c>
      <c r="M1237" s="28">
        <v>0</v>
      </c>
      <c r="N1237" s="36">
        <v>17.067499999999999</v>
      </c>
      <c r="O1237" s="35">
        <v>34.432699999999997</v>
      </c>
      <c r="P1237" s="20">
        <v>0.20931873882352958</v>
      </c>
      <c r="Q1237" s="20">
        <v>1.2093211576470591</v>
      </c>
      <c r="R1237" s="26" t="s">
        <v>393</v>
      </c>
      <c r="S1237" s="26">
        <v>1</v>
      </c>
      <c r="T1237" s="71" t="s">
        <v>626</v>
      </c>
    </row>
    <row r="1238" spans="1:20" s="14" customFormat="1" ht="12.75" customHeight="1">
      <c r="A1238" s="19" t="s">
        <v>417</v>
      </c>
      <c r="B1238" s="19" t="s">
        <v>421</v>
      </c>
      <c r="C1238" s="19" t="s">
        <v>514</v>
      </c>
      <c r="D1238" s="34">
        <v>43343</v>
      </c>
      <c r="E1238" s="19">
        <v>2018</v>
      </c>
      <c r="F1238" s="19">
        <v>8</v>
      </c>
      <c r="G1238" s="30">
        <v>31</v>
      </c>
      <c r="H1238" s="29">
        <v>0.78697916666666667</v>
      </c>
      <c r="I1238" s="35">
        <v>137.74666669999999</v>
      </c>
      <c r="J1238" s="35">
        <v>38.083333330000002</v>
      </c>
      <c r="K1238" s="28">
        <v>70</v>
      </c>
      <c r="L1238" s="28">
        <v>70</v>
      </c>
      <c r="M1238" s="28">
        <v>0</v>
      </c>
      <c r="N1238" s="36">
        <v>17.731100000000001</v>
      </c>
      <c r="O1238" s="35">
        <v>34.400799999999997</v>
      </c>
      <c r="P1238" s="20">
        <v>0.22932355764705914</v>
      </c>
      <c r="Q1238" s="20">
        <v>1.2782723952941204</v>
      </c>
      <c r="R1238" s="26" t="s">
        <v>393</v>
      </c>
      <c r="S1238" s="26">
        <v>1</v>
      </c>
      <c r="T1238" s="71" t="s">
        <v>626</v>
      </c>
    </row>
    <row r="1239" spans="1:20" s="14" customFormat="1" ht="12.75" customHeight="1">
      <c r="A1239" s="19" t="s">
        <v>417</v>
      </c>
      <c r="B1239" s="19" t="s">
        <v>421</v>
      </c>
      <c r="C1239" s="19" t="s">
        <v>514</v>
      </c>
      <c r="D1239" s="34">
        <v>43343</v>
      </c>
      <c r="E1239" s="19">
        <v>2018</v>
      </c>
      <c r="F1239" s="19">
        <v>8</v>
      </c>
      <c r="G1239" s="30">
        <v>31</v>
      </c>
      <c r="H1239" s="29">
        <v>0.78740740740740733</v>
      </c>
      <c r="I1239" s="35">
        <v>137.74666669999999</v>
      </c>
      <c r="J1239" s="35">
        <v>38.083333330000002</v>
      </c>
      <c r="K1239" s="28">
        <v>60</v>
      </c>
      <c r="L1239" s="28">
        <v>60</v>
      </c>
      <c r="M1239" s="28">
        <v>0</v>
      </c>
      <c r="N1239" s="36">
        <v>18.4102</v>
      </c>
      <c r="O1239" s="35">
        <v>34.326599999999999</v>
      </c>
      <c r="P1239" s="20">
        <v>0.14878949647058937</v>
      </c>
      <c r="Q1239" s="20">
        <v>0.96456219294117851</v>
      </c>
      <c r="R1239" s="26" t="s">
        <v>393</v>
      </c>
      <c r="S1239" s="26">
        <v>1</v>
      </c>
      <c r="T1239" s="71" t="s">
        <v>626</v>
      </c>
    </row>
    <row r="1240" spans="1:20" s="14" customFormat="1" ht="12.75" customHeight="1">
      <c r="A1240" s="19" t="s">
        <v>417</v>
      </c>
      <c r="B1240" s="19" t="s">
        <v>421</v>
      </c>
      <c r="C1240" s="19" t="s">
        <v>514</v>
      </c>
      <c r="D1240" s="34">
        <v>43343</v>
      </c>
      <c r="E1240" s="19">
        <v>2018</v>
      </c>
      <c r="F1240" s="19">
        <v>8</v>
      </c>
      <c r="G1240" s="30">
        <v>31</v>
      </c>
      <c r="H1240" s="29">
        <v>0.78864583333333327</v>
      </c>
      <c r="I1240" s="35">
        <v>137.74666669999999</v>
      </c>
      <c r="J1240" s="35">
        <v>38.083333330000002</v>
      </c>
      <c r="K1240" s="28">
        <v>45</v>
      </c>
      <c r="L1240" s="28">
        <v>45</v>
      </c>
      <c r="M1240" s="28">
        <v>0</v>
      </c>
      <c r="N1240" s="36">
        <v>19.382000000000001</v>
      </c>
      <c r="O1240" s="35">
        <v>34.192799999999998</v>
      </c>
      <c r="P1240" s="20">
        <v>0.14111559529411766</v>
      </c>
      <c r="Q1240" s="20">
        <v>0.80206815058823366</v>
      </c>
      <c r="R1240" s="26" t="s">
        <v>393</v>
      </c>
      <c r="S1240" s="26">
        <v>1</v>
      </c>
      <c r="T1240" s="71" t="s">
        <v>626</v>
      </c>
    </row>
    <row r="1241" spans="1:20" s="14" customFormat="1" ht="12.75" customHeight="1">
      <c r="A1241" s="19" t="s">
        <v>417</v>
      </c>
      <c r="B1241" s="19" t="s">
        <v>421</v>
      </c>
      <c r="C1241" s="19" t="s">
        <v>514</v>
      </c>
      <c r="D1241" s="34">
        <v>43343</v>
      </c>
      <c r="E1241" s="19">
        <v>2018</v>
      </c>
      <c r="F1241" s="19">
        <v>8</v>
      </c>
      <c r="G1241" s="30">
        <v>31</v>
      </c>
      <c r="H1241" s="29">
        <v>0.78914351851851849</v>
      </c>
      <c r="I1241" s="35">
        <v>137.74666669999999</v>
      </c>
      <c r="J1241" s="35">
        <v>38.083333330000002</v>
      </c>
      <c r="K1241" s="28">
        <v>40</v>
      </c>
      <c r="L1241" s="28">
        <v>40</v>
      </c>
      <c r="M1241" s="28">
        <v>0</v>
      </c>
      <c r="N1241" s="36">
        <v>21.193899999999999</v>
      </c>
      <c r="O1241" s="35">
        <v>34.006999999999998</v>
      </c>
      <c r="P1241" s="20">
        <v>0.16946473411764673</v>
      </c>
      <c r="Q1241" s="20">
        <v>0.62875890823529446</v>
      </c>
      <c r="R1241" s="26" t="s">
        <v>393</v>
      </c>
      <c r="S1241" s="26">
        <v>1</v>
      </c>
      <c r="T1241" s="71" t="s">
        <v>626</v>
      </c>
    </row>
    <row r="1242" spans="1:20" s="14" customFormat="1" ht="12.75" customHeight="1">
      <c r="A1242" s="19" t="s">
        <v>417</v>
      </c>
      <c r="B1242" s="19" t="s">
        <v>421</v>
      </c>
      <c r="C1242" s="19" t="s">
        <v>514</v>
      </c>
      <c r="D1242" s="34">
        <v>43343</v>
      </c>
      <c r="E1242" s="19">
        <v>2018</v>
      </c>
      <c r="F1242" s="19">
        <v>8</v>
      </c>
      <c r="G1242" s="30">
        <v>31</v>
      </c>
      <c r="H1242" s="29">
        <v>0.78998842592592589</v>
      </c>
      <c r="I1242" s="35">
        <v>137.74666669999999</v>
      </c>
      <c r="J1242" s="35">
        <v>38.083333330000002</v>
      </c>
      <c r="K1242" s="28">
        <v>30</v>
      </c>
      <c r="L1242" s="28">
        <v>30</v>
      </c>
      <c r="M1242" s="28">
        <v>0</v>
      </c>
      <c r="N1242" s="36">
        <v>22.886299999999999</v>
      </c>
      <c r="O1242" s="35">
        <v>33.854700000000001</v>
      </c>
      <c r="P1242" s="20">
        <v>1.1155994117646895E-2</v>
      </c>
      <c r="Q1242" s="20">
        <v>-7.8987731764707192E-2</v>
      </c>
      <c r="R1242" s="26" t="s">
        <v>393</v>
      </c>
      <c r="S1242" s="26">
        <v>1</v>
      </c>
      <c r="T1242" s="71" t="s">
        <v>626</v>
      </c>
    </row>
    <row r="1243" spans="1:20" s="14" customFormat="1" ht="12.75" customHeight="1">
      <c r="A1243" s="19" t="s">
        <v>417</v>
      </c>
      <c r="B1243" s="19" t="s">
        <v>421</v>
      </c>
      <c r="C1243" s="19" t="s">
        <v>514</v>
      </c>
      <c r="D1243" s="34">
        <v>43343</v>
      </c>
      <c r="E1243" s="19">
        <v>2018</v>
      </c>
      <c r="F1243" s="19">
        <v>8</v>
      </c>
      <c r="G1243" s="30">
        <v>31</v>
      </c>
      <c r="H1243" s="29">
        <v>0.79075231481481489</v>
      </c>
      <c r="I1243" s="35">
        <v>137.74666669999999</v>
      </c>
      <c r="J1243" s="35">
        <v>38.083333330000002</v>
      </c>
      <c r="K1243" s="28">
        <v>20</v>
      </c>
      <c r="L1243" s="28">
        <v>20</v>
      </c>
      <c r="M1243" s="28">
        <v>0</v>
      </c>
      <c r="N1243" s="36">
        <v>24.767199999999999</v>
      </c>
      <c r="O1243" s="35">
        <v>33.652200000000001</v>
      </c>
      <c r="P1243" s="20">
        <v>-0.10250808705882331</v>
      </c>
      <c r="Q1243" s="20">
        <v>-0.75683281411764725</v>
      </c>
      <c r="R1243" s="26" t="s">
        <v>393</v>
      </c>
      <c r="S1243" s="26">
        <v>1</v>
      </c>
      <c r="T1243" s="71" t="s">
        <v>626</v>
      </c>
    </row>
    <row r="1244" spans="1:20" s="14" customFormat="1" ht="12.75" customHeight="1">
      <c r="A1244" s="19" t="s">
        <v>417</v>
      </c>
      <c r="B1244" s="19" t="s">
        <v>421</v>
      </c>
      <c r="C1244" s="19" t="s">
        <v>514</v>
      </c>
      <c r="D1244" s="34">
        <v>43343</v>
      </c>
      <c r="E1244" s="19">
        <v>2018</v>
      </c>
      <c r="F1244" s="19">
        <v>8</v>
      </c>
      <c r="G1244" s="30">
        <v>31</v>
      </c>
      <c r="H1244" s="29">
        <v>0.79143518518518519</v>
      </c>
      <c r="I1244" s="35">
        <v>137.74666669999999</v>
      </c>
      <c r="J1244" s="35">
        <v>38.083333330000002</v>
      </c>
      <c r="K1244" s="28">
        <v>10</v>
      </c>
      <c r="L1244" s="28">
        <v>10</v>
      </c>
      <c r="M1244" s="28">
        <v>0</v>
      </c>
      <c r="N1244" s="36">
        <v>25.193100000000001</v>
      </c>
      <c r="O1244" s="35">
        <v>33.383299999999998</v>
      </c>
      <c r="P1244" s="20">
        <v>-0.1421286882352939</v>
      </c>
      <c r="Q1244" s="20">
        <v>-1.31952337647059</v>
      </c>
      <c r="R1244" s="26" t="s">
        <v>393</v>
      </c>
      <c r="S1244" s="26">
        <v>1</v>
      </c>
      <c r="T1244" s="71" t="s">
        <v>626</v>
      </c>
    </row>
    <row r="1245" spans="1:20" s="14" customFormat="1" ht="12.75" customHeight="1">
      <c r="A1245" s="19" t="s">
        <v>417</v>
      </c>
      <c r="B1245" s="19" t="s">
        <v>422</v>
      </c>
      <c r="C1245" s="19" t="s">
        <v>514</v>
      </c>
      <c r="D1245" s="34">
        <v>43343</v>
      </c>
      <c r="E1245" s="19">
        <v>2018</v>
      </c>
      <c r="F1245" s="19">
        <v>8</v>
      </c>
      <c r="G1245" s="30">
        <v>31</v>
      </c>
      <c r="H1245" s="29">
        <v>0.95104166666666667</v>
      </c>
      <c r="I1245" s="35">
        <v>137.58150000000001</v>
      </c>
      <c r="J1245" s="35">
        <v>38.331666669999997</v>
      </c>
      <c r="K1245" s="28">
        <v>10</v>
      </c>
      <c r="L1245" s="28">
        <v>10</v>
      </c>
      <c r="M1245" s="28">
        <v>0</v>
      </c>
      <c r="N1245" s="36">
        <v>25.050599999999999</v>
      </c>
      <c r="O1245" s="35">
        <v>33.326700000000002</v>
      </c>
      <c r="P1245" s="20">
        <v>-0.12652348941176461</v>
      </c>
      <c r="Q1245" s="20">
        <v>-1.5320017388235305</v>
      </c>
      <c r="R1245" s="26" t="s">
        <v>393</v>
      </c>
      <c r="S1245" s="26"/>
      <c r="T1245" s="71" t="s">
        <v>626</v>
      </c>
    </row>
    <row r="1246" spans="1:20" s="14" customFormat="1" ht="12.75" customHeight="1">
      <c r="A1246" s="19" t="s">
        <v>417</v>
      </c>
      <c r="B1246" s="19" t="s">
        <v>423</v>
      </c>
      <c r="C1246" s="19" t="s">
        <v>514</v>
      </c>
      <c r="D1246" s="34">
        <v>43344</v>
      </c>
      <c r="E1246" s="19">
        <v>2018</v>
      </c>
      <c r="F1246" s="19">
        <v>9</v>
      </c>
      <c r="G1246" s="30">
        <v>1</v>
      </c>
      <c r="H1246" s="29">
        <v>0.19543981481481479</v>
      </c>
      <c r="I1246" s="35">
        <v>137.43450000000001</v>
      </c>
      <c r="J1246" s="35">
        <v>38.591666670000002</v>
      </c>
      <c r="K1246" s="28">
        <v>10</v>
      </c>
      <c r="L1246" s="28">
        <v>10</v>
      </c>
      <c r="M1246" s="28">
        <v>0</v>
      </c>
      <c r="N1246" s="36">
        <v>24.547799999999999</v>
      </c>
      <c r="O1246" s="35">
        <v>33.483499999999999</v>
      </c>
      <c r="P1246" s="20">
        <v>-0.15305353058823523</v>
      </c>
      <c r="Q1246" s="20">
        <v>-1.3366906411764745</v>
      </c>
      <c r="R1246" s="26" t="s">
        <v>393</v>
      </c>
      <c r="S1246" s="26"/>
      <c r="T1246" s="71" t="s">
        <v>626</v>
      </c>
    </row>
    <row r="1247" spans="1:20" s="14" customFormat="1" ht="12.75" customHeight="1">
      <c r="A1247" s="19" t="s">
        <v>417</v>
      </c>
      <c r="B1247" s="19" t="s">
        <v>424</v>
      </c>
      <c r="C1247" s="19" t="s">
        <v>514</v>
      </c>
      <c r="D1247" s="34">
        <v>43346</v>
      </c>
      <c r="E1247" s="19">
        <v>2018</v>
      </c>
      <c r="F1247" s="19">
        <v>9</v>
      </c>
      <c r="G1247" s="30">
        <v>3</v>
      </c>
      <c r="H1247" s="29">
        <v>0.78822916666666665</v>
      </c>
      <c r="I1247" s="35">
        <v>138.08333329999999</v>
      </c>
      <c r="J1247" s="35">
        <v>38.331666669999997</v>
      </c>
      <c r="K1247" s="28">
        <v>10</v>
      </c>
      <c r="L1247" s="28">
        <v>10</v>
      </c>
      <c r="M1247" s="28">
        <v>0</v>
      </c>
      <c r="N1247" s="36">
        <v>24.854900000000001</v>
      </c>
      <c r="O1247" s="35">
        <v>33.629399999999997</v>
      </c>
      <c r="P1247" s="20">
        <v>-8.569971176470581E-2</v>
      </c>
      <c r="Q1247" s="20">
        <v>-0.82737572352941235</v>
      </c>
      <c r="R1247" s="26" t="s">
        <v>393</v>
      </c>
      <c r="S1247" s="26"/>
      <c r="T1247" s="71" t="s">
        <v>626</v>
      </c>
    </row>
    <row r="1248" spans="1:20" s="14" customFormat="1" ht="12.75" customHeight="1">
      <c r="A1248" s="19" t="s">
        <v>417</v>
      </c>
      <c r="B1248" s="19" t="s">
        <v>425</v>
      </c>
      <c r="C1248" s="19" t="s">
        <v>514</v>
      </c>
      <c r="D1248" s="34">
        <v>43346</v>
      </c>
      <c r="E1248" s="19">
        <v>2018</v>
      </c>
      <c r="F1248" s="19">
        <v>9</v>
      </c>
      <c r="G1248" s="30">
        <v>3</v>
      </c>
      <c r="H1248" s="29">
        <v>0.95716435185185189</v>
      </c>
      <c r="I1248" s="35">
        <v>137.9173333</v>
      </c>
      <c r="J1248" s="35">
        <v>38.583333330000002</v>
      </c>
      <c r="K1248" s="28">
        <v>10</v>
      </c>
      <c r="L1248" s="28">
        <v>10</v>
      </c>
      <c r="M1248" s="28">
        <v>0</v>
      </c>
      <c r="N1248" s="36">
        <v>25.162600000000001</v>
      </c>
      <c r="O1248" s="35">
        <v>33.359499999999997</v>
      </c>
      <c r="P1248" s="20">
        <v>-0.18320513294117635</v>
      </c>
      <c r="Q1248" s="20">
        <v>-1.486424105882354</v>
      </c>
      <c r="R1248" s="26" t="s">
        <v>393</v>
      </c>
      <c r="S1248" s="26"/>
      <c r="T1248" s="71" t="s">
        <v>626</v>
      </c>
    </row>
    <row r="1249" spans="1:20" s="14" customFormat="1" ht="12.75" customHeight="1">
      <c r="A1249" s="19" t="s">
        <v>417</v>
      </c>
      <c r="B1249" s="19" t="s">
        <v>66</v>
      </c>
      <c r="C1249" s="19" t="s">
        <v>514</v>
      </c>
      <c r="D1249" s="34">
        <v>43347</v>
      </c>
      <c r="E1249" s="19">
        <v>2018</v>
      </c>
      <c r="F1249" s="19">
        <v>9</v>
      </c>
      <c r="G1249" s="30">
        <v>4</v>
      </c>
      <c r="H1249" s="29">
        <v>0.16630787037037037</v>
      </c>
      <c r="I1249" s="35">
        <v>137.7728333</v>
      </c>
      <c r="J1249" s="35">
        <v>38.833333330000002</v>
      </c>
      <c r="K1249" s="28">
        <v>10</v>
      </c>
      <c r="L1249" s="28">
        <v>10</v>
      </c>
      <c r="M1249" s="28">
        <v>0</v>
      </c>
      <c r="N1249" s="36">
        <v>24.912800000000001</v>
      </c>
      <c r="O1249" s="35">
        <v>33.380200000000002</v>
      </c>
      <c r="P1249" s="20">
        <v>-0.15657883764705871</v>
      </c>
      <c r="Q1249" s="20">
        <v>-1.2287172752941178</v>
      </c>
      <c r="R1249" s="26" t="s">
        <v>393</v>
      </c>
      <c r="S1249" s="26"/>
      <c r="T1249" s="71" t="s">
        <v>626</v>
      </c>
    </row>
    <row r="1250" spans="1:20" s="14" customFormat="1" ht="12.75" customHeight="1">
      <c r="A1250" s="19" t="s">
        <v>417</v>
      </c>
      <c r="B1250" s="19" t="s">
        <v>67</v>
      </c>
      <c r="C1250" s="19" t="s">
        <v>514</v>
      </c>
      <c r="D1250" s="34">
        <v>43345</v>
      </c>
      <c r="E1250" s="19">
        <v>2018</v>
      </c>
      <c r="F1250" s="19">
        <v>9</v>
      </c>
      <c r="G1250" s="30">
        <v>2</v>
      </c>
      <c r="H1250" s="29">
        <v>0.77225694444444448</v>
      </c>
      <c r="I1250" s="35">
        <v>137.58933329999999</v>
      </c>
      <c r="J1250" s="35">
        <v>39.081666669999997</v>
      </c>
      <c r="K1250" s="28">
        <v>1000</v>
      </c>
      <c r="L1250" s="28">
        <v>1000</v>
      </c>
      <c r="M1250" s="28">
        <v>0</v>
      </c>
      <c r="N1250" s="36">
        <v>0.34389999999999998</v>
      </c>
      <c r="O1250" s="35">
        <v>34.0685</v>
      </c>
      <c r="P1250" s="20">
        <v>-7.2861818823529267E-2</v>
      </c>
      <c r="Q1250" s="20">
        <v>-0.84108625764705813</v>
      </c>
      <c r="R1250" s="26" t="s">
        <v>393</v>
      </c>
      <c r="S1250" s="26">
        <v>1</v>
      </c>
      <c r="T1250" s="71" t="s">
        <v>626</v>
      </c>
    </row>
    <row r="1251" spans="1:20" s="14" customFormat="1" ht="12.75" customHeight="1">
      <c r="A1251" s="19" t="s">
        <v>417</v>
      </c>
      <c r="B1251" s="19" t="s">
        <v>67</v>
      </c>
      <c r="C1251" s="19" t="s">
        <v>514</v>
      </c>
      <c r="D1251" s="34">
        <v>43345</v>
      </c>
      <c r="E1251" s="19">
        <v>2018</v>
      </c>
      <c r="F1251" s="19">
        <v>9</v>
      </c>
      <c r="G1251" s="30">
        <v>2</v>
      </c>
      <c r="H1251" s="29">
        <v>0.77581018518518519</v>
      </c>
      <c r="I1251" s="35">
        <v>137.58933329999999</v>
      </c>
      <c r="J1251" s="35">
        <v>39.081666669999997</v>
      </c>
      <c r="K1251" s="28">
        <v>750</v>
      </c>
      <c r="L1251" s="28">
        <v>750</v>
      </c>
      <c r="M1251" s="28">
        <v>0</v>
      </c>
      <c r="N1251" s="36">
        <v>0.45929999999999999</v>
      </c>
      <c r="O1251" s="35">
        <v>34.0685</v>
      </c>
      <c r="P1251" s="20">
        <v>-2.9030099999999948E-2</v>
      </c>
      <c r="Q1251" s="20">
        <v>-0.67327769999999987</v>
      </c>
      <c r="R1251" s="26" t="s">
        <v>393</v>
      </c>
      <c r="S1251" s="26">
        <v>1</v>
      </c>
      <c r="T1251" s="71" t="s">
        <v>626</v>
      </c>
    </row>
    <row r="1252" spans="1:20" s="14" customFormat="1" ht="12.75" customHeight="1">
      <c r="A1252" s="19" t="s">
        <v>417</v>
      </c>
      <c r="B1252" s="19" t="s">
        <v>67</v>
      </c>
      <c r="C1252" s="19" t="s">
        <v>514</v>
      </c>
      <c r="D1252" s="34">
        <v>43345</v>
      </c>
      <c r="E1252" s="19">
        <v>2018</v>
      </c>
      <c r="F1252" s="19">
        <v>9</v>
      </c>
      <c r="G1252" s="30">
        <v>2</v>
      </c>
      <c r="H1252" s="29">
        <v>0.77931712962962962</v>
      </c>
      <c r="I1252" s="35">
        <v>137.58933329999999</v>
      </c>
      <c r="J1252" s="35">
        <v>39.081666669999997</v>
      </c>
      <c r="K1252" s="28">
        <v>500</v>
      </c>
      <c r="L1252" s="28">
        <v>500</v>
      </c>
      <c r="M1252" s="28">
        <v>0</v>
      </c>
      <c r="N1252" s="36">
        <v>0.70020000000000004</v>
      </c>
      <c r="O1252" s="35">
        <v>34.063299999999998</v>
      </c>
      <c r="P1252" s="20">
        <v>-2.3038281176470665E-2</v>
      </c>
      <c r="Q1252" s="20">
        <v>-0.74923266235294328</v>
      </c>
      <c r="R1252" s="26" t="s">
        <v>393</v>
      </c>
      <c r="S1252" s="26">
        <v>1</v>
      </c>
      <c r="T1252" s="71" t="s">
        <v>626</v>
      </c>
    </row>
    <row r="1253" spans="1:20" s="14" customFormat="1" ht="12.75" customHeight="1">
      <c r="A1253" s="19" t="s">
        <v>417</v>
      </c>
      <c r="B1253" s="19" t="s">
        <v>67</v>
      </c>
      <c r="C1253" s="19" t="s">
        <v>514</v>
      </c>
      <c r="D1253" s="34">
        <v>43345</v>
      </c>
      <c r="E1253" s="19">
        <v>2018</v>
      </c>
      <c r="F1253" s="19">
        <v>9</v>
      </c>
      <c r="G1253" s="30">
        <v>2</v>
      </c>
      <c r="H1253" s="29">
        <v>0.78084490740740742</v>
      </c>
      <c r="I1253" s="35">
        <v>137.58933329999999</v>
      </c>
      <c r="J1253" s="35">
        <v>39.081666669999997</v>
      </c>
      <c r="K1253" s="28">
        <v>400</v>
      </c>
      <c r="L1253" s="28">
        <v>400</v>
      </c>
      <c r="M1253" s="28">
        <v>0</v>
      </c>
      <c r="N1253" s="36">
        <v>0.84850000000000003</v>
      </c>
      <c r="O1253" s="35">
        <v>34.056800000000003</v>
      </c>
      <c r="P1253" s="20">
        <v>-6.347704235294116E-2</v>
      </c>
      <c r="Q1253" s="20">
        <v>-0.83686136470588401</v>
      </c>
      <c r="R1253" s="26" t="s">
        <v>393</v>
      </c>
      <c r="S1253" s="26">
        <v>1</v>
      </c>
      <c r="T1253" s="71" t="s">
        <v>626</v>
      </c>
    </row>
    <row r="1254" spans="1:20" s="14" customFormat="1" ht="12.75" customHeight="1">
      <c r="A1254" s="19" t="s">
        <v>417</v>
      </c>
      <c r="B1254" s="19" t="s">
        <v>67</v>
      </c>
      <c r="C1254" s="19" t="s">
        <v>514</v>
      </c>
      <c r="D1254" s="34">
        <v>43345</v>
      </c>
      <c r="E1254" s="19">
        <v>2018</v>
      </c>
      <c r="F1254" s="19">
        <v>9</v>
      </c>
      <c r="G1254" s="30">
        <v>2</v>
      </c>
      <c r="H1254" s="29">
        <v>0.78221064814814811</v>
      </c>
      <c r="I1254" s="35">
        <v>137.58933329999999</v>
      </c>
      <c r="J1254" s="35">
        <v>39.081666669999997</v>
      </c>
      <c r="K1254" s="28">
        <v>300</v>
      </c>
      <c r="L1254" s="28">
        <v>300</v>
      </c>
      <c r="M1254" s="28">
        <v>0</v>
      </c>
      <c r="N1254" s="36">
        <v>1.4535</v>
      </c>
      <c r="O1254" s="35">
        <v>34.036000000000001</v>
      </c>
      <c r="P1254" s="20">
        <v>-4.9712703529412039E-2</v>
      </c>
      <c r="Q1254" s="20">
        <v>-0.71218628705882558</v>
      </c>
      <c r="R1254" s="26" t="s">
        <v>393</v>
      </c>
      <c r="S1254" s="26">
        <v>1</v>
      </c>
      <c r="T1254" s="71" t="s">
        <v>626</v>
      </c>
    </row>
    <row r="1255" spans="1:20" s="14" customFormat="1" ht="12.75" customHeight="1">
      <c r="A1255" s="19" t="s">
        <v>417</v>
      </c>
      <c r="B1255" s="19" t="s">
        <v>67</v>
      </c>
      <c r="C1255" s="19" t="s">
        <v>514</v>
      </c>
      <c r="D1255" s="34">
        <v>43345</v>
      </c>
      <c r="E1255" s="19">
        <v>2018</v>
      </c>
      <c r="F1255" s="19">
        <v>9</v>
      </c>
      <c r="G1255" s="30">
        <v>2</v>
      </c>
      <c r="H1255" s="29">
        <v>0.78353009259259254</v>
      </c>
      <c r="I1255" s="35">
        <v>137.58933329999999</v>
      </c>
      <c r="J1255" s="35">
        <v>39.081666669999997</v>
      </c>
      <c r="K1255" s="28">
        <v>250</v>
      </c>
      <c r="L1255" s="28">
        <v>250</v>
      </c>
      <c r="M1255" s="28">
        <v>0</v>
      </c>
      <c r="N1255" s="36">
        <v>2.0828000000000002</v>
      </c>
      <c r="O1255" s="35">
        <v>34.024000000000001</v>
      </c>
      <c r="P1255" s="20">
        <v>1.7845655294117968E-2</v>
      </c>
      <c r="Q1255" s="20">
        <v>-0.48640474941176493</v>
      </c>
      <c r="R1255" s="26" t="s">
        <v>393</v>
      </c>
      <c r="S1255" s="26">
        <v>1</v>
      </c>
      <c r="T1255" s="71" t="s">
        <v>626</v>
      </c>
    </row>
    <row r="1256" spans="1:20" s="14" customFormat="1" ht="12.75" customHeight="1">
      <c r="A1256" s="19" t="s">
        <v>417</v>
      </c>
      <c r="B1256" s="19" t="s">
        <v>67</v>
      </c>
      <c r="C1256" s="19" t="s">
        <v>514</v>
      </c>
      <c r="D1256" s="34">
        <v>43345</v>
      </c>
      <c r="E1256" s="19">
        <v>2018</v>
      </c>
      <c r="F1256" s="19">
        <v>9</v>
      </c>
      <c r="G1256" s="30">
        <v>2</v>
      </c>
      <c r="H1256" s="29">
        <v>0.78434027777777782</v>
      </c>
      <c r="I1256" s="35">
        <v>137.58933329999999</v>
      </c>
      <c r="J1256" s="35">
        <v>39.081666669999997</v>
      </c>
      <c r="K1256" s="28">
        <v>225</v>
      </c>
      <c r="L1256" s="28">
        <v>225</v>
      </c>
      <c r="M1256" s="28">
        <v>0</v>
      </c>
      <c r="N1256" s="36">
        <v>3.3877000000000002</v>
      </c>
      <c r="O1256" s="35">
        <v>34.036000000000001</v>
      </c>
      <c r="P1256" s="20">
        <v>-1.0525245882352596E-2</v>
      </c>
      <c r="Q1256" s="20">
        <v>-0.49310871176470705</v>
      </c>
      <c r="R1256" s="26" t="s">
        <v>393</v>
      </c>
      <c r="S1256" s="26">
        <v>1</v>
      </c>
      <c r="T1256" s="71" t="s">
        <v>626</v>
      </c>
    </row>
    <row r="1257" spans="1:20" s="14" customFormat="1" ht="12.75" customHeight="1">
      <c r="A1257" s="19" t="s">
        <v>417</v>
      </c>
      <c r="B1257" s="19" t="s">
        <v>67</v>
      </c>
      <c r="C1257" s="19" t="s">
        <v>514</v>
      </c>
      <c r="D1257" s="34">
        <v>43345</v>
      </c>
      <c r="E1257" s="19">
        <v>2018</v>
      </c>
      <c r="F1257" s="19">
        <v>9</v>
      </c>
      <c r="G1257" s="30">
        <v>2</v>
      </c>
      <c r="H1257" s="29">
        <v>0.78488425925925931</v>
      </c>
      <c r="I1257" s="35">
        <v>137.58933329999999</v>
      </c>
      <c r="J1257" s="35">
        <v>39.081666669999997</v>
      </c>
      <c r="K1257" s="28">
        <v>200</v>
      </c>
      <c r="L1257" s="28">
        <v>200</v>
      </c>
      <c r="M1257" s="28">
        <v>0</v>
      </c>
      <c r="N1257" s="36">
        <v>4.7667999999999999</v>
      </c>
      <c r="O1257" s="35">
        <v>34.0809</v>
      </c>
      <c r="P1257" s="20">
        <v>1.0122729411761178E-3</v>
      </c>
      <c r="Q1257" s="20">
        <v>-0.2004698317647069</v>
      </c>
      <c r="R1257" s="26" t="s">
        <v>393</v>
      </c>
      <c r="S1257" s="26">
        <v>1</v>
      </c>
      <c r="T1257" s="71" t="s">
        <v>626</v>
      </c>
    </row>
    <row r="1258" spans="1:20" s="14" customFormat="1" ht="12.75" customHeight="1">
      <c r="A1258" s="19" t="s">
        <v>417</v>
      </c>
      <c r="B1258" s="19" t="s">
        <v>67</v>
      </c>
      <c r="C1258" s="19" t="s">
        <v>514</v>
      </c>
      <c r="D1258" s="34">
        <v>43345</v>
      </c>
      <c r="E1258" s="19">
        <v>2018</v>
      </c>
      <c r="F1258" s="19">
        <v>9</v>
      </c>
      <c r="G1258" s="30">
        <v>2</v>
      </c>
      <c r="H1258" s="29">
        <v>0.78545138888888888</v>
      </c>
      <c r="I1258" s="35">
        <v>137.58933329999999</v>
      </c>
      <c r="J1258" s="35">
        <v>39.081666669999997</v>
      </c>
      <c r="K1258" s="28">
        <v>175</v>
      </c>
      <c r="L1258" s="28">
        <v>175</v>
      </c>
      <c r="M1258" s="28">
        <v>0</v>
      </c>
      <c r="N1258" s="36">
        <v>8.3483000000000001</v>
      </c>
      <c r="O1258" s="35">
        <v>34.220799999999997</v>
      </c>
      <c r="P1258" s="20">
        <v>6.9236423529411173E-2</v>
      </c>
      <c r="Q1258" s="20">
        <v>0.17623526588235094</v>
      </c>
      <c r="R1258" s="26" t="s">
        <v>393</v>
      </c>
      <c r="S1258" s="26">
        <v>1</v>
      </c>
      <c r="T1258" s="71" t="s">
        <v>626</v>
      </c>
    </row>
    <row r="1259" spans="1:20" s="14" customFormat="1" ht="12.75" customHeight="1">
      <c r="A1259" s="19" t="s">
        <v>417</v>
      </c>
      <c r="B1259" s="19" t="s">
        <v>67</v>
      </c>
      <c r="C1259" s="19" t="s">
        <v>514</v>
      </c>
      <c r="D1259" s="34">
        <v>43345</v>
      </c>
      <c r="E1259" s="19">
        <v>2018</v>
      </c>
      <c r="F1259" s="19">
        <v>9</v>
      </c>
      <c r="G1259" s="30">
        <v>2</v>
      </c>
      <c r="H1259" s="29">
        <v>0.78593750000000007</v>
      </c>
      <c r="I1259" s="35">
        <v>137.58933329999999</v>
      </c>
      <c r="J1259" s="35">
        <v>39.081666669999997</v>
      </c>
      <c r="K1259" s="28">
        <v>150</v>
      </c>
      <c r="L1259" s="28">
        <v>150</v>
      </c>
      <c r="M1259" s="28">
        <v>0</v>
      </c>
      <c r="N1259" s="36">
        <v>12.0669</v>
      </c>
      <c r="O1259" s="35">
        <v>34.403500000000001</v>
      </c>
      <c r="P1259" s="20">
        <v>0.10453929411764706</v>
      </c>
      <c r="Q1259" s="20">
        <v>0.8548872435294097</v>
      </c>
      <c r="R1259" s="26" t="s">
        <v>393</v>
      </c>
      <c r="S1259" s="26">
        <v>1</v>
      </c>
      <c r="T1259" s="71" t="s">
        <v>626</v>
      </c>
    </row>
    <row r="1260" spans="1:20" s="14" customFormat="1" ht="12.75" customHeight="1">
      <c r="A1260" s="19" t="s">
        <v>417</v>
      </c>
      <c r="B1260" s="19" t="s">
        <v>67</v>
      </c>
      <c r="C1260" s="19" t="s">
        <v>514</v>
      </c>
      <c r="D1260" s="34">
        <v>43345</v>
      </c>
      <c r="E1260" s="19">
        <v>2018</v>
      </c>
      <c r="F1260" s="19">
        <v>9</v>
      </c>
      <c r="G1260" s="30">
        <v>2</v>
      </c>
      <c r="H1260" s="29">
        <v>0.78638888888888892</v>
      </c>
      <c r="I1260" s="35">
        <v>137.58933329999999</v>
      </c>
      <c r="J1260" s="35">
        <v>39.081666669999997</v>
      </c>
      <c r="K1260" s="28">
        <v>125</v>
      </c>
      <c r="L1260" s="28">
        <v>125</v>
      </c>
      <c r="M1260" s="28">
        <v>0</v>
      </c>
      <c r="N1260" s="36">
        <v>13.7989</v>
      </c>
      <c r="O1260" s="35">
        <v>34.4465</v>
      </c>
      <c r="P1260" s="20">
        <v>0.15926776470588244</v>
      </c>
      <c r="Q1260" s="20">
        <v>1.1277981011764719</v>
      </c>
      <c r="R1260" s="26" t="s">
        <v>393</v>
      </c>
      <c r="S1260" s="26">
        <v>1</v>
      </c>
      <c r="T1260" s="71" t="s">
        <v>626</v>
      </c>
    </row>
    <row r="1261" spans="1:20" s="14" customFormat="1" ht="12.75" customHeight="1">
      <c r="A1261" s="19" t="s">
        <v>417</v>
      </c>
      <c r="B1261" s="19" t="s">
        <v>67</v>
      </c>
      <c r="C1261" s="19" t="s">
        <v>514</v>
      </c>
      <c r="D1261" s="34">
        <v>43345</v>
      </c>
      <c r="E1261" s="19">
        <v>2018</v>
      </c>
      <c r="F1261" s="19">
        <v>9</v>
      </c>
      <c r="G1261" s="30">
        <v>2</v>
      </c>
      <c r="H1261" s="29">
        <v>0.78688657407407403</v>
      </c>
      <c r="I1261" s="35">
        <v>137.58933329999999</v>
      </c>
      <c r="J1261" s="35">
        <v>39.081666669999997</v>
      </c>
      <c r="K1261" s="28">
        <v>100</v>
      </c>
      <c r="L1261" s="28">
        <v>100</v>
      </c>
      <c r="M1261" s="28">
        <v>0</v>
      </c>
      <c r="N1261" s="36">
        <v>15.8963</v>
      </c>
      <c r="O1261" s="35">
        <v>34.391100000000002</v>
      </c>
      <c r="P1261" s="20">
        <v>0.15122087529411754</v>
      </c>
      <c r="Q1261" s="20">
        <v>1.0012583988235289</v>
      </c>
      <c r="R1261" s="26" t="s">
        <v>393</v>
      </c>
      <c r="S1261" s="26">
        <v>1</v>
      </c>
      <c r="T1261" s="71" t="s">
        <v>626</v>
      </c>
    </row>
    <row r="1262" spans="1:20" s="14" customFormat="1" ht="12.75" customHeight="1">
      <c r="A1262" s="19" t="s">
        <v>417</v>
      </c>
      <c r="B1262" s="19" t="s">
        <v>67</v>
      </c>
      <c r="C1262" s="19" t="s">
        <v>514</v>
      </c>
      <c r="D1262" s="34">
        <v>43345</v>
      </c>
      <c r="E1262" s="19">
        <v>2018</v>
      </c>
      <c r="F1262" s="19">
        <v>9</v>
      </c>
      <c r="G1262" s="30">
        <v>2</v>
      </c>
      <c r="H1262" s="29">
        <v>0.78755787037037039</v>
      </c>
      <c r="I1262" s="35">
        <v>137.58933329999999</v>
      </c>
      <c r="J1262" s="35">
        <v>39.081666669999997</v>
      </c>
      <c r="K1262" s="28">
        <v>90</v>
      </c>
      <c r="L1262" s="28">
        <v>90</v>
      </c>
      <c r="M1262" s="28">
        <v>0</v>
      </c>
      <c r="N1262" s="36">
        <v>16.898900000000001</v>
      </c>
      <c r="O1262" s="35">
        <v>34.372799999999998</v>
      </c>
      <c r="P1262" s="20">
        <v>0.16137270588235264</v>
      </c>
      <c r="Q1262" s="20">
        <v>0.93428243647058906</v>
      </c>
      <c r="R1262" s="26" t="s">
        <v>393</v>
      </c>
      <c r="S1262" s="26">
        <v>1</v>
      </c>
      <c r="T1262" s="71" t="s">
        <v>626</v>
      </c>
    </row>
    <row r="1263" spans="1:20" s="14" customFormat="1" ht="12.75" customHeight="1">
      <c r="A1263" s="19" t="s">
        <v>417</v>
      </c>
      <c r="B1263" s="19" t="s">
        <v>67</v>
      </c>
      <c r="C1263" s="19" t="s">
        <v>514</v>
      </c>
      <c r="D1263" s="34">
        <v>43345</v>
      </c>
      <c r="E1263" s="19">
        <v>2018</v>
      </c>
      <c r="F1263" s="19">
        <v>9</v>
      </c>
      <c r="G1263" s="30">
        <v>2</v>
      </c>
      <c r="H1263" s="29">
        <v>0.78858796296296296</v>
      </c>
      <c r="I1263" s="35">
        <v>137.58933329999999</v>
      </c>
      <c r="J1263" s="35">
        <v>39.081666669999997</v>
      </c>
      <c r="K1263" s="28">
        <v>70</v>
      </c>
      <c r="L1263" s="28">
        <v>70</v>
      </c>
      <c r="M1263" s="28">
        <v>0</v>
      </c>
      <c r="N1263" s="36">
        <v>18.019100000000002</v>
      </c>
      <c r="O1263" s="35">
        <v>34.293900000000001</v>
      </c>
      <c r="P1263" s="20">
        <v>0.13103749647058827</v>
      </c>
      <c r="Q1263" s="20">
        <v>0.80046927411764557</v>
      </c>
      <c r="R1263" s="26" t="s">
        <v>393</v>
      </c>
      <c r="S1263" s="26">
        <v>1</v>
      </c>
      <c r="T1263" s="71" t="s">
        <v>626</v>
      </c>
    </row>
    <row r="1264" spans="1:20" s="14" customFormat="1" ht="12.75" customHeight="1">
      <c r="A1264" s="19" t="s">
        <v>417</v>
      </c>
      <c r="B1264" s="19" t="s">
        <v>67</v>
      </c>
      <c r="C1264" s="19" t="s">
        <v>514</v>
      </c>
      <c r="D1264" s="34">
        <v>43345</v>
      </c>
      <c r="E1264" s="19">
        <v>2018</v>
      </c>
      <c r="F1264" s="19">
        <v>9</v>
      </c>
      <c r="G1264" s="30">
        <v>2</v>
      </c>
      <c r="H1264" s="29">
        <v>0.78916666666666668</v>
      </c>
      <c r="I1264" s="35">
        <v>137.58933329999999</v>
      </c>
      <c r="J1264" s="35">
        <v>39.081666669999997</v>
      </c>
      <c r="K1264" s="28">
        <v>60</v>
      </c>
      <c r="L1264" s="28">
        <v>60</v>
      </c>
      <c r="M1264" s="28">
        <v>0</v>
      </c>
      <c r="N1264" s="36">
        <v>18.604700000000001</v>
      </c>
      <c r="O1264" s="35">
        <v>34.237499999999997</v>
      </c>
      <c r="P1264" s="20">
        <v>0.10866497882352988</v>
      </c>
      <c r="Q1264" s="20">
        <v>0.76040164470588145</v>
      </c>
      <c r="R1264" s="26" t="s">
        <v>393</v>
      </c>
      <c r="S1264" s="26">
        <v>1</v>
      </c>
      <c r="T1264" s="71" t="s">
        <v>626</v>
      </c>
    </row>
    <row r="1265" spans="1:20" s="14" customFormat="1" ht="12.75" customHeight="1">
      <c r="A1265" s="19" t="s">
        <v>417</v>
      </c>
      <c r="B1265" s="19" t="s">
        <v>67</v>
      </c>
      <c r="C1265" s="19" t="s">
        <v>514</v>
      </c>
      <c r="D1265" s="34">
        <v>43345</v>
      </c>
      <c r="E1265" s="19">
        <v>2018</v>
      </c>
      <c r="F1265" s="19">
        <v>9</v>
      </c>
      <c r="G1265" s="30">
        <v>2</v>
      </c>
      <c r="H1265" s="29">
        <v>0.78971064814814806</v>
      </c>
      <c r="I1265" s="35">
        <v>137.58933329999999</v>
      </c>
      <c r="J1265" s="35">
        <v>39.081666669999997</v>
      </c>
      <c r="K1265" s="28">
        <v>50</v>
      </c>
      <c r="L1265" s="28">
        <v>50</v>
      </c>
      <c r="M1265" s="28">
        <v>0</v>
      </c>
      <c r="N1265" s="36">
        <v>18.9878</v>
      </c>
      <c r="O1265" s="35">
        <v>34.154400000000003</v>
      </c>
      <c r="P1265" s="20">
        <v>7.6489449411764276E-2</v>
      </c>
      <c r="Q1265" s="20">
        <v>0.4331537623529389</v>
      </c>
      <c r="R1265" s="26" t="s">
        <v>393</v>
      </c>
      <c r="S1265" s="26">
        <v>1</v>
      </c>
      <c r="T1265" s="71" t="s">
        <v>626</v>
      </c>
    </row>
    <row r="1266" spans="1:20" s="14" customFormat="1" ht="12.75" customHeight="1">
      <c r="A1266" s="19" t="s">
        <v>417</v>
      </c>
      <c r="B1266" s="19" t="s">
        <v>67</v>
      </c>
      <c r="C1266" s="19" t="s">
        <v>514</v>
      </c>
      <c r="D1266" s="34">
        <v>43345</v>
      </c>
      <c r="E1266" s="19">
        <v>2018</v>
      </c>
      <c r="F1266" s="19">
        <v>9</v>
      </c>
      <c r="G1266" s="30">
        <v>2</v>
      </c>
      <c r="H1266" s="29">
        <v>0.79068287037037033</v>
      </c>
      <c r="I1266" s="35">
        <v>137.58933329999999</v>
      </c>
      <c r="J1266" s="35">
        <v>39.081666669999997</v>
      </c>
      <c r="K1266" s="28">
        <v>40</v>
      </c>
      <c r="L1266" s="28">
        <v>40</v>
      </c>
      <c r="M1266" s="28">
        <v>0</v>
      </c>
      <c r="N1266" s="36">
        <v>20.633900000000001</v>
      </c>
      <c r="O1266" s="35">
        <v>33.9741</v>
      </c>
      <c r="P1266" s="20">
        <v>1.2824000000000169E-2</v>
      </c>
      <c r="Q1266" s="20">
        <v>0.12182886000000082</v>
      </c>
      <c r="R1266" s="26" t="s">
        <v>393</v>
      </c>
      <c r="S1266" s="26">
        <v>1</v>
      </c>
      <c r="T1266" s="71" t="s">
        <v>626</v>
      </c>
    </row>
    <row r="1267" spans="1:20" s="14" customFormat="1" ht="12.75" customHeight="1">
      <c r="A1267" s="19" t="s">
        <v>417</v>
      </c>
      <c r="B1267" s="19" t="s">
        <v>67</v>
      </c>
      <c r="C1267" s="19" t="s">
        <v>514</v>
      </c>
      <c r="D1267" s="34">
        <v>43345</v>
      </c>
      <c r="E1267" s="19">
        <v>2018</v>
      </c>
      <c r="F1267" s="19">
        <v>9</v>
      </c>
      <c r="G1267" s="30">
        <v>2</v>
      </c>
      <c r="H1267" s="29">
        <v>0.79126157407407405</v>
      </c>
      <c r="I1267" s="35">
        <v>137.58933329999999</v>
      </c>
      <c r="J1267" s="35">
        <v>39.081666669999997</v>
      </c>
      <c r="K1267" s="28">
        <v>30</v>
      </c>
      <c r="L1267" s="28">
        <v>30</v>
      </c>
      <c r="M1267" s="28">
        <v>0</v>
      </c>
      <c r="N1267" s="36">
        <v>22.872</v>
      </c>
      <c r="O1267" s="35">
        <v>33.711599999999997</v>
      </c>
      <c r="P1267" s="20">
        <v>-9.7462889411764841E-2</v>
      </c>
      <c r="Q1267" s="20">
        <v>-0.58619448235294236</v>
      </c>
      <c r="R1267" s="26" t="s">
        <v>393</v>
      </c>
      <c r="S1267" s="26">
        <v>1</v>
      </c>
      <c r="T1267" s="71" t="s">
        <v>626</v>
      </c>
    </row>
    <row r="1268" spans="1:20" s="14" customFormat="1" ht="12.75" customHeight="1">
      <c r="A1268" s="19" t="s">
        <v>417</v>
      </c>
      <c r="B1268" s="19" t="s">
        <v>67</v>
      </c>
      <c r="C1268" s="19" t="s">
        <v>514</v>
      </c>
      <c r="D1268" s="34">
        <v>43345</v>
      </c>
      <c r="E1268" s="19">
        <v>2018</v>
      </c>
      <c r="F1268" s="19">
        <v>9</v>
      </c>
      <c r="G1268" s="30">
        <v>2</v>
      </c>
      <c r="H1268" s="29">
        <v>0.7917939814814815</v>
      </c>
      <c r="I1268" s="35">
        <v>137.58933329999999</v>
      </c>
      <c r="J1268" s="35">
        <v>39.081666669999997</v>
      </c>
      <c r="K1268" s="28">
        <v>20</v>
      </c>
      <c r="L1268" s="28">
        <v>20</v>
      </c>
      <c r="M1268" s="28">
        <v>0</v>
      </c>
      <c r="N1268" s="36">
        <v>23.718</v>
      </c>
      <c r="O1268" s="35">
        <v>33.616199999999999</v>
      </c>
      <c r="P1268" s="20">
        <v>-9.7330578823529024E-2</v>
      </c>
      <c r="Q1268" s="20">
        <v>-0.84169066470588305</v>
      </c>
      <c r="R1268" s="26" t="s">
        <v>393</v>
      </c>
      <c r="S1268" s="26">
        <v>1</v>
      </c>
      <c r="T1268" s="71" t="s">
        <v>626</v>
      </c>
    </row>
    <row r="1269" spans="1:20" s="14" customFormat="1" ht="12.75" customHeight="1">
      <c r="A1269" s="19" t="s">
        <v>417</v>
      </c>
      <c r="B1269" s="19" t="s">
        <v>67</v>
      </c>
      <c r="C1269" s="19" t="s">
        <v>514</v>
      </c>
      <c r="D1269" s="34">
        <v>43345</v>
      </c>
      <c r="E1269" s="19">
        <v>2018</v>
      </c>
      <c r="F1269" s="19">
        <v>9</v>
      </c>
      <c r="G1269" s="30">
        <v>2</v>
      </c>
      <c r="H1269" s="29">
        <v>0.79234953703703714</v>
      </c>
      <c r="I1269" s="35">
        <v>137.58933329999999</v>
      </c>
      <c r="J1269" s="35">
        <v>39.081666669999997</v>
      </c>
      <c r="K1269" s="28">
        <v>10</v>
      </c>
      <c r="L1269" s="28">
        <v>10</v>
      </c>
      <c r="M1269" s="28">
        <v>0</v>
      </c>
      <c r="N1269" s="36">
        <v>24.840199999999999</v>
      </c>
      <c r="O1269" s="35">
        <v>33.305399999999999</v>
      </c>
      <c r="P1269" s="20">
        <v>-0.27959442823529423</v>
      </c>
      <c r="Q1269" s="20">
        <v>-1.7319436670588253</v>
      </c>
      <c r="R1269" s="26" t="s">
        <v>393</v>
      </c>
      <c r="S1269" s="26">
        <v>1</v>
      </c>
      <c r="T1269" s="71" t="s">
        <v>626</v>
      </c>
    </row>
    <row r="1270" spans="1:20" s="14" customFormat="1" ht="12.75" customHeight="1">
      <c r="A1270" s="19" t="s">
        <v>417</v>
      </c>
      <c r="B1270" s="19" t="s">
        <v>69</v>
      </c>
      <c r="C1270" s="19" t="s">
        <v>514</v>
      </c>
      <c r="D1270" s="34">
        <v>43346</v>
      </c>
      <c r="E1270" s="19">
        <v>2018</v>
      </c>
      <c r="F1270" s="19">
        <v>9</v>
      </c>
      <c r="G1270" s="30">
        <v>3</v>
      </c>
      <c r="H1270" s="29">
        <v>0.19287037037037036</v>
      </c>
      <c r="I1270" s="35">
        <v>137.3051667</v>
      </c>
      <c r="J1270" s="35">
        <v>39.550166670000003</v>
      </c>
      <c r="K1270" s="28">
        <v>150</v>
      </c>
      <c r="L1270" s="28">
        <v>150</v>
      </c>
      <c r="M1270" s="28">
        <v>0</v>
      </c>
      <c r="N1270" s="36" t="s">
        <v>287</v>
      </c>
      <c r="O1270" s="35">
        <v>34.088200000000001</v>
      </c>
      <c r="P1270" s="20">
        <v>-1.3710287058823489E-2</v>
      </c>
      <c r="Q1270" s="20">
        <v>-0.44796405176470699</v>
      </c>
      <c r="R1270" s="26" t="s">
        <v>393</v>
      </c>
      <c r="S1270" s="26"/>
      <c r="T1270" s="71" t="s">
        <v>626</v>
      </c>
    </row>
    <row r="1271" spans="1:20" s="14" customFormat="1" ht="12.75" customHeight="1">
      <c r="A1271" s="19" t="s">
        <v>417</v>
      </c>
      <c r="B1271" s="19" t="s">
        <v>70</v>
      </c>
      <c r="C1271" s="19" t="s">
        <v>514</v>
      </c>
      <c r="D1271" s="34">
        <v>43345</v>
      </c>
      <c r="E1271" s="19">
        <v>2018</v>
      </c>
      <c r="F1271" s="19">
        <v>9</v>
      </c>
      <c r="G1271" s="30">
        <v>2</v>
      </c>
      <c r="H1271" s="29">
        <v>0.19112268518518519</v>
      </c>
      <c r="I1271" s="35">
        <v>137.17449999999999</v>
      </c>
      <c r="J1271" s="35">
        <v>39.825000000000003</v>
      </c>
      <c r="K1271" s="28">
        <v>10</v>
      </c>
      <c r="L1271" s="28">
        <v>10</v>
      </c>
      <c r="M1271" s="28">
        <v>0</v>
      </c>
      <c r="N1271" s="36">
        <v>23.287400000000002</v>
      </c>
      <c r="O1271" s="35">
        <v>33.940300000000001</v>
      </c>
      <c r="P1271" s="20">
        <v>-4.1372818823529389E-2</v>
      </c>
      <c r="Q1271" s="20">
        <v>-0.5930701082352936</v>
      </c>
      <c r="R1271" s="26" t="s">
        <v>393</v>
      </c>
      <c r="S1271" s="26"/>
      <c r="T1271" s="71" t="s">
        <v>626</v>
      </c>
    </row>
    <row r="1272" spans="1:20" s="14" customFormat="1" ht="12.75" customHeight="1">
      <c r="A1272" s="19" t="s">
        <v>417</v>
      </c>
      <c r="B1272" s="19" t="s">
        <v>71</v>
      </c>
      <c r="C1272" s="19" t="s">
        <v>514</v>
      </c>
      <c r="D1272" s="34">
        <v>43344</v>
      </c>
      <c r="E1272" s="19">
        <v>2018</v>
      </c>
      <c r="F1272" s="19">
        <v>9</v>
      </c>
      <c r="G1272" s="30">
        <v>1</v>
      </c>
      <c r="H1272" s="29">
        <v>0.95942129629629624</v>
      </c>
      <c r="I1272" s="35">
        <v>136.91650000000001</v>
      </c>
      <c r="J1272" s="35">
        <v>40.085000000000001</v>
      </c>
      <c r="K1272" s="28">
        <v>10</v>
      </c>
      <c r="L1272" s="28">
        <v>10</v>
      </c>
      <c r="M1272" s="28">
        <v>0</v>
      </c>
      <c r="N1272" s="36">
        <v>24.392600000000002</v>
      </c>
      <c r="O1272" s="35">
        <v>33.513100000000001</v>
      </c>
      <c r="P1272" s="20">
        <v>-8.7190290588234909E-2</v>
      </c>
      <c r="Q1272" s="20">
        <v>-1.0558771858823537</v>
      </c>
      <c r="R1272" s="26" t="s">
        <v>393</v>
      </c>
      <c r="S1272" s="26"/>
      <c r="T1272" s="71" t="s">
        <v>626</v>
      </c>
    </row>
    <row r="1273" spans="1:20" s="14" customFormat="1" ht="12.75" customHeight="1">
      <c r="A1273" s="19" t="s">
        <v>417</v>
      </c>
      <c r="B1273" s="19" t="s">
        <v>72</v>
      </c>
      <c r="C1273" s="19" t="s">
        <v>514</v>
      </c>
      <c r="D1273" s="34">
        <v>43344</v>
      </c>
      <c r="E1273" s="19">
        <v>2018</v>
      </c>
      <c r="F1273" s="19">
        <v>9</v>
      </c>
      <c r="G1273" s="30">
        <v>1</v>
      </c>
      <c r="H1273" s="29">
        <v>0.7712268518518518</v>
      </c>
      <c r="I1273" s="35">
        <v>136.74683329999999</v>
      </c>
      <c r="J1273" s="35">
        <v>40.331666669999997</v>
      </c>
      <c r="K1273" s="28">
        <v>1000</v>
      </c>
      <c r="L1273" s="28">
        <v>1000</v>
      </c>
      <c r="M1273" s="28">
        <v>0</v>
      </c>
      <c r="N1273" s="36">
        <v>0.33050000000000002</v>
      </c>
      <c r="O1273" s="35">
        <v>34.068600000000004</v>
      </c>
      <c r="P1273" s="20">
        <v>-3.1794002352941053E-2</v>
      </c>
      <c r="Q1273" s="20">
        <v>-0.99058346352941129</v>
      </c>
      <c r="R1273" s="26" t="s">
        <v>393</v>
      </c>
      <c r="S1273" s="26">
        <v>1</v>
      </c>
      <c r="T1273" s="71" t="s">
        <v>626</v>
      </c>
    </row>
    <row r="1274" spans="1:20" s="14" customFormat="1" ht="12.75" customHeight="1">
      <c r="A1274" s="19" t="s">
        <v>417</v>
      </c>
      <c r="B1274" s="19" t="s">
        <v>72</v>
      </c>
      <c r="C1274" s="19" t="s">
        <v>514</v>
      </c>
      <c r="D1274" s="34">
        <v>43344</v>
      </c>
      <c r="E1274" s="19">
        <v>2018</v>
      </c>
      <c r="F1274" s="19">
        <v>9</v>
      </c>
      <c r="G1274" s="30">
        <v>1</v>
      </c>
      <c r="H1274" s="29">
        <v>0.77553240740740748</v>
      </c>
      <c r="I1274" s="35">
        <v>136.74683329999999</v>
      </c>
      <c r="J1274" s="35">
        <v>40.331666669999997</v>
      </c>
      <c r="K1274" s="28">
        <v>750</v>
      </c>
      <c r="L1274" s="28">
        <v>750</v>
      </c>
      <c r="M1274" s="28">
        <v>0</v>
      </c>
      <c r="N1274" s="36">
        <v>0.44309999999999999</v>
      </c>
      <c r="O1274" s="35">
        <v>34.069000000000003</v>
      </c>
      <c r="P1274" s="20">
        <v>-3.6595414117646996E-2</v>
      </c>
      <c r="Q1274" s="20">
        <v>-1.0191307011764703</v>
      </c>
      <c r="R1274" s="26" t="s">
        <v>393</v>
      </c>
      <c r="S1274" s="26">
        <v>1</v>
      </c>
      <c r="T1274" s="71" t="s">
        <v>626</v>
      </c>
    </row>
    <row r="1275" spans="1:20" s="14" customFormat="1" ht="12.75" customHeight="1">
      <c r="A1275" s="19" t="s">
        <v>417</v>
      </c>
      <c r="B1275" s="19" t="s">
        <v>72</v>
      </c>
      <c r="C1275" s="19" t="s">
        <v>514</v>
      </c>
      <c r="D1275" s="34">
        <v>43344</v>
      </c>
      <c r="E1275" s="19">
        <v>2018</v>
      </c>
      <c r="F1275" s="19">
        <v>9</v>
      </c>
      <c r="G1275" s="30">
        <v>1</v>
      </c>
      <c r="H1275" s="29">
        <v>0.7793402777777777</v>
      </c>
      <c r="I1275" s="35">
        <v>136.74683329999999</v>
      </c>
      <c r="J1275" s="35">
        <v>40.331666669999997</v>
      </c>
      <c r="K1275" s="28">
        <v>500</v>
      </c>
      <c r="L1275" s="28">
        <v>500</v>
      </c>
      <c r="M1275" s="28">
        <v>0</v>
      </c>
      <c r="N1275" s="36">
        <v>0.65900000000000003</v>
      </c>
      <c r="O1275" s="35">
        <v>34.065399999999997</v>
      </c>
      <c r="P1275" s="20">
        <v>-2.6254258823534826E-3</v>
      </c>
      <c r="Q1275" s="20">
        <v>-0.85940705882353008</v>
      </c>
      <c r="R1275" s="26" t="s">
        <v>393</v>
      </c>
      <c r="S1275" s="26">
        <v>1</v>
      </c>
      <c r="T1275" s="71" t="s">
        <v>626</v>
      </c>
    </row>
    <row r="1276" spans="1:20" s="14" customFormat="1" ht="12.75" customHeight="1">
      <c r="A1276" s="19" t="s">
        <v>417</v>
      </c>
      <c r="B1276" s="19" t="s">
        <v>72</v>
      </c>
      <c r="C1276" s="19" t="s">
        <v>514</v>
      </c>
      <c r="D1276" s="34">
        <v>43344</v>
      </c>
      <c r="E1276" s="19">
        <v>2018</v>
      </c>
      <c r="F1276" s="19">
        <v>9</v>
      </c>
      <c r="G1276" s="30">
        <v>1</v>
      </c>
      <c r="H1276" s="29">
        <v>0.78096064814814825</v>
      </c>
      <c r="I1276" s="35">
        <v>136.74683329999999</v>
      </c>
      <c r="J1276" s="35">
        <v>40.331666669999997</v>
      </c>
      <c r="K1276" s="28">
        <v>400</v>
      </c>
      <c r="L1276" s="28">
        <v>400</v>
      </c>
      <c r="M1276" s="28">
        <v>0</v>
      </c>
      <c r="N1276" s="36">
        <v>0.76629999999999998</v>
      </c>
      <c r="O1276" s="35">
        <v>34.057699999999997</v>
      </c>
      <c r="P1276" s="20">
        <v>-2.5180057647058884E-2</v>
      </c>
      <c r="Q1276" s="20">
        <v>-0.82788037647058843</v>
      </c>
      <c r="R1276" s="26" t="s">
        <v>393</v>
      </c>
      <c r="S1276" s="26">
        <v>1</v>
      </c>
      <c r="T1276" s="71" t="s">
        <v>626</v>
      </c>
    </row>
    <row r="1277" spans="1:20" s="14" customFormat="1" ht="12.75" customHeight="1">
      <c r="A1277" s="19" t="s">
        <v>417</v>
      </c>
      <c r="B1277" s="19" t="s">
        <v>72</v>
      </c>
      <c r="C1277" s="19" t="s">
        <v>514</v>
      </c>
      <c r="D1277" s="34">
        <v>43344</v>
      </c>
      <c r="E1277" s="19">
        <v>2018</v>
      </c>
      <c r="F1277" s="19">
        <v>9</v>
      </c>
      <c r="G1277" s="30">
        <v>1</v>
      </c>
      <c r="H1277" s="29">
        <v>0.78390046296296301</v>
      </c>
      <c r="I1277" s="35">
        <v>136.74683329999999</v>
      </c>
      <c r="J1277" s="35">
        <v>40.331666669999997</v>
      </c>
      <c r="K1277" s="28">
        <v>250</v>
      </c>
      <c r="L1277" s="28">
        <v>250</v>
      </c>
      <c r="M1277" s="28">
        <v>0</v>
      </c>
      <c r="N1277" s="36">
        <v>0.97489999999999999</v>
      </c>
      <c r="O1277" s="35">
        <v>34.041899999999998</v>
      </c>
      <c r="P1277" s="20">
        <v>-2.3859669411764539E-2</v>
      </c>
      <c r="Q1277" s="20">
        <v>-0.837384574117646</v>
      </c>
      <c r="R1277" s="26" t="s">
        <v>393</v>
      </c>
      <c r="S1277" s="26">
        <v>1</v>
      </c>
      <c r="T1277" s="71" t="s">
        <v>626</v>
      </c>
    </row>
    <row r="1278" spans="1:20" s="14" customFormat="1" ht="12.75" customHeight="1">
      <c r="A1278" s="19" t="s">
        <v>417</v>
      </c>
      <c r="B1278" s="19" t="s">
        <v>72</v>
      </c>
      <c r="C1278" s="19" t="s">
        <v>514</v>
      </c>
      <c r="D1278" s="34">
        <v>43344</v>
      </c>
      <c r="E1278" s="19">
        <v>2018</v>
      </c>
      <c r="F1278" s="19">
        <v>9</v>
      </c>
      <c r="G1278" s="30">
        <v>1</v>
      </c>
      <c r="H1278" s="29">
        <v>0.7848032407407407</v>
      </c>
      <c r="I1278" s="35">
        <v>136.74683329999999</v>
      </c>
      <c r="J1278" s="35">
        <v>40.331666669999997</v>
      </c>
      <c r="K1278" s="28">
        <v>225</v>
      </c>
      <c r="L1278" s="28">
        <v>225</v>
      </c>
      <c r="M1278" s="28">
        <v>0</v>
      </c>
      <c r="N1278" s="36">
        <v>1.0392999999999999</v>
      </c>
      <c r="O1278" s="35">
        <v>34.037199999999999</v>
      </c>
      <c r="P1278" s="20">
        <v>-6.9389056470588351E-2</v>
      </c>
      <c r="Q1278" s="20">
        <v>-0.9181991247058825</v>
      </c>
      <c r="R1278" s="26" t="s">
        <v>393</v>
      </c>
      <c r="S1278" s="26">
        <v>1</v>
      </c>
      <c r="T1278" s="71" t="s">
        <v>626</v>
      </c>
    </row>
    <row r="1279" spans="1:20" s="14" customFormat="1" ht="12.75" customHeight="1">
      <c r="A1279" s="19" t="s">
        <v>417</v>
      </c>
      <c r="B1279" s="19" t="s">
        <v>72</v>
      </c>
      <c r="C1279" s="19" t="s">
        <v>514</v>
      </c>
      <c r="D1279" s="34">
        <v>43344</v>
      </c>
      <c r="E1279" s="19">
        <v>2018</v>
      </c>
      <c r="F1279" s="19">
        <v>9</v>
      </c>
      <c r="G1279" s="30">
        <v>1</v>
      </c>
      <c r="H1279" s="29">
        <v>0.78553240740740737</v>
      </c>
      <c r="I1279" s="35">
        <v>136.74683329999999</v>
      </c>
      <c r="J1279" s="35">
        <v>40.331666669999997</v>
      </c>
      <c r="K1279" s="28">
        <v>200</v>
      </c>
      <c r="L1279" s="28">
        <v>200</v>
      </c>
      <c r="M1279" s="28">
        <v>0</v>
      </c>
      <c r="N1279" s="36">
        <v>1.0761000000000001</v>
      </c>
      <c r="O1279" s="35">
        <v>34.033099999999997</v>
      </c>
      <c r="P1279" s="20">
        <v>-4.5213948235294676E-2</v>
      </c>
      <c r="Q1279" s="20">
        <v>-0.8197273223529411</v>
      </c>
      <c r="R1279" s="26" t="s">
        <v>393</v>
      </c>
      <c r="S1279" s="26">
        <v>1</v>
      </c>
      <c r="T1279" s="71" t="s">
        <v>626</v>
      </c>
    </row>
    <row r="1280" spans="1:20" s="14" customFormat="1" ht="12.75" customHeight="1">
      <c r="A1280" s="19" t="s">
        <v>417</v>
      </c>
      <c r="B1280" s="19" t="s">
        <v>72</v>
      </c>
      <c r="C1280" s="19" t="s">
        <v>514</v>
      </c>
      <c r="D1280" s="34">
        <v>43344</v>
      </c>
      <c r="E1280" s="19">
        <v>2018</v>
      </c>
      <c r="F1280" s="19">
        <v>9</v>
      </c>
      <c r="G1280" s="30">
        <v>1</v>
      </c>
      <c r="H1280" s="29">
        <v>0.78608796296296291</v>
      </c>
      <c r="I1280" s="35">
        <v>136.74683329999999</v>
      </c>
      <c r="J1280" s="35">
        <v>40.331666669999997</v>
      </c>
      <c r="K1280" s="28">
        <v>175</v>
      </c>
      <c r="L1280" s="28">
        <v>175</v>
      </c>
      <c r="M1280" s="28">
        <v>0</v>
      </c>
      <c r="N1280" s="36">
        <v>1.194</v>
      </c>
      <c r="O1280" s="35">
        <v>34.026200000000003</v>
      </c>
      <c r="P1280" s="20">
        <v>-4.6546340000000352E-2</v>
      </c>
      <c r="Q1280" s="20">
        <v>-0.91777184000000211</v>
      </c>
      <c r="R1280" s="26" t="s">
        <v>393</v>
      </c>
      <c r="S1280" s="26">
        <v>1</v>
      </c>
      <c r="T1280" s="71" t="s">
        <v>626</v>
      </c>
    </row>
    <row r="1281" spans="1:20" s="14" customFormat="1" ht="12.75" customHeight="1">
      <c r="A1281" s="19" t="s">
        <v>417</v>
      </c>
      <c r="B1281" s="19" t="s">
        <v>72</v>
      </c>
      <c r="C1281" s="19" t="s">
        <v>514</v>
      </c>
      <c r="D1281" s="34">
        <v>43344</v>
      </c>
      <c r="E1281" s="19">
        <v>2018</v>
      </c>
      <c r="F1281" s="19">
        <v>9</v>
      </c>
      <c r="G1281" s="30">
        <v>1</v>
      </c>
      <c r="H1281" s="29">
        <v>0.7866550925925927</v>
      </c>
      <c r="I1281" s="35">
        <v>136.74683329999999</v>
      </c>
      <c r="J1281" s="35">
        <v>40.331666669999997</v>
      </c>
      <c r="K1281" s="28">
        <v>150</v>
      </c>
      <c r="L1281" s="28">
        <v>150</v>
      </c>
      <c r="M1281" s="28">
        <v>0</v>
      </c>
      <c r="N1281" s="36">
        <v>1.4182999999999999</v>
      </c>
      <c r="O1281" s="35">
        <v>34.023200000000003</v>
      </c>
      <c r="P1281" s="20">
        <v>-7.5222771764705598E-2</v>
      </c>
      <c r="Q1281" s="20">
        <v>-0.85090755764705861</v>
      </c>
      <c r="R1281" s="26" t="s">
        <v>393</v>
      </c>
      <c r="S1281" s="26">
        <v>1</v>
      </c>
      <c r="T1281" s="71" t="s">
        <v>626</v>
      </c>
    </row>
    <row r="1282" spans="1:20" s="14" customFormat="1" ht="12.75" customHeight="1">
      <c r="A1282" s="19" t="s">
        <v>417</v>
      </c>
      <c r="B1282" s="19" t="s">
        <v>72</v>
      </c>
      <c r="C1282" s="19" t="s">
        <v>514</v>
      </c>
      <c r="D1282" s="34">
        <v>43344</v>
      </c>
      <c r="E1282" s="19">
        <v>2018</v>
      </c>
      <c r="F1282" s="19">
        <v>9</v>
      </c>
      <c r="G1282" s="30">
        <v>1</v>
      </c>
      <c r="H1282" s="29">
        <v>0.78731481481481491</v>
      </c>
      <c r="I1282" s="35">
        <v>136.74683329999999</v>
      </c>
      <c r="J1282" s="35">
        <v>40.331666669999997</v>
      </c>
      <c r="K1282" s="28">
        <v>125</v>
      </c>
      <c r="L1282" s="28">
        <v>125</v>
      </c>
      <c r="M1282" s="28">
        <v>0</v>
      </c>
      <c r="N1282" s="36">
        <v>1.6514</v>
      </c>
      <c r="O1282" s="35">
        <v>34.013599999999997</v>
      </c>
      <c r="P1282" s="20">
        <v>-4.6150223529411782E-2</v>
      </c>
      <c r="Q1282" s="20">
        <v>-0.87690263529411716</v>
      </c>
      <c r="R1282" s="26" t="s">
        <v>393</v>
      </c>
      <c r="S1282" s="26">
        <v>1</v>
      </c>
      <c r="T1282" s="71" t="s">
        <v>626</v>
      </c>
    </row>
    <row r="1283" spans="1:20" s="14" customFormat="1" ht="12.75" customHeight="1">
      <c r="A1283" s="19" t="s">
        <v>417</v>
      </c>
      <c r="B1283" s="19" t="s">
        <v>72</v>
      </c>
      <c r="C1283" s="19" t="s">
        <v>514</v>
      </c>
      <c r="D1283" s="34">
        <v>43344</v>
      </c>
      <c r="E1283" s="19">
        <v>2018</v>
      </c>
      <c r="F1283" s="19">
        <v>9</v>
      </c>
      <c r="G1283" s="30">
        <v>1</v>
      </c>
      <c r="H1283" s="29">
        <v>0.78803240740740732</v>
      </c>
      <c r="I1283" s="35">
        <v>136.74683329999999</v>
      </c>
      <c r="J1283" s="35">
        <v>40.331666669999997</v>
      </c>
      <c r="K1283" s="28">
        <v>100</v>
      </c>
      <c r="L1283" s="28">
        <v>100</v>
      </c>
      <c r="M1283" s="28">
        <v>0</v>
      </c>
      <c r="N1283" s="36">
        <v>2.6048</v>
      </c>
      <c r="O1283" s="35">
        <v>34.003700000000002</v>
      </c>
      <c r="P1283" s="20">
        <v>-6.666425529411768E-2</v>
      </c>
      <c r="Q1283" s="20">
        <v>-0.85715515294117672</v>
      </c>
      <c r="R1283" s="26" t="s">
        <v>393</v>
      </c>
      <c r="S1283" s="26">
        <v>1</v>
      </c>
      <c r="T1283" s="71" t="s">
        <v>626</v>
      </c>
    </row>
    <row r="1284" spans="1:20" s="14" customFormat="1" ht="12.75" customHeight="1">
      <c r="A1284" s="19" t="s">
        <v>417</v>
      </c>
      <c r="B1284" s="19" t="s">
        <v>72</v>
      </c>
      <c r="C1284" s="19" t="s">
        <v>514</v>
      </c>
      <c r="D1284" s="34">
        <v>43344</v>
      </c>
      <c r="E1284" s="19">
        <v>2018</v>
      </c>
      <c r="F1284" s="19">
        <v>9</v>
      </c>
      <c r="G1284" s="30">
        <v>1</v>
      </c>
      <c r="H1284" s="29">
        <v>0.78871527777777783</v>
      </c>
      <c r="I1284" s="35">
        <v>136.74683329999999</v>
      </c>
      <c r="J1284" s="35">
        <v>40.331666669999997</v>
      </c>
      <c r="K1284" s="28">
        <v>90</v>
      </c>
      <c r="L1284" s="28">
        <v>90</v>
      </c>
      <c r="M1284" s="28">
        <v>0</v>
      </c>
      <c r="N1284" s="36">
        <v>2.8121999999999998</v>
      </c>
      <c r="O1284" s="35">
        <v>34.026699999999998</v>
      </c>
      <c r="P1284" s="20">
        <v>-5.881394705882359E-2</v>
      </c>
      <c r="Q1284" s="20">
        <v>-0.80128479058823388</v>
      </c>
      <c r="R1284" s="26" t="s">
        <v>393</v>
      </c>
      <c r="S1284" s="26">
        <v>1</v>
      </c>
      <c r="T1284" s="71" t="s">
        <v>626</v>
      </c>
    </row>
    <row r="1285" spans="1:20" s="14" customFormat="1" ht="12.75" customHeight="1">
      <c r="A1285" s="19" t="s">
        <v>417</v>
      </c>
      <c r="B1285" s="19" t="s">
        <v>72</v>
      </c>
      <c r="C1285" s="19" t="s">
        <v>514</v>
      </c>
      <c r="D1285" s="34">
        <v>43344</v>
      </c>
      <c r="E1285" s="19">
        <v>2018</v>
      </c>
      <c r="F1285" s="19">
        <v>9</v>
      </c>
      <c r="G1285" s="30">
        <v>1</v>
      </c>
      <c r="H1285" s="29">
        <v>0.78923611111111114</v>
      </c>
      <c r="I1285" s="35">
        <v>136.74683329999999</v>
      </c>
      <c r="J1285" s="35">
        <v>40.331666669999997</v>
      </c>
      <c r="K1285" s="28">
        <v>80</v>
      </c>
      <c r="L1285" s="28">
        <v>80</v>
      </c>
      <c r="M1285" s="28">
        <v>0</v>
      </c>
      <c r="N1285" s="36">
        <v>3.5105</v>
      </c>
      <c r="O1285" s="35">
        <v>34.045200000000001</v>
      </c>
      <c r="P1285" s="20">
        <v>-7.3410238823529816E-2</v>
      </c>
      <c r="Q1285" s="20">
        <v>-0.68671474823529444</v>
      </c>
      <c r="R1285" s="26" t="s">
        <v>393</v>
      </c>
      <c r="S1285" s="26">
        <v>1</v>
      </c>
      <c r="T1285" s="71" t="s">
        <v>626</v>
      </c>
    </row>
    <row r="1286" spans="1:20" s="14" customFormat="1" ht="12.75" customHeight="1">
      <c r="A1286" s="19" t="s">
        <v>417</v>
      </c>
      <c r="B1286" s="19" t="s">
        <v>72</v>
      </c>
      <c r="C1286" s="19" t="s">
        <v>514</v>
      </c>
      <c r="D1286" s="34">
        <v>43344</v>
      </c>
      <c r="E1286" s="19">
        <v>2018</v>
      </c>
      <c r="F1286" s="19">
        <v>9</v>
      </c>
      <c r="G1286" s="30">
        <v>1</v>
      </c>
      <c r="H1286" s="29">
        <v>0.78976851851851848</v>
      </c>
      <c r="I1286" s="35">
        <v>136.74683329999999</v>
      </c>
      <c r="J1286" s="35">
        <v>40.331666669999997</v>
      </c>
      <c r="K1286" s="28">
        <v>70</v>
      </c>
      <c r="L1286" s="28">
        <v>70</v>
      </c>
      <c r="M1286" s="28">
        <v>0</v>
      </c>
      <c r="N1286" s="36">
        <v>4.0021000000000004</v>
      </c>
      <c r="O1286" s="35">
        <v>34.050899999999999</v>
      </c>
      <c r="P1286" s="38">
        <v>-1.1995376470588237E-2</v>
      </c>
      <c r="Q1286" s="38">
        <v>-0.51174314352941153</v>
      </c>
      <c r="R1286" s="26" t="s">
        <v>393</v>
      </c>
      <c r="S1286" s="26">
        <v>1</v>
      </c>
      <c r="T1286" s="71" t="s">
        <v>626</v>
      </c>
    </row>
    <row r="1287" spans="1:20" s="14" customFormat="1" ht="12.75" customHeight="1">
      <c r="A1287" s="19" t="s">
        <v>417</v>
      </c>
      <c r="B1287" s="19" t="s">
        <v>72</v>
      </c>
      <c r="C1287" s="19" t="s">
        <v>514</v>
      </c>
      <c r="D1287" s="34">
        <v>43344</v>
      </c>
      <c r="E1287" s="19">
        <v>2018</v>
      </c>
      <c r="F1287" s="19">
        <v>9</v>
      </c>
      <c r="G1287" s="30">
        <v>1</v>
      </c>
      <c r="H1287" s="29">
        <v>0.79046296296296292</v>
      </c>
      <c r="I1287" s="35">
        <v>136.74683329999999</v>
      </c>
      <c r="J1287" s="35">
        <v>40.331666669999997</v>
      </c>
      <c r="K1287" s="28">
        <v>60</v>
      </c>
      <c r="L1287" s="28">
        <v>60</v>
      </c>
      <c r="M1287" s="28">
        <v>0</v>
      </c>
      <c r="N1287" s="36">
        <v>4.6566000000000001</v>
      </c>
      <c r="O1287" s="35">
        <v>34.086500000000001</v>
      </c>
      <c r="P1287" s="38">
        <v>-1.3447091764705377E-2</v>
      </c>
      <c r="Q1287" s="38">
        <v>-0.33379468823529379</v>
      </c>
      <c r="R1287" s="26" t="s">
        <v>393</v>
      </c>
      <c r="S1287" s="26">
        <v>1</v>
      </c>
      <c r="T1287" s="71" t="s">
        <v>626</v>
      </c>
    </row>
    <row r="1288" spans="1:20" s="14" customFormat="1" ht="12.75" customHeight="1">
      <c r="A1288" s="19" t="s">
        <v>417</v>
      </c>
      <c r="B1288" s="19" t="s">
        <v>72</v>
      </c>
      <c r="C1288" s="19" t="s">
        <v>514</v>
      </c>
      <c r="D1288" s="34">
        <v>43344</v>
      </c>
      <c r="E1288" s="19">
        <v>2018</v>
      </c>
      <c r="F1288" s="19">
        <v>9</v>
      </c>
      <c r="G1288" s="30">
        <v>1</v>
      </c>
      <c r="H1288" s="29">
        <v>0.790949074074074</v>
      </c>
      <c r="I1288" s="35">
        <v>136.74683329999999</v>
      </c>
      <c r="J1288" s="35">
        <v>40.331666669999997</v>
      </c>
      <c r="K1288" s="28">
        <v>50</v>
      </c>
      <c r="L1288" s="28">
        <v>50</v>
      </c>
      <c r="M1288" s="28">
        <v>0</v>
      </c>
      <c r="N1288" s="36">
        <v>5.9668000000000001</v>
      </c>
      <c r="O1288" s="35">
        <v>34.118699999999997</v>
      </c>
      <c r="P1288" s="38">
        <v>1.936647294117666E-2</v>
      </c>
      <c r="Q1288" s="38">
        <v>-0.15604245294117902</v>
      </c>
      <c r="R1288" s="26" t="s">
        <v>393</v>
      </c>
      <c r="S1288" s="26">
        <v>1</v>
      </c>
      <c r="T1288" s="71" t="s">
        <v>626</v>
      </c>
    </row>
    <row r="1289" spans="1:20" s="14" customFormat="1" ht="12.75" customHeight="1">
      <c r="A1289" s="19" t="s">
        <v>417</v>
      </c>
      <c r="B1289" s="19" t="s">
        <v>72</v>
      </c>
      <c r="C1289" s="19" t="s">
        <v>514</v>
      </c>
      <c r="D1289" s="34">
        <v>43344</v>
      </c>
      <c r="E1289" s="19">
        <v>2018</v>
      </c>
      <c r="F1289" s="19">
        <v>9</v>
      </c>
      <c r="G1289" s="30">
        <v>1</v>
      </c>
      <c r="H1289" s="29">
        <v>0.79155092592592602</v>
      </c>
      <c r="I1289" s="35">
        <v>136.74683329999999</v>
      </c>
      <c r="J1289" s="35">
        <v>40.331666669999997</v>
      </c>
      <c r="K1289" s="28">
        <v>40</v>
      </c>
      <c r="L1289" s="28">
        <v>40</v>
      </c>
      <c r="M1289" s="28">
        <v>0</v>
      </c>
      <c r="N1289" s="36">
        <v>7.0148000000000001</v>
      </c>
      <c r="O1289" s="35">
        <v>34.122599999999998</v>
      </c>
      <c r="P1289" s="38">
        <v>-4.7248023529409267E-3</v>
      </c>
      <c r="Q1289" s="38">
        <v>3.6230062352940351E-2</v>
      </c>
      <c r="R1289" s="26" t="s">
        <v>393</v>
      </c>
      <c r="S1289" s="26">
        <v>1</v>
      </c>
      <c r="T1289" s="71" t="s">
        <v>626</v>
      </c>
    </row>
    <row r="1290" spans="1:20" s="14" customFormat="1" ht="12.75" customHeight="1">
      <c r="A1290" s="19" t="s">
        <v>417</v>
      </c>
      <c r="B1290" s="19" t="s">
        <v>72</v>
      </c>
      <c r="C1290" s="19" t="s">
        <v>514</v>
      </c>
      <c r="D1290" s="34">
        <v>43344</v>
      </c>
      <c r="E1290" s="19">
        <v>2018</v>
      </c>
      <c r="F1290" s="19">
        <v>9</v>
      </c>
      <c r="G1290" s="30">
        <v>1</v>
      </c>
      <c r="H1290" s="29">
        <v>0.79276620370370365</v>
      </c>
      <c r="I1290" s="35">
        <v>136.74683329999999</v>
      </c>
      <c r="J1290" s="35">
        <v>40.331666669999997</v>
      </c>
      <c r="K1290" s="28">
        <v>30</v>
      </c>
      <c r="L1290" s="28">
        <v>30</v>
      </c>
      <c r="M1290" s="28">
        <v>0</v>
      </c>
      <c r="N1290" s="36">
        <v>12.038500000000001</v>
      </c>
      <c r="O1290" s="35">
        <v>34.053400000000003</v>
      </c>
      <c r="P1290" s="38">
        <v>9.6208235294126254E-4</v>
      </c>
      <c r="Q1290" s="38">
        <v>-0.2969745823529415</v>
      </c>
      <c r="R1290" s="26" t="s">
        <v>393</v>
      </c>
      <c r="S1290" s="26">
        <v>1</v>
      </c>
      <c r="T1290" s="71" t="s">
        <v>626</v>
      </c>
    </row>
    <row r="1291" spans="1:20" s="14" customFormat="1" ht="12.75" customHeight="1">
      <c r="A1291" s="19" t="s">
        <v>417</v>
      </c>
      <c r="B1291" s="19" t="s">
        <v>72</v>
      </c>
      <c r="C1291" s="19" t="s">
        <v>514</v>
      </c>
      <c r="D1291" s="34">
        <v>43344</v>
      </c>
      <c r="E1291" s="19">
        <v>2018</v>
      </c>
      <c r="F1291" s="19">
        <v>9</v>
      </c>
      <c r="G1291" s="30">
        <v>1</v>
      </c>
      <c r="H1291" s="29">
        <v>0.79327546296296303</v>
      </c>
      <c r="I1291" s="35">
        <v>136.74683329999999</v>
      </c>
      <c r="J1291" s="35">
        <v>40.331666669999997</v>
      </c>
      <c r="K1291" s="28">
        <v>20</v>
      </c>
      <c r="L1291" s="28">
        <v>20</v>
      </c>
      <c r="M1291" s="28">
        <v>0</v>
      </c>
      <c r="N1291" s="36">
        <v>22.1038</v>
      </c>
      <c r="O1291" s="35">
        <v>33.955100000000002</v>
      </c>
      <c r="P1291" s="38">
        <v>-5.6986552941176161E-2</v>
      </c>
      <c r="Q1291" s="38">
        <v>-0.70395794705882331</v>
      </c>
      <c r="R1291" s="26" t="s">
        <v>393</v>
      </c>
      <c r="S1291" s="26">
        <v>1</v>
      </c>
      <c r="T1291" s="71" t="s">
        <v>626</v>
      </c>
    </row>
    <row r="1292" spans="1:20" s="14" customFormat="1" ht="12.75" customHeight="1">
      <c r="A1292" s="19" t="s">
        <v>417</v>
      </c>
      <c r="B1292" s="19" t="s">
        <v>72</v>
      </c>
      <c r="C1292" s="19" t="s">
        <v>514</v>
      </c>
      <c r="D1292" s="34">
        <v>43344</v>
      </c>
      <c r="E1292" s="19">
        <v>2018</v>
      </c>
      <c r="F1292" s="19">
        <v>9</v>
      </c>
      <c r="G1292" s="30">
        <v>1</v>
      </c>
      <c r="H1292" s="29">
        <v>0.79378472222222218</v>
      </c>
      <c r="I1292" s="35">
        <v>136.74683329999999</v>
      </c>
      <c r="J1292" s="35">
        <v>40.331666669999997</v>
      </c>
      <c r="K1292" s="28">
        <v>10</v>
      </c>
      <c r="L1292" s="28">
        <v>10</v>
      </c>
      <c r="M1292" s="28">
        <v>0</v>
      </c>
      <c r="N1292" s="36">
        <v>22.367999999999999</v>
      </c>
      <c r="O1292" s="35">
        <v>33.9358</v>
      </c>
      <c r="P1292" s="38">
        <v>-7.261348823529401E-2</v>
      </c>
      <c r="Q1292" s="38">
        <v>-0.8129321867647068</v>
      </c>
      <c r="R1292" s="26" t="s">
        <v>393</v>
      </c>
      <c r="S1292" s="26">
        <v>1</v>
      </c>
      <c r="T1292" s="71" t="s">
        <v>626</v>
      </c>
    </row>
    <row r="1293" spans="1:20" s="14" customFormat="1" ht="12.75" customHeight="1">
      <c r="A1293" s="19" t="s">
        <v>417</v>
      </c>
      <c r="B1293" s="19" t="s">
        <v>74</v>
      </c>
      <c r="C1293" s="19" t="s">
        <v>514</v>
      </c>
      <c r="D1293" s="34">
        <v>43351</v>
      </c>
      <c r="E1293" s="19">
        <v>2018</v>
      </c>
      <c r="F1293" s="19">
        <v>9</v>
      </c>
      <c r="G1293" s="30">
        <v>8</v>
      </c>
      <c r="H1293" s="29">
        <v>0.76694444444444443</v>
      </c>
      <c r="I1293" s="35">
        <v>137.7536667</v>
      </c>
      <c r="J1293" s="35">
        <v>39.583333330000002</v>
      </c>
      <c r="K1293" s="28">
        <v>10</v>
      </c>
      <c r="L1293" s="28">
        <v>10</v>
      </c>
      <c r="M1293" s="28">
        <v>0</v>
      </c>
      <c r="N1293" s="36">
        <v>23.315899999999999</v>
      </c>
      <c r="O1293" s="35">
        <v>33.9544</v>
      </c>
      <c r="P1293" s="38">
        <v>-9.6266849411764888E-2</v>
      </c>
      <c r="Q1293" s="38">
        <v>-0.52315853058823514</v>
      </c>
      <c r="R1293" s="26" t="s">
        <v>393</v>
      </c>
      <c r="S1293" s="26"/>
      <c r="T1293" s="71" t="s">
        <v>626</v>
      </c>
    </row>
    <row r="1294" spans="1:20" s="14" customFormat="1" ht="12.75" customHeight="1">
      <c r="A1294" s="19" t="s">
        <v>417</v>
      </c>
      <c r="B1294" s="19" t="s">
        <v>75</v>
      </c>
      <c r="C1294" s="19" t="s">
        <v>514</v>
      </c>
      <c r="D1294" s="34">
        <v>43351</v>
      </c>
      <c r="E1294" s="19">
        <v>2018</v>
      </c>
      <c r="F1294" s="19">
        <v>9</v>
      </c>
      <c r="G1294" s="30">
        <v>8</v>
      </c>
      <c r="H1294" s="29">
        <v>0.90170138888888884</v>
      </c>
      <c r="I1294" s="35">
        <v>137.9208333</v>
      </c>
      <c r="J1294" s="35">
        <v>39.331666669999997</v>
      </c>
      <c r="K1294" s="28">
        <v>500</v>
      </c>
      <c r="L1294" s="28">
        <v>500</v>
      </c>
      <c r="M1294" s="28">
        <v>0</v>
      </c>
      <c r="N1294" s="36">
        <v>0.75849999999999995</v>
      </c>
      <c r="O1294" s="35">
        <v>34.059899999999999</v>
      </c>
      <c r="P1294" s="38">
        <v>-0.10057400470588229</v>
      </c>
      <c r="Q1294" s="38">
        <v>-0.87578895529411582</v>
      </c>
      <c r="R1294" s="26" t="s">
        <v>393</v>
      </c>
      <c r="S1294" s="26"/>
      <c r="T1294" s="71" t="s">
        <v>626</v>
      </c>
    </row>
    <row r="1295" spans="1:20" s="14" customFormat="1" ht="12.75" customHeight="1">
      <c r="A1295" s="19" t="s">
        <v>417</v>
      </c>
      <c r="B1295" s="19" t="s">
        <v>75</v>
      </c>
      <c r="C1295" s="19" t="s">
        <v>514</v>
      </c>
      <c r="D1295" s="34">
        <v>43351</v>
      </c>
      <c r="E1295" s="19">
        <v>2018</v>
      </c>
      <c r="F1295" s="19">
        <v>9</v>
      </c>
      <c r="G1295" s="30">
        <v>8</v>
      </c>
      <c r="H1295" s="29">
        <v>0.90746527777777775</v>
      </c>
      <c r="I1295" s="35">
        <v>137.9208333</v>
      </c>
      <c r="J1295" s="35">
        <v>39.331666669999997</v>
      </c>
      <c r="K1295" s="28">
        <v>200</v>
      </c>
      <c r="L1295" s="28">
        <v>200</v>
      </c>
      <c r="M1295" s="28">
        <v>0</v>
      </c>
      <c r="N1295" s="36">
        <v>4.5289000000000001</v>
      </c>
      <c r="O1295" s="35">
        <v>34.063899999999997</v>
      </c>
      <c r="P1295" s="38">
        <v>-2.7172399999999541E-2</v>
      </c>
      <c r="Q1295" s="38">
        <v>-0.49099191666666719</v>
      </c>
      <c r="R1295" s="26" t="s">
        <v>393</v>
      </c>
      <c r="S1295" s="26"/>
      <c r="T1295" s="71" t="s">
        <v>626</v>
      </c>
    </row>
    <row r="1296" spans="1:20" s="14" customFormat="1" ht="12.75" customHeight="1">
      <c r="A1296" s="19" t="s">
        <v>417</v>
      </c>
      <c r="B1296" s="19" t="s">
        <v>75</v>
      </c>
      <c r="C1296" s="19" t="s">
        <v>514</v>
      </c>
      <c r="D1296" s="34">
        <v>43351</v>
      </c>
      <c r="E1296" s="19">
        <v>2018</v>
      </c>
      <c r="F1296" s="19">
        <v>9</v>
      </c>
      <c r="G1296" s="30">
        <v>8</v>
      </c>
      <c r="H1296" s="29">
        <v>0.90997685185185195</v>
      </c>
      <c r="I1296" s="35">
        <v>137.9208333</v>
      </c>
      <c r="J1296" s="35">
        <v>39.331666669999997</v>
      </c>
      <c r="K1296" s="28">
        <v>100</v>
      </c>
      <c r="L1296" s="28">
        <v>100</v>
      </c>
      <c r="M1296" s="28">
        <v>0</v>
      </c>
      <c r="N1296" s="36">
        <v>14.6328</v>
      </c>
      <c r="O1296" s="35">
        <v>34.421100000000003</v>
      </c>
      <c r="P1296" s="38">
        <v>0.11945084470588263</v>
      </c>
      <c r="Q1296" s="38">
        <v>0.83971633529411882</v>
      </c>
      <c r="R1296" s="26" t="s">
        <v>393</v>
      </c>
      <c r="S1296" s="26"/>
      <c r="T1296" s="71" t="s">
        <v>626</v>
      </c>
    </row>
    <row r="1297" spans="1:20" s="14" customFormat="1" ht="12.75" customHeight="1">
      <c r="A1297" s="19" t="s">
        <v>417</v>
      </c>
      <c r="B1297" s="19" t="s">
        <v>75</v>
      </c>
      <c r="C1297" s="19" t="s">
        <v>514</v>
      </c>
      <c r="D1297" s="34">
        <v>43351</v>
      </c>
      <c r="E1297" s="19">
        <v>2018</v>
      </c>
      <c r="F1297" s="19">
        <v>9</v>
      </c>
      <c r="G1297" s="30">
        <v>8</v>
      </c>
      <c r="H1297" s="29">
        <v>0.91462962962962957</v>
      </c>
      <c r="I1297" s="35">
        <v>137.9208333</v>
      </c>
      <c r="J1297" s="35">
        <v>39.331666669999997</v>
      </c>
      <c r="K1297" s="28">
        <v>10</v>
      </c>
      <c r="L1297" s="28">
        <v>10</v>
      </c>
      <c r="M1297" s="28">
        <v>0</v>
      </c>
      <c r="N1297" s="36">
        <v>25.585699999999999</v>
      </c>
      <c r="O1297" s="35">
        <v>33.136099999999999</v>
      </c>
      <c r="P1297" s="38">
        <v>-0.21530550392156833</v>
      </c>
      <c r="Q1297" s="38">
        <v>-1.5454916627450999</v>
      </c>
      <c r="R1297" s="26" t="s">
        <v>393</v>
      </c>
      <c r="S1297" s="26"/>
      <c r="T1297" s="71" t="s">
        <v>626</v>
      </c>
    </row>
    <row r="1298" spans="1:20" s="14" customFormat="1" ht="12.75" customHeight="1">
      <c r="A1298" s="19" t="s">
        <v>417</v>
      </c>
      <c r="B1298" s="19" t="s">
        <v>76</v>
      </c>
      <c r="C1298" s="19" t="s">
        <v>514</v>
      </c>
      <c r="D1298" s="34">
        <v>43351</v>
      </c>
      <c r="E1298" s="19">
        <v>2018</v>
      </c>
      <c r="F1298" s="19">
        <v>9</v>
      </c>
      <c r="G1298" s="30">
        <v>8</v>
      </c>
      <c r="H1298" s="29">
        <v>0.12594907407407407</v>
      </c>
      <c r="I1298" s="35">
        <v>138.20849999999999</v>
      </c>
      <c r="J1298" s="35">
        <v>39.018333329999997</v>
      </c>
      <c r="K1298" s="28">
        <v>10</v>
      </c>
      <c r="L1298" s="28">
        <v>10</v>
      </c>
      <c r="M1298" s="28">
        <v>0</v>
      </c>
      <c r="N1298" s="36">
        <v>25.148199999999999</v>
      </c>
      <c r="O1298" s="35">
        <v>33.234000000000002</v>
      </c>
      <c r="P1298" s="38">
        <v>-0.22829795588235258</v>
      </c>
      <c r="Q1298" s="38">
        <v>-1.6627234941176479</v>
      </c>
      <c r="R1298" s="26" t="s">
        <v>393</v>
      </c>
      <c r="S1298" s="26"/>
      <c r="T1298" s="71" t="s">
        <v>626</v>
      </c>
    </row>
    <row r="1299" spans="1:20" s="14" customFormat="1" ht="12.75" customHeight="1">
      <c r="A1299" s="19" t="s">
        <v>417</v>
      </c>
      <c r="B1299" s="19" t="s">
        <v>77</v>
      </c>
      <c r="C1299" s="19" t="s">
        <v>514</v>
      </c>
      <c r="D1299" s="34">
        <v>43350</v>
      </c>
      <c r="E1299" s="19">
        <v>2018</v>
      </c>
      <c r="F1299" s="19">
        <v>9</v>
      </c>
      <c r="G1299" s="30">
        <v>7</v>
      </c>
      <c r="H1299" s="29">
        <v>0.9200462962962962</v>
      </c>
      <c r="I1299" s="35">
        <v>138.24700000000001</v>
      </c>
      <c r="J1299" s="35">
        <v>38.831666669999997</v>
      </c>
      <c r="K1299" s="28">
        <v>10</v>
      </c>
      <c r="L1299" s="28">
        <v>10</v>
      </c>
      <c r="M1299" s="28">
        <v>0</v>
      </c>
      <c r="N1299" s="36">
        <v>25.5169</v>
      </c>
      <c r="O1299" s="35">
        <v>33.203200000000002</v>
      </c>
      <c r="P1299" s="38">
        <v>-0.26019070117647036</v>
      </c>
      <c r="Q1299" s="38">
        <v>-1.9531521788235295</v>
      </c>
      <c r="R1299" s="26" t="s">
        <v>393</v>
      </c>
      <c r="S1299" s="26"/>
      <c r="T1299" s="71" t="s">
        <v>626</v>
      </c>
    </row>
    <row r="1300" spans="1:20" s="14" customFormat="1" ht="12.75" customHeight="1">
      <c r="A1300" s="19" t="s">
        <v>417</v>
      </c>
      <c r="B1300" s="19" t="s">
        <v>78</v>
      </c>
      <c r="C1300" s="19" t="s">
        <v>514</v>
      </c>
      <c r="D1300" s="34">
        <v>43350</v>
      </c>
      <c r="E1300" s="19">
        <v>2018</v>
      </c>
      <c r="F1300" s="19">
        <v>9</v>
      </c>
      <c r="G1300" s="30">
        <v>7</v>
      </c>
      <c r="H1300" s="29">
        <v>0.77063657407407404</v>
      </c>
      <c r="I1300" s="35">
        <v>138.41800000000001</v>
      </c>
      <c r="J1300" s="35">
        <v>38.581666669999997</v>
      </c>
      <c r="K1300" s="28">
        <v>10</v>
      </c>
      <c r="L1300" s="28">
        <v>10</v>
      </c>
      <c r="M1300" s="28">
        <v>0</v>
      </c>
      <c r="N1300" s="36">
        <v>24.392600000000002</v>
      </c>
      <c r="O1300" s="35">
        <v>33.513100000000001</v>
      </c>
      <c r="P1300" s="38">
        <v>-0.13080207647058839</v>
      </c>
      <c r="Q1300" s="38">
        <v>-1.1056029735294111</v>
      </c>
      <c r="R1300" s="26" t="s">
        <v>393</v>
      </c>
      <c r="S1300" s="26"/>
      <c r="T1300" s="71" t="s">
        <v>626</v>
      </c>
    </row>
    <row r="1301" spans="1:20" s="14" customFormat="1" ht="12.75" customHeight="1">
      <c r="A1301" s="19" t="s">
        <v>417</v>
      </c>
      <c r="B1301" s="19" t="s">
        <v>79</v>
      </c>
      <c r="C1301" s="19" t="s">
        <v>514</v>
      </c>
      <c r="D1301" s="34">
        <v>43349</v>
      </c>
      <c r="E1301" s="19">
        <v>2018</v>
      </c>
      <c r="F1301" s="19">
        <v>9</v>
      </c>
      <c r="G1301" s="30">
        <v>6</v>
      </c>
      <c r="H1301" s="29">
        <v>0.16347222222222221</v>
      </c>
      <c r="I1301" s="35">
        <v>139.0381667</v>
      </c>
      <c r="J1301" s="35">
        <v>38.363333330000003</v>
      </c>
      <c r="K1301" s="28">
        <v>10</v>
      </c>
      <c r="L1301" s="28">
        <v>10</v>
      </c>
      <c r="M1301" s="28">
        <v>0</v>
      </c>
      <c r="N1301" s="36">
        <v>25.002500000000001</v>
      </c>
      <c r="O1301" s="35">
        <v>33.532600000000002</v>
      </c>
      <c r="P1301" s="37">
        <v>-0.20329248470588235</v>
      </c>
      <c r="Q1301" s="37">
        <v>-1.4348446847058813</v>
      </c>
      <c r="R1301" s="26" t="s">
        <v>393</v>
      </c>
      <c r="S1301" s="26"/>
      <c r="T1301" s="71" t="s">
        <v>626</v>
      </c>
    </row>
    <row r="1302" spans="1:20" s="14" customFormat="1" ht="12.75" customHeight="1">
      <c r="A1302" s="19" t="s">
        <v>417</v>
      </c>
      <c r="B1302" s="19" t="s">
        <v>80</v>
      </c>
      <c r="C1302" s="19" t="s">
        <v>514</v>
      </c>
      <c r="D1302" s="34">
        <v>43348</v>
      </c>
      <c r="E1302" s="19">
        <v>2018</v>
      </c>
      <c r="F1302" s="19">
        <v>9</v>
      </c>
      <c r="G1302" s="30">
        <v>5</v>
      </c>
      <c r="H1302" s="29">
        <v>0.94122685185185195</v>
      </c>
      <c r="I1302" s="35">
        <v>138.92016670000001</v>
      </c>
      <c r="J1302" s="35">
        <v>38.581666669999997</v>
      </c>
      <c r="K1302" s="28">
        <v>10</v>
      </c>
      <c r="L1302" s="28">
        <v>10</v>
      </c>
      <c r="M1302" s="28">
        <v>0</v>
      </c>
      <c r="N1302" s="36">
        <v>24.5124</v>
      </c>
      <c r="O1302" s="35">
        <v>33.580399999999997</v>
      </c>
      <c r="P1302" s="37">
        <v>-0.17929507764705876</v>
      </c>
      <c r="Q1302" s="37">
        <v>-1.22443099764706</v>
      </c>
      <c r="R1302" s="26" t="s">
        <v>393</v>
      </c>
      <c r="S1302" s="26"/>
      <c r="T1302" s="71" t="s">
        <v>626</v>
      </c>
    </row>
    <row r="1303" spans="1:20" s="14" customFormat="1" ht="12.75" customHeight="1">
      <c r="A1303" s="19" t="s">
        <v>417</v>
      </c>
      <c r="B1303" s="19" t="s">
        <v>81</v>
      </c>
      <c r="C1303" s="19" t="s">
        <v>514</v>
      </c>
      <c r="D1303" s="34">
        <v>43348</v>
      </c>
      <c r="E1303" s="19">
        <v>2018</v>
      </c>
      <c r="F1303" s="19">
        <v>9</v>
      </c>
      <c r="G1303" s="30">
        <v>5</v>
      </c>
      <c r="H1303" s="29">
        <v>0.76748842592592592</v>
      </c>
      <c r="I1303" s="35">
        <v>138.75416670000001</v>
      </c>
      <c r="J1303" s="35">
        <v>38.831666669999997</v>
      </c>
      <c r="K1303" s="28">
        <v>10</v>
      </c>
      <c r="L1303" s="28">
        <v>10</v>
      </c>
      <c r="M1303" s="28">
        <v>0</v>
      </c>
      <c r="N1303" s="36">
        <v>24.466100000000001</v>
      </c>
      <c r="O1303" s="35">
        <v>33.808</v>
      </c>
      <c r="P1303" s="37">
        <v>-0.10448175058823561</v>
      </c>
      <c r="Q1303" s="37">
        <v>-0.78553751058823629</v>
      </c>
      <c r="R1303" s="26" t="s">
        <v>393</v>
      </c>
      <c r="S1303" s="26"/>
      <c r="T1303" s="71" t="s">
        <v>626</v>
      </c>
    </row>
    <row r="1304" spans="1:20" s="14" customFormat="1" ht="12.75" customHeight="1">
      <c r="A1304" s="19" t="s">
        <v>417</v>
      </c>
      <c r="B1304" s="19" t="s">
        <v>82</v>
      </c>
      <c r="C1304" s="19" t="s">
        <v>514</v>
      </c>
      <c r="D1304" s="34">
        <v>43349</v>
      </c>
      <c r="E1304" s="19">
        <v>2018</v>
      </c>
      <c r="F1304" s="19">
        <v>9</v>
      </c>
      <c r="G1304" s="30">
        <v>6</v>
      </c>
      <c r="H1304" s="29">
        <v>0.78877314814814825</v>
      </c>
      <c r="I1304" s="35">
        <v>138.5841667</v>
      </c>
      <c r="J1304" s="35">
        <v>39.08</v>
      </c>
      <c r="K1304" s="28">
        <v>10</v>
      </c>
      <c r="L1304" s="28">
        <v>10</v>
      </c>
      <c r="M1304" s="28">
        <v>0</v>
      </c>
      <c r="N1304" s="36">
        <v>24.404399999999999</v>
      </c>
      <c r="O1304" s="35">
        <v>33.566699999999997</v>
      </c>
      <c r="P1304" s="37">
        <v>-0.16027962352941194</v>
      </c>
      <c r="Q1304" s="37">
        <v>-1.2884122635294109</v>
      </c>
      <c r="R1304" s="26" t="s">
        <v>393</v>
      </c>
      <c r="S1304" s="26"/>
      <c r="T1304" s="71" t="s">
        <v>626</v>
      </c>
    </row>
    <row r="1305" spans="1:20" s="14" customFormat="1" ht="12.75" customHeight="1">
      <c r="A1305" s="19" t="s">
        <v>417</v>
      </c>
      <c r="B1305" s="19" t="s">
        <v>83</v>
      </c>
      <c r="C1305" s="19" t="s">
        <v>514</v>
      </c>
      <c r="D1305" s="34">
        <v>43349</v>
      </c>
      <c r="E1305" s="19">
        <v>2018</v>
      </c>
      <c r="F1305" s="19">
        <v>9</v>
      </c>
      <c r="G1305" s="30">
        <v>6</v>
      </c>
      <c r="H1305" s="29">
        <v>0.9836921296296296</v>
      </c>
      <c r="I1305" s="35">
        <v>138.4158333</v>
      </c>
      <c r="J1305" s="35">
        <v>39.331666669999997</v>
      </c>
      <c r="K1305" s="28">
        <v>10</v>
      </c>
      <c r="L1305" s="28">
        <v>10</v>
      </c>
      <c r="M1305" s="28">
        <v>0</v>
      </c>
      <c r="N1305" s="36">
        <v>24.729800000000001</v>
      </c>
      <c r="O1305" s="35">
        <v>33.805500000000002</v>
      </c>
      <c r="P1305" s="37">
        <v>-9.8935576470588149E-2</v>
      </c>
      <c r="Q1305" s="37">
        <v>-0.80754909647058959</v>
      </c>
      <c r="R1305" s="26" t="s">
        <v>393</v>
      </c>
      <c r="S1305" s="26"/>
      <c r="T1305" s="71" t="s">
        <v>626</v>
      </c>
    </row>
    <row r="1306" spans="1:20" s="14" customFormat="1" ht="12.75" customHeight="1">
      <c r="A1306" s="19" t="s">
        <v>417</v>
      </c>
      <c r="B1306" s="19" t="s">
        <v>84</v>
      </c>
      <c r="C1306" s="19" t="s">
        <v>514</v>
      </c>
      <c r="D1306" s="34">
        <v>43350</v>
      </c>
      <c r="E1306" s="19">
        <v>2018</v>
      </c>
      <c r="F1306" s="19">
        <v>9</v>
      </c>
      <c r="G1306" s="30">
        <v>7</v>
      </c>
      <c r="H1306" s="29">
        <v>0.19034722222222222</v>
      </c>
      <c r="I1306" s="35">
        <v>138.2486667</v>
      </c>
      <c r="J1306" s="35">
        <v>39.583333330000002</v>
      </c>
      <c r="K1306" s="28">
        <v>10</v>
      </c>
      <c r="L1306" s="28">
        <v>10</v>
      </c>
      <c r="M1306" s="28">
        <v>0</v>
      </c>
      <c r="N1306" s="36">
        <v>23.786000000000001</v>
      </c>
      <c r="O1306" s="35">
        <v>33.941000000000003</v>
      </c>
      <c r="P1306" s="37">
        <v>-3.2081369411764094E-2</v>
      </c>
      <c r="Q1306" s="37">
        <v>-0.51809904941176477</v>
      </c>
      <c r="R1306" s="26" t="s">
        <v>393</v>
      </c>
      <c r="S1306" s="26"/>
      <c r="T1306" s="71" t="s">
        <v>626</v>
      </c>
    </row>
    <row r="1307" spans="1:20" s="14" customFormat="1" ht="12.75" customHeight="1">
      <c r="A1307" s="19" t="s">
        <v>428</v>
      </c>
      <c r="B1307" s="19" t="s">
        <v>429</v>
      </c>
      <c r="C1307" s="19" t="s">
        <v>516</v>
      </c>
      <c r="D1307" s="34">
        <v>43151</v>
      </c>
      <c r="E1307" s="19">
        <v>2018</v>
      </c>
      <c r="F1307" s="19">
        <v>2</v>
      </c>
      <c r="G1307" s="30">
        <v>20</v>
      </c>
      <c r="H1307" s="29">
        <v>0.84791666666666676</v>
      </c>
      <c r="I1307" s="35">
        <v>136.34399999999999</v>
      </c>
      <c r="J1307" s="35">
        <v>40.997</v>
      </c>
      <c r="K1307" s="28">
        <v>0</v>
      </c>
      <c r="L1307" s="28">
        <v>0</v>
      </c>
      <c r="M1307" s="27">
        <v>0</v>
      </c>
      <c r="N1307" s="36">
        <v>1.1599999999999999</v>
      </c>
      <c r="O1307" s="35">
        <v>34.084000000000003</v>
      </c>
      <c r="P1307" s="37">
        <v>-0.03</v>
      </c>
      <c r="Q1307" s="37">
        <v>-0.75</v>
      </c>
      <c r="R1307" s="19" t="s">
        <v>393</v>
      </c>
      <c r="S1307" s="19"/>
      <c r="T1307" s="71" t="s">
        <v>626</v>
      </c>
    </row>
    <row r="1308" spans="1:20" s="14" customFormat="1" ht="12.75" customHeight="1">
      <c r="A1308" s="19" t="s">
        <v>428</v>
      </c>
      <c r="B1308" s="19" t="s">
        <v>430</v>
      </c>
      <c r="C1308" s="19" t="s">
        <v>516</v>
      </c>
      <c r="D1308" s="34">
        <v>43152</v>
      </c>
      <c r="E1308" s="19">
        <v>2018</v>
      </c>
      <c r="F1308" s="19">
        <v>2</v>
      </c>
      <c r="G1308" s="30">
        <v>21</v>
      </c>
      <c r="H1308" s="29">
        <v>6.3194444444444442E-2</v>
      </c>
      <c r="I1308" s="35">
        <v>136.62299999999999</v>
      </c>
      <c r="J1308" s="35">
        <v>40.499000000000002</v>
      </c>
      <c r="K1308" s="28">
        <v>0</v>
      </c>
      <c r="L1308" s="28">
        <v>0</v>
      </c>
      <c r="M1308" s="27">
        <v>0</v>
      </c>
      <c r="N1308" s="36">
        <v>1.65</v>
      </c>
      <c r="O1308" s="35">
        <v>34.057000000000002</v>
      </c>
      <c r="P1308" s="37">
        <v>-0.01</v>
      </c>
      <c r="Q1308" s="37">
        <v>-0.59</v>
      </c>
      <c r="R1308" s="19" t="s">
        <v>393</v>
      </c>
      <c r="S1308" s="19"/>
      <c r="T1308" s="71" t="s">
        <v>626</v>
      </c>
    </row>
    <row r="1309" spans="1:20" s="14" customFormat="1" ht="12.75" customHeight="1">
      <c r="A1309" s="19" t="s">
        <v>428</v>
      </c>
      <c r="B1309" s="19" t="s">
        <v>431</v>
      </c>
      <c r="C1309" s="19" t="s">
        <v>516</v>
      </c>
      <c r="D1309" s="34">
        <v>43152</v>
      </c>
      <c r="E1309" s="19">
        <v>2018</v>
      </c>
      <c r="F1309" s="19">
        <v>2</v>
      </c>
      <c r="G1309" s="30">
        <v>21</v>
      </c>
      <c r="H1309" s="29">
        <v>0.24305555555555555</v>
      </c>
      <c r="I1309" s="35">
        <v>136.96199999999999</v>
      </c>
      <c r="J1309" s="35">
        <v>39.997</v>
      </c>
      <c r="K1309" s="28">
        <v>0</v>
      </c>
      <c r="L1309" s="28">
        <v>0</v>
      </c>
      <c r="M1309" s="27">
        <v>0</v>
      </c>
      <c r="N1309" s="36">
        <v>5.27</v>
      </c>
      <c r="O1309" s="35">
        <v>34.167999999999999</v>
      </c>
      <c r="P1309" s="37">
        <v>0.04</v>
      </c>
      <c r="Q1309" s="37">
        <v>-0.05</v>
      </c>
      <c r="R1309" s="19" t="s">
        <v>393</v>
      </c>
      <c r="S1309" s="19"/>
      <c r="T1309" s="71" t="s">
        <v>626</v>
      </c>
    </row>
    <row r="1310" spans="1:20" s="14" customFormat="1" ht="12.75" customHeight="1">
      <c r="A1310" s="19" t="s">
        <v>428</v>
      </c>
      <c r="B1310" s="19" t="s">
        <v>432</v>
      </c>
      <c r="C1310" s="19" t="s">
        <v>516</v>
      </c>
      <c r="D1310" s="34">
        <v>43152</v>
      </c>
      <c r="E1310" s="19">
        <v>2018</v>
      </c>
      <c r="F1310" s="19">
        <v>2</v>
      </c>
      <c r="G1310" s="30">
        <v>21</v>
      </c>
      <c r="H1310" s="29">
        <v>0.50069444444444444</v>
      </c>
      <c r="I1310" s="35">
        <v>137.417</v>
      </c>
      <c r="J1310" s="35">
        <v>39.332999999999998</v>
      </c>
      <c r="K1310" s="28">
        <v>0</v>
      </c>
      <c r="L1310" s="28">
        <v>0</v>
      </c>
      <c r="M1310" s="27">
        <v>0</v>
      </c>
      <c r="N1310" s="36">
        <v>9.1199999999999992</v>
      </c>
      <c r="O1310" s="35">
        <v>34.280999999999999</v>
      </c>
      <c r="P1310" s="37">
        <v>0.09</v>
      </c>
      <c r="Q1310" s="37">
        <v>0.5</v>
      </c>
      <c r="R1310" s="19" t="s">
        <v>393</v>
      </c>
      <c r="S1310" s="19"/>
      <c r="T1310" s="71" t="s">
        <v>626</v>
      </c>
    </row>
    <row r="1311" spans="1:20" s="14" customFormat="1" ht="12.75" customHeight="1">
      <c r="A1311" s="19" t="s">
        <v>428</v>
      </c>
      <c r="B1311" s="19" t="s">
        <v>433</v>
      </c>
      <c r="C1311" s="19" t="s">
        <v>516</v>
      </c>
      <c r="D1311" s="34">
        <v>43152</v>
      </c>
      <c r="E1311" s="19">
        <v>2018</v>
      </c>
      <c r="F1311" s="19">
        <v>2</v>
      </c>
      <c r="G1311" s="30">
        <v>21</v>
      </c>
      <c r="H1311" s="29">
        <v>0.61458333333333337</v>
      </c>
      <c r="I1311" s="35">
        <v>137.583</v>
      </c>
      <c r="J1311" s="35">
        <v>39.082000000000001</v>
      </c>
      <c r="K1311" s="28">
        <v>0</v>
      </c>
      <c r="L1311" s="28">
        <v>0</v>
      </c>
      <c r="M1311" s="27">
        <v>0</v>
      </c>
      <c r="N1311" s="36">
        <v>9.5299999999999994</v>
      </c>
      <c r="O1311" s="35">
        <v>34.287999999999997</v>
      </c>
      <c r="P1311" s="37">
        <v>0.17</v>
      </c>
      <c r="Q1311" s="37">
        <v>0.86</v>
      </c>
      <c r="R1311" s="19" t="s">
        <v>393</v>
      </c>
      <c r="S1311" s="19"/>
      <c r="T1311" s="71" t="s">
        <v>626</v>
      </c>
    </row>
    <row r="1312" spans="1:20" s="14" customFormat="1" ht="12.75" customHeight="1">
      <c r="A1312" s="19" t="s">
        <v>428</v>
      </c>
      <c r="B1312" s="19" t="s">
        <v>434</v>
      </c>
      <c r="C1312" s="19" t="s">
        <v>516</v>
      </c>
      <c r="D1312" s="34">
        <v>43152</v>
      </c>
      <c r="E1312" s="19">
        <v>2018</v>
      </c>
      <c r="F1312" s="19">
        <v>2</v>
      </c>
      <c r="G1312" s="30">
        <v>21</v>
      </c>
      <c r="H1312" s="29">
        <v>0.76111111111111107</v>
      </c>
      <c r="I1312" s="35">
        <v>137.755</v>
      </c>
      <c r="J1312" s="35">
        <v>38.832000000000001</v>
      </c>
      <c r="K1312" s="28">
        <v>0</v>
      </c>
      <c r="L1312" s="28">
        <v>0</v>
      </c>
      <c r="M1312" s="27">
        <v>0</v>
      </c>
      <c r="N1312" s="36">
        <v>10.44</v>
      </c>
      <c r="O1312" s="35">
        <v>34.279000000000003</v>
      </c>
      <c r="P1312" s="37">
        <v>0.16</v>
      </c>
      <c r="Q1312" s="37">
        <v>0.75</v>
      </c>
      <c r="R1312" s="19" t="s">
        <v>393</v>
      </c>
      <c r="S1312" s="19"/>
      <c r="T1312" s="71" t="s">
        <v>626</v>
      </c>
    </row>
    <row r="1313" spans="1:20" s="14" customFormat="1" ht="12.75" customHeight="1">
      <c r="A1313" s="19" t="s">
        <v>428</v>
      </c>
      <c r="B1313" s="19" t="s">
        <v>435</v>
      </c>
      <c r="C1313" s="19" t="s">
        <v>516</v>
      </c>
      <c r="D1313" s="34">
        <v>43152</v>
      </c>
      <c r="E1313" s="19">
        <v>2018</v>
      </c>
      <c r="F1313" s="19">
        <v>2</v>
      </c>
      <c r="G1313" s="30">
        <v>21</v>
      </c>
      <c r="H1313" s="29">
        <v>0.87569444444444444</v>
      </c>
      <c r="I1313" s="35">
        <v>137.923</v>
      </c>
      <c r="J1313" s="35">
        <v>38.582000000000001</v>
      </c>
      <c r="K1313" s="28">
        <v>0</v>
      </c>
      <c r="L1313" s="28">
        <v>0</v>
      </c>
      <c r="M1313" s="27">
        <v>0</v>
      </c>
      <c r="N1313" s="36">
        <v>9.6</v>
      </c>
      <c r="O1313" s="35">
        <v>34.25</v>
      </c>
      <c r="P1313" s="37">
        <v>0.11</v>
      </c>
      <c r="Q1313" s="37">
        <v>0.56999999999999995</v>
      </c>
      <c r="R1313" s="19" t="s">
        <v>393</v>
      </c>
      <c r="S1313" s="19"/>
      <c r="T1313" s="71" t="s">
        <v>626</v>
      </c>
    </row>
    <row r="1314" spans="1:20" s="14" customFormat="1" ht="12.75" customHeight="1">
      <c r="A1314" s="19" t="s">
        <v>428</v>
      </c>
      <c r="B1314" s="19" t="s">
        <v>436</v>
      </c>
      <c r="C1314" s="19" t="s">
        <v>516</v>
      </c>
      <c r="D1314" s="34">
        <v>43153</v>
      </c>
      <c r="E1314" s="19">
        <v>2018</v>
      </c>
      <c r="F1314" s="19">
        <v>2</v>
      </c>
      <c r="G1314" s="30">
        <v>22</v>
      </c>
      <c r="H1314" s="29">
        <v>3.472222222222222E-3</v>
      </c>
      <c r="I1314" s="35">
        <v>138.09</v>
      </c>
      <c r="J1314" s="35">
        <v>38.32</v>
      </c>
      <c r="K1314" s="28">
        <v>0</v>
      </c>
      <c r="L1314" s="28">
        <v>0</v>
      </c>
      <c r="M1314" s="27">
        <v>0</v>
      </c>
      <c r="N1314" s="36">
        <v>10.26</v>
      </c>
      <c r="O1314" s="35">
        <v>34.225000000000001</v>
      </c>
      <c r="P1314" s="37">
        <v>0.1</v>
      </c>
      <c r="Q1314" s="37">
        <v>0.64</v>
      </c>
      <c r="R1314" s="19" t="s">
        <v>393</v>
      </c>
      <c r="S1314" s="19"/>
      <c r="T1314" s="71" t="s">
        <v>626</v>
      </c>
    </row>
    <row r="1315" spans="1:20" s="14" customFormat="1" ht="12.75" customHeight="1">
      <c r="A1315" s="19" t="s">
        <v>428</v>
      </c>
      <c r="B1315" s="19" t="s">
        <v>437</v>
      </c>
      <c r="C1315" s="19" t="s">
        <v>516</v>
      </c>
      <c r="D1315" s="34">
        <v>43153</v>
      </c>
      <c r="E1315" s="19">
        <v>2018</v>
      </c>
      <c r="F1315" s="19">
        <v>2</v>
      </c>
      <c r="G1315" s="30">
        <v>22</v>
      </c>
      <c r="H1315" s="29">
        <v>0.1111111111111111</v>
      </c>
      <c r="I1315" s="35">
        <v>138.226</v>
      </c>
      <c r="J1315" s="35">
        <v>38.134999999999998</v>
      </c>
      <c r="K1315" s="28">
        <v>0</v>
      </c>
      <c r="L1315" s="28">
        <v>0</v>
      </c>
      <c r="M1315" s="27">
        <v>0</v>
      </c>
      <c r="N1315" s="36">
        <v>9.0500000000000007</v>
      </c>
      <c r="O1315" s="35">
        <v>34.265000000000001</v>
      </c>
      <c r="P1315" s="37">
        <v>0.14000000000000001</v>
      </c>
      <c r="Q1315" s="37">
        <v>0.61</v>
      </c>
      <c r="R1315" s="19" t="s">
        <v>393</v>
      </c>
      <c r="S1315" s="19"/>
      <c r="T1315" s="71" t="s">
        <v>626</v>
      </c>
    </row>
    <row r="1316" spans="1:20" s="14" customFormat="1" ht="12.75" customHeight="1">
      <c r="A1316" s="39" t="s">
        <v>478</v>
      </c>
      <c r="B1316" s="39" t="s">
        <v>479</v>
      </c>
      <c r="C1316" s="39" t="s">
        <v>516</v>
      </c>
      <c r="D1316" s="40">
        <v>43516</v>
      </c>
      <c r="E1316" s="19">
        <v>2019</v>
      </c>
      <c r="F1316" s="19">
        <v>2</v>
      </c>
      <c r="G1316" s="30">
        <v>20</v>
      </c>
      <c r="H1316" s="29" t="s">
        <v>501</v>
      </c>
      <c r="I1316" s="41">
        <v>138.22800000000001</v>
      </c>
      <c r="J1316" s="41">
        <v>38.137</v>
      </c>
      <c r="K1316" s="42">
        <v>10</v>
      </c>
      <c r="L1316" s="42">
        <v>10</v>
      </c>
      <c r="M1316" s="42" t="s">
        <v>501</v>
      </c>
      <c r="N1316" s="43">
        <v>11.22</v>
      </c>
      <c r="O1316" s="44">
        <v>34.246000000000002</v>
      </c>
      <c r="P1316" s="45">
        <v>0.06</v>
      </c>
      <c r="Q1316" s="45">
        <v>0.27</v>
      </c>
      <c r="R1316" s="39" t="s">
        <v>575</v>
      </c>
      <c r="S1316" s="39"/>
      <c r="T1316" s="71" t="s">
        <v>626</v>
      </c>
    </row>
    <row r="1317" spans="1:20" s="14" customFormat="1" ht="12.75" customHeight="1">
      <c r="A1317" s="39" t="s">
        <v>478</v>
      </c>
      <c r="B1317" s="39" t="s">
        <v>480</v>
      </c>
      <c r="C1317" s="39" t="s">
        <v>516</v>
      </c>
      <c r="D1317" s="40">
        <v>43516</v>
      </c>
      <c r="E1317" s="19">
        <v>2019</v>
      </c>
      <c r="F1317" s="19">
        <v>2</v>
      </c>
      <c r="G1317" s="30">
        <v>20</v>
      </c>
      <c r="H1317" s="29" t="s">
        <v>501</v>
      </c>
      <c r="I1317" s="41">
        <v>138.09200000000001</v>
      </c>
      <c r="J1317" s="41">
        <v>38.332000000000001</v>
      </c>
      <c r="K1317" s="42">
        <v>10</v>
      </c>
      <c r="L1317" s="42">
        <v>10</v>
      </c>
      <c r="M1317" s="42" t="s">
        <v>501</v>
      </c>
      <c r="N1317" s="43">
        <v>11.32</v>
      </c>
      <c r="O1317" s="44">
        <v>33.982999999999997</v>
      </c>
      <c r="P1317" s="45">
        <v>0.06</v>
      </c>
      <c r="Q1317" s="45">
        <v>0.18</v>
      </c>
      <c r="R1317" s="39" t="s">
        <v>575</v>
      </c>
      <c r="S1317" s="39"/>
      <c r="T1317" s="71" t="s">
        <v>626</v>
      </c>
    </row>
    <row r="1318" spans="1:20" s="14" customFormat="1" ht="12.75" customHeight="1">
      <c r="A1318" s="39" t="s">
        <v>478</v>
      </c>
      <c r="B1318" s="39" t="s">
        <v>481</v>
      </c>
      <c r="C1318" s="39" t="s">
        <v>516</v>
      </c>
      <c r="D1318" s="40">
        <v>43515</v>
      </c>
      <c r="E1318" s="19">
        <v>2019</v>
      </c>
      <c r="F1318" s="19">
        <v>2</v>
      </c>
      <c r="G1318" s="30">
        <v>19</v>
      </c>
      <c r="H1318" s="29" t="s">
        <v>501</v>
      </c>
      <c r="I1318" s="41">
        <v>137.92400000000001</v>
      </c>
      <c r="J1318" s="41">
        <v>38.582999999999998</v>
      </c>
      <c r="K1318" s="42">
        <v>10</v>
      </c>
      <c r="L1318" s="42">
        <v>10</v>
      </c>
      <c r="M1318" s="42" t="s">
        <v>501</v>
      </c>
      <c r="N1318" s="43">
        <v>11.24</v>
      </c>
      <c r="O1318" s="44">
        <v>33.969000000000001</v>
      </c>
      <c r="P1318" s="45">
        <v>0.08</v>
      </c>
      <c r="Q1318" s="45">
        <v>0.16</v>
      </c>
      <c r="R1318" s="39" t="s">
        <v>575</v>
      </c>
      <c r="S1318" s="39"/>
      <c r="T1318" s="71" t="s">
        <v>626</v>
      </c>
    </row>
    <row r="1319" spans="1:20" s="14" customFormat="1" ht="12.75" customHeight="1">
      <c r="A1319" s="39" t="s">
        <v>478</v>
      </c>
      <c r="B1319" s="39" t="s">
        <v>482</v>
      </c>
      <c r="C1319" s="39" t="s">
        <v>516</v>
      </c>
      <c r="D1319" s="40">
        <v>43515</v>
      </c>
      <c r="E1319" s="19">
        <v>2019</v>
      </c>
      <c r="F1319" s="19">
        <v>2</v>
      </c>
      <c r="G1319" s="30">
        <v>19</v>
      </c>
      <c r="H1319" s="29" t="s">
        <v>501</v>
      </c>
      <c r="I1319" s="41">
        <v>137.755</v>
      </c>
      <c r="J1319" s="41">
        <v>38.835000000000001</v>
      </c>
      <c r="K1319" s="42">
        <v>10</v>
      </c>
      <c r="L1319" s="42">
        <v>10</v>
      </c>
      <c r="M1319" s="42" t="s">
        <v>501</v>
      </c>
      <c r="N1319" s="43">
        <v>11.17</v>
      </c>
      <c r="O1319" s="44">
        <v>34.052999999999997</v>
      </c>
      <c r="P1319" s="45">
        <v>0.09</v>
      </c>
      <c r="Q1319" s="45">
        <v>0.28000000000000003</v>
      </c>
      <c r="R1319" s="39" t="s">
        <v>575</v>
      </c>
      <c r="S1319" s="39"/>
      <c r="T1319" s="71" t="s">
        <v>626</v>
      </c>
    </row>
    <row r="1320" spans="1:20" s="14" customFormat="1" ht="12.75" customHeight="1">
      <c r="A1320" s="39" t="s">
        <v>478</v>
      </c>
      <c r="B1320" s="39" t="s">
        <v>483</v>
      </c>
      <c r="C1320" s="39" t="s">
        <v>516</v>
      </c>
      <c r="D1320" s="40">
        <v>43515</v>
      </c>
      <c r="E1320" s="19">
        <v>2019</v>
      </c>
      <c r="F1320" s="19">
        <v>2</v>
      </c>
      <c r="G1320" s="30">
        <v>19</v>
      </c>
      <c r="H1320" s="29" t="s">
        <v>501</v>
      </c>
      <c r="I1320" s="41">
        <v>136.62200000000001</v>
      </c>
      <c r="J1320" s="41">
        <v>40.497</v>
      </c>
      <c r="K1320" s="42">
        <v>10</v>
      </c>
      <c r="L1320" s="42">
        <v>10</v>
      </c>
      <c r="M1320" s="42" t="s">
        <v>501</v>
      </c>
      <c r="N1320" s="43">
        <v>3.84</v>
      </c>
      <c r="O1320" s="44">
        <v>34.085000000000001</v>
      </c>
      <c r="P1320" s="45">
        <v>7.0000000000000007E-2</v>
      </c>
      <c r="Q1320" s="45">
        <v>-0.28999999999999998</v>
      </c>
      <c r="R1320" s="39" t="s">
        <v>575</v>
      </c>
      <c r="S1320" s="39"/>
      <c r="T1320" s="71" t="s">
        <v>626</v>
      </c>
    </row>
    <row r="1321" spans="1:20" s="14" customFormat="1" ht="12.75" customHeight="1">
      <c r="A1321" s="39" t="s">
        <v>478</v>
      </c>
      <c r="B1321" s="39" t="s">
        <v>484</v>
      </c>
      <c r="C1321" s="39" t="s">
        <v>516</v>
      </c>
      <c r="D1321" s="40">
        <v>43515</v>
      </c>
      <c r="E1321" s="19">
        <v>2019</v>
      </c>
      <c r="F1321" s="19">
        <v>2</v>
      </c>
      <c r="G1321" s="30">
        <v>19</v>
      </c>
      <c r="H1321" s="29" t="s">
        <v>501</v>
      </c>
      <c r="I1321" s="41">
        <v>136.34200000000001</v>
      </c>
      <c r="J1321" s="41">
        <v>40.997999999999998</v>
      </c>
      <c r="K1321" s="42">
        <v>10</v>
      </c>
      <c r="L1321" s="42">
        <v>10</v>
      </c>
      <c r="M1321" s="42" t="s">
        <v>501</v>
      </c>
      <c r="N1321" s="43">
        <v>1.86</v>
      </c>
      <c r="O1321" s="44">
        <v>34.070999999999998</v>
      </c>
      <c r="P1321" s="45">
        <v>0.01</v>
      </c>
      <c r="Q1321" s="45">
        <v>-0.63</v>
      </c>
      <c r="R1321" s="39" t="s">
        <v>575</v>
      </c>
      <c r="S1321" s="39"/>
      <c r="T1321" s="71" t="s">
        <v>626</v>
      </c>
    </row>
    <row r="1322" spans="1:20" s="14" customFormat="1" ht="12.75" customHeight="1">
      <c r="A1322" s="39" t="s">
        <v>478</v>
      </c>
      <c r="B1322" s="39" t="s">
        <v>485</v>
      </c>
      <c r="C1322" s="39" t="s">
        <v>516</v>
      </c>
      <c r="D1322" s="40">
        <v>43515</v>
      </c>
      <c r="E1322" s="19">
        <v>2019</v>
      </c>
      <c r="F1322" s="19">
        <v>2</v>
      </c>
      <c r="G1322" s="30">
        <v>19</v>
      </c>
      <c r="H1322" s="29" t="s">
        <v>501</v>
      </c>
      <c r="I1322" s="41">
        <v>137.41399999999999</v>
      </c>
      <c r="J1322" s="41">
        <v>39.332999999999998</v>
      </c>
      <c r="K1322" s="42">
        <v>10</v>
      </c>
      <c r="L1322" s="42">
        <v>10</v>
      </c>
      <c r="M1322" s="42" t="s">
        <v>501</v>
      </c>
      <c r="N1322" s="43">
        <v>10.53</v>
      </c>
      <c r="O1322" s="44">
        <v>34.058999999999997</v>
      </c>
      <c r="P1322" s="45">
        <v>0.1</v>
      </c>
      <c r="Q1322" s="45">
        <v>0.32</v>
      </c>
      <c r="R1322" s="39" t="s">
        <v>575</v>
      </c>
      <c r="S1322" s="39"/>
      <c r="T1322" s="71" t="s">
        <v>626</v>
      </c>
    </row>
    <row r="1323" spans="1:20" s="14" customFormat="1" ht="12.75" customHeight="1">
      <c r="A1323" s="39" t="s">
        <v>478</v>
      </c>
      <c r="B1323" s="39" t="s">
        <v>486</v>
      </c>
      <c r="C1323" s="39" t="s">
        <v>516</v>
      </c>
      <c r="D1323" s="40">
        <v>43515</v>
      </c>
      <c r="E1323" s="19">
        <v>2019</v>
      </c>
      <c r="F1323" s="19">
        <v>2</v>
      </c>
      <c r="G1323" s="30">
        <v>19</v>
      </c>
      <c r="H1323" s="29" t="s">
        <v>501</v>
      </c>
      <c r="I1323" s="41">
        <v>136.96100000000001</v>
      </c>
      <c r="J1323" s="41">
        <v>39.997999999999998</v>
      </c>
      <c r="K1323" s="42">
        <v>10</v>
      </c>
      <c r="L1323" s="42">
        <v>10</v>
      </c>
      <c r="M1323" s="42" t="s">
        <v>501</v>
      </c>
      <c r="N1323" s="43">
        <v>6.7</v>
      </c>
      <c r="O1323" s="44">
        <v>34.143000000000001</v>
      </c>
      <c r="P1323" s="45">
        <v>0.04</v>
      </c>
      <c r="Q1323" s="45">
        <v>0.11</v>
      </c>
      <c r="R1323" s="39" t="s">
        <v>575</v>
      </c>
      <c r="S1323" s="39"/>
      <c r="T1323" s="71" t="s">
        <v>626</v>
      </c>
    </row>
    <row r="1324" spans="1:20" s="14" customFormat="1" ht="12.75" customHeight="1">
      <c r="A1324" s="39" t="s">
        <v>487</v>
      </c>
      <c r="B1324" s="39" t="s">
        <v>484</v>
      </c>
      <c r="C1324" s="39" t="s">
        <v>516</v>
      </c>
      <c r="D1324" s="40">
        <v>43570</v>
      </c>
      <c r="E1324" s="19">
        <v>2019</v>
      </c>
      <c r="F1324" s="19">
        <v>4</v>
      </c>
      <c r="G1324" s="30">
        <v>15</v>
      </c>
      <c r="H1324" s="29" t="s">
        <v>501</v>
      </c>
      <c r="I1324" s="41">
        <v>136.34299999999999</v>
      </c>
      <c r="J1324" s="41">
        <v>41.002000000000002</v>
      </c>
      <c r="K1324" s="42">
        <v>10</v>
      </c>
      <c r="L1324" s="42">
        <v>10</v>
      </c>
      <c r="M1324" s="42" t="s">
        <v>501</v>
      </c>
      <c r="N1324" s="43">
        <v>5.05</v>
      </c>
      <c r="O1324" s="44">
        <v>34.040999999999997</v>
      </c>
      <c r="P1324" s="45">
        <v>0.02</v>
      </c>
      <c r="Q1324" s="45">
        <v>-0.48</v>
      </c>
      <c r="R1324" s="39" t="s">
        <v>575</v>
      </c>
      <c r="S1324" s="39"/>
      <c r="T1324" s="71" t="s">
        <v>626</v>
      </c>
    </row>
    <row r="1325" spans="1:20" s="14" customFormat="1" ht="12.75" customHeight="1">
      <c r="A1325" s="39" t="s">
        <v>487</v>
      </c>
      <c r="B1325" s="39" t="s">
        <v>483</v>
      </c>
      <c r="C1325" s="39" t="s">
        <v>516</v>
      </c>
      <c r="D1325" s="40">
        <v>43570</v>
      </c>
      <c r="E1325" s="19">
        <v>2019</v>
      </c>
      <c r="F1325" s="19">
        <v>4</v>
      </c>
      <c r="G1325" s="30">
        <v>15</v>
      </c>
      <c r="H1325" s="29" t="s">
        <v>501</v>
      </c>
      <c r="I1325" s="41">
        <v>136.62</v>
      </c>
      <c r="J1325" s="41">
        <v>40.494999999999997</v>
      </c>
      <c r="K1325" s="42">
        <v>10</v>
      </c>
      <c r="L1325" s="42">
        <v>10</v>
      </c>
      <c r="M1325" s="42" t="s">
        <v>501</v>
      </c>
      <c r="N1325" s="43">
        <v>5.08</v>
      </c>
      <c r="O1325" s="44">
        <v>34.048999999999999</v>
      </c>
      <c r="P1325" s="45">
        <v>0.02</v>
      </c>
      <c r="Q1325" s="45">
        <v>-0.52</v>
      </c>
      <c r="R1325" s="39" t="s">
        <v>575</v>
      </c>
      <c r="S1325" s="39"/>
      <c r="T1325" s="71" t="s">
        <v>626</v>
      </c>
    </row>
    <row r="1326" spans="1:20" s="14" customFormat="1" ht="12.75" customHeight="1">
      <c r="A1326" s="39" t="s">
        <v>487</v>
      </c>
      <c r="B1326" s="39" t="s">
        <v>486</v>
      </c>
      <c r="C1326" s="39" t="s">
        <v>516</v>
      </c>
      <c r="D1326" s="40">
        <v>43570</v>
      </c>
      <c r="E1326" s="19">
        <v>2019</v>
      </c>
      <c r="F1326" s="19">
        <v>4</v>
      </c>
      <c r="G1326" s="30">
        <v>15</v>
      </c>
      <c r="H1326" s="29" t="s">
        <v>501</v>
      </c>
      <c r="I1326" s="41">
        <v>136.959</v>
      </c>
      <c r="J1326" s="41">
        <v>40.002000000000002</v>
      </c>
      <c r="K1326" s="42">
        <v>10</v>
      </c>
      <c r="L1326" s="42">
        <v>10</v>
      </c>
      <c r="M1326" s="42" t="s">
        <v>501</v>
      </c>
      <c r="N1326" s="43">
        <v>9.76</v>
      </c>
      <c r="O1326" s="44">
        <v>34.261000000000003</v>
      </c>
      <c r="P1326" s="45">
        <v>0.1</v>
      </c>
      <c r="Q1326" s="45">
        <v>0.41</v>
      </c>
      <c r="R1326" s="39" t="s">
        <v>575</v>
      </c>
      <c r="S1326" s="39"/>
      <c r="T1326" s="71" t="s">
        <v>626</v>
      </c>
    </row>
    <row r="1327" spans="1:20" s="14" customFormat="1" ht="12.75" customHeight="1">
      <c r="A1327" s="39" t="s">
        <v>487</v>
      </c>
      <c r="B1327" s="39" t="s">
        <v>485</v>
      </c>
      <c r="C1327" s="39" t="s">
        <v>516</v>
      </c>
      <c r="D1327" s="40">
        <v>43571</v>
      </c>
      <c r="E1327" s="19">
        <v>2019</v>
      </c>
      <c r="F1327" s="19">
        <v>4</v>
      </c>
      <c r="G1327" s="30">
        <v>16</v>
      </c>
      <c r="H1327" s="29" t="s">
        <v>501</v>
      </c>
      <c r="I1327" s="41">
        <v>137.423</v>
      </c>
      <c r="J1327" s="41">
        <v>39.33</v>
      </c>
      <c r="K1327" s="42">
        <v>10</v>
      </c>
      <c r="L1327" s="42">
        <v>10</v>
      </c>
      <c r="M1327" s="42" t="s">
        <v>501</v>
      </c>
      <c r="N1327" s="43">
        <v>9.48</v>
      </c>
      <c r="O1327" s="44">
        <v>34.182000000000002</v>
      </c>
      <c r="P1327" s="45">
        <v>0.14000000000000001</v>
      </c>
      <c r="Q1327" s="45">
        <v>0.43</v>
      </c>
      <c r="R1327" s="39" t="s">
        <v>575</v>
      </c>
      <c r="S1327" s="39"/>
      <c r="T1327" s="71" t="s">
        <v>626</v>
      </c>
    </row>
    <row r="1328" spans="1:20" s="14" customFormat="1" ht="12.75" customHeight="1">
      <c r="A1328" s="39" t="s">
        <v>487</v>
      </c>
      <c r="B1328" s="39" t="s">
        <v>488</v>
      </c>
      <c r="C1328" s="39" t="s">
        <v>516</v>
      </c>
      <c r="D1328" s="40">
        <v>43571</v>
      </c>
      <c r="E1328" s="19">
        <v>2019</v>
      </c>
      <c r="F1328" s="19">
        <v>4</v>
      </c>
      <c r="G1328" s="30">
        <v>16</v>
      </c>
      <c r="H1328" s="29" t="s">
        <v>501</v>
      </c>
      <c r="I1328" s="41">
        <v>137.58500000000001</v>
      </c>
      <c r="J1328" s="41">
        <v>39.082000000000001</v>
      </c>
      <c r="K1328" s="42">
        <v>10</v>
      </c>
      <c r="L1328" s="42">
        <v>10</v>
      </c>
      <c r="M1328" s="42" t="s">
        <v>501</v>
      </c>
      <c r="N1328" s="43">
        <v>10.81</v>
      </c>
      <c r="O1328" s="44">
        <v>34.335000000000001</v>
      </c>
      <c r="P1328" s="45">
        <v>0.13</v>
      </c>
      <c r="Q1328" s="45">
        <v>0.6</v>
      </c>
      <c r="R1328" s="39" t="s">
        <v>575</v>
      </c>
      <c r="S1328" s="39"/>
      <c r="T1328" s="71" t="s">
        <v>626</v>
      </c>
    </row>
    <row r="1329" spans="1:20" s="14" customFormat="1" ht="12.75" customHeight="1">
      <c r="A1329" s="39" t="s">
        <v>487</v>
      </c>
      <c r="B1329" s="39" t="s">
        <v>482</v>
      </c>
      <c r="C1329" s="39" t="s">
        <v>516</v>
      </c>
      <c r="D1329" s="40">
        <v>43571</v>
      </c>
      <c r="E1329" s="19">
        <v>2019</v>
      </c>
      <c r="F1329" s="19">
        <v>4</v>
      </c>
      <c r="G1329" s="30">
        <v>16</v>
      </c>
      <c r="H1329" s="29" t="s">
        <v>501</v>
      </c>
      <c r="I1329" s="41">
        <v>137.75700000000001</v>
      </c>
      <c r="J1329" s="41">
        <v>38.828000000000003</v>
      </c>
      <c r="K1329" s="42">
        <v>10</v>
      </c>
      <c r="L1329" s="42">
        <v>10</v>
      </c>
      <c r="M1329" s="42" t="s">
        <v>501</v>
      </c>
      <c r="N1329" s="43">
        <v>10.24</v>
      </c>
      <c r="O1329" s="44">
        <v>34.19</v>
      </c>
      <c r="P1329" s="45">
        <v>0.15</v>
      </c>
      <c r="Q1329" s="45">
        <v>0.49</v>
      </c>
      <c r="R1329" s="39" t="s">
        <v>575</v>
      </c>
      <c r="S1329" s="39"/>
      <c r="T1329" s="71" t="s">
        <v>626</v>
      </c>
    </row>
    <row r="1330" spans="1:20" s="14" customFormat="1" ht="12.75" customHeight="1">
      <c r="A1330" s="39" t="s">
        <v>487</v>
      </c>
      <c r="B1330" s="39" t="s">
        <v>481</v>
      </c>
      <c r="C1330" s="39" t="s">
        <v>516</v>
      </c>
      <c r="D1330" s="40">
        <v>43572</v>
      </c>
      <c r="E1330" s="19">
        <v>2019</v>
      </c>
      <c r="F1330" s="19">
        <v>4</v>
      </c>
      <c r="G1330" s="30">
        <v>17</v>
      </c>
      <c r="H1330" s="29" t="s">
        <v>501</v>
      </c>
      <c r="I1330" s="41">
        <v>137.92500000000001</v>
      </c>
      <c r="J1330" s="41">
        <v>38.58</v>
      </c>
      <c r="K1330" s="42">
        <v>10</v>
      </c>
      <c r="L1330" s="42">
        <v>10</v>
      </c>
      <c r="M1330" s="42" t="s">
        <v>501</v>
      </c>
      <c r="N1330" s="43">
        <v>11.41</v>
      </c>
      <c r="O1330" s="44">
        <v>34.235999999999997</v>
      </c>
      <c r="P1330" s="45">
        <v>0.12</v>
      </c>
      <c r="Q1330" s="45">
        <v>0.5</v>
      </c>
      <c r="R1330" s="39" t="s">
        <v>575</v>
      </c>
      <c r="S1330" s="39"/>
      <c r="T1330" s="71" t="s">
        <v>626</v>
      </c>
    </row>
    <row r="1331" spans="1:20" s="14" customFormat="1" ht="12.75" customHeight="1">
      <c r="A1331" s="39" t="s">
        <v>487</v>
      </c>
      <c r="B1331" s="39" t="s">
        <v>480</v>
      </c>
      <c r="C1331" s="39" t="s">
        <v>516</v>
      </c>
      <c r="D1331" s="40">
        <v>43572</v>
      </c>
      <c r="E1331" s="19">
        <v>2019</v>
      </c>
      <c r="F1331" s="19">
        <v>4</v>
      </c>
      <c r="G1331" s="30">
        <v>17</v>
      </c>
      <c r="H1331" s="29" t="s">
        <v>501</v>
      </c>
      <c r="I1331" s="41">
        <v>138.09200000000001</v>
      </c>
      <c r="J1331" s="41">
        <v>38.332000000000001</v>
      </c>
      <c r="K1331" s="42">
        <v>10</v>
      </c>
      <c r="L1331" s="42">
        <v>10</v>
      </c>
      <c r="M1331" s="42" t="s">
        <v>501</v>
      </c>
      <c r="N1331" s="43">
        <v>11.43</v>
      </c>
      <c r="O1331" s="44">
        <v>34.244</v>
      </c>
      <c r="P1331" s="45">
        <v>0.14000000000000001</v>
      </c>
      <c r="Q1331" s="45">
        <v>0.6</v>
      </c>
      <c r="R1331" s="39" t="s">
        <v>575</v>
      </c>
      <c r="S1331" s="39"/>
      <c r="T1331" s="71" t="s">
        <v>626</v>
      </c>
    </row>
    <row r="1332" spans="1:20" s="14" customFormat="1" ht="12.75" customHeight="1">
      <c r="A1332" s="39" t="s">
        <v>487</v>
      </c>
      <c r="B1332" s="39" t="s">
        <v>479</v>
      </c>
      <c r="C1332" s="39" t="s">
        <v>516</v>
      </c>
      <c r="D1332" s="40">
        <v>43572</v>
      </c>
      <c r="E1332" s="19">
        <v>2019</v>
      </c>
      <c r="F1332" s="19">
        <v>4</v>
      </c>
      <c r="G1332" s="30">
        <v>17</v>
      </c>
      <c r="H1332" s="29" t="s">
        <v>501</v>
      </c>
      <c r="I1332" s="41">
        <v>138.227</v>
      </c>
      <c r="J1332" s="41">
        <v>38.137</v>
      </c>
      <c r="K1332" s="42">
        <v>10</v>
      </c>
      <c r="L1332" s="42">
        <v>10</v>
      </c>
      <c r="M1332" s="42" t="s">
        <v>501</v>
      </c>
      <c r="N1332" s="43">
        <v>11.21</v>
      </c>
      <c r="O1332" s="44">
        <v>34.225000000000001</v>
      </c>
      <c r="P1332" s="45">
        <v>0.12</v>
      </c>
      <c r="Q1332" s="45">
        <v>0.56999999999999995</v>
      </c>
      <c r="R1332" s="39" t="s">
        <v>575</v>
      </c>
      <c r="S1332" s="39"/>
      <c r="T1332" s="71" t="s">
        <v>626</v>
      </c>
    </row>
    <row r="1333" spans="1:20" s="14" customFormat="1" ht="12.75" customHeight="1">
      <c r="A1333" s="19" t="s">
        <v>490</v>
      </c>
      <c r="B1333" s="19" t="s">
        <v>486</v>
      </c>
      <c r="C1333" s="19" t="s">
        <v>516</v>
      </c>
      <c r="D1333" s="34">
        <v>43634</v>
      </c>
      <c r="E1333" s="19">
        <v>2019</v>
      </c>
      <c r="F1333" s="19">
        <v>6</v>
      </c>
      <c r="G1333" s="30">
        <v>18</v>
      </c>
      <c r="H1333" s="29" t="s">
        <v>501</v>
      </c>
      <c r="I1333" s="35">
        <v>136.959</v>
      </c>
      <c r="J1333" s="35">
        <v>39.997999999999998</v>
      </c>
      <c r="K1333" s="28">
        <v>10</v>
      </c>
      <c r="L1333" s="28">
        <v>10</v>
      </c>
      <c r="M1333" s="28" t="s">
        <v>501</v>
      </c>
      <c r="N1333" s="36">
        <v>16.399999999999999</v>
      </c>
      <c r="O1333" s="35">
        <v>34.374000000000002</v>
      </c>
      <c r="P1333" s="45">
        <v>0.14000000000000001</v>
      </c>
      <c r="Q1333" s="45">
        <v>0.63</v>
      </c>
      <c r="R1333" s="39" t="s">
        <v>575</v>
      </c>
      <c r="S1333" s="39"/>
      <c r="T1333" s="71" t="s">
        <v>626</v>
      </c>
    </row>
    <row r="1334" spans="1:20" s="14" customFormat="1" ht="12.75" customHeight="1">
      <c r="A1334" s="19" t="s">
        <v>490</v>
      </c>
      <c r="B1334" s="19" t="s">
        <v>483</v>
      </c>
      <c r="C1334" s="19" t="s">
        <v>516</v>
      </c>
      <c r="D1334" s="34">
        <v>43635</v>
      </c>
      <c r="E1334" s="19">
        <v>2019</v>
      </c>
      <c r="F1334" s="19">
        <v>6</v>
      </c>
      <c r="G1334" s="30">
        <v>19</v>
      </c>
      <c r="H1334" s="29" t="s">
        <v>501</v>
      </c>
      <c r="I1334" s="35">
        <v>136.62100000000001</v>
      </c>
      <c r="J1334" s="35">
        <v>40.5</v>
      </c>
      <c r="K1334" s="28">
        <v>10</v>
      </c>
      <c r="L1334" s="28">
        <v>10</v>
      </c>
      <c r="M1334" s="28" t="s">
        <v>501</v>
      </c>
      <c r="N1334" s="36">
        <v>16.75</v>
      </c>
      <c r="O1334" s="35">
        <v>34.335999999999999</v>
      </c>
      <c r="P1334" s="45">
        <v>0.1</v>
      </c>
      <c r="Q1334" s="45">
        <v>0.44</v>
      </c>
      <c r="R1334" s="39" t="s">
        <v>575</v>
      </c>
      <c r="S1334" s="39"/>
      <c r="T1334" s="71" t="s">
        <v>626</v>
      </c>
    </row>
    <row r="1335" spans="1:20" s="14" customFormat="1" ht="12.75" customHeight="1">
      <c r="A1335" s="19" t="s">
        <v>490</v>
      </c>
      <c r="B1335" s="19" t="s">
        <v>484</v>
      </c>
      <c r="C1335" s="19" t="s">
        <v>516</v>
      </c>
      <c r="D1335" s="34">
        <v>43635</v>
      </c>
      <c r="E1335" s="19">
        <v>2019</v>
      </c>
      <c r="F1335" s="19">
        <v>6</v>
      </c>
      <c r="G1335" s="30">
        <v>19</v>
      </c>
      <c r="H1335" s="29" t="s">
        <v>501</v>
      </c>
      <c r="I1335" s="35">
        <v>136.34299999999999</v>
      </c>
      <c r="J1335" s="35">
        <v>40.997999999999998</v>
      </c>
      <c r="K1335" s="28">
        <v>10</v>
      </c>
      <c r="L1335" s="28">
        <v>10</v>
      </c>
      <c r="M1335" s="28" t="s">
        <v>501</v>
      </c>
      <c r="N1335" s="36">
        <v>14.12</v>
      </c>
      <c r="O1335" s="35">
        <v>34.023000000000003</v>
      </c>
      <c r="P1335" s="45">
        <v>0.01</v>
      </c>
      <c r="Q1335" s="45">
        <v>-0.65</v>
      </c>
      <c r="R1335" s="39" t="s">
        <v>575</v>
      </c>
      <c r="S1335" s="39"/>
      <c r="T1335" s="71" t="s">
        <v>626</v>
      </c>
    </row>
    <row r="1336" spans="1:20" s="14" customFormat="1" ht="12.75" customHeight="1">
      <c r="A1336" s="19" t="s">
        <v>490</v>
      </c>
      <c r="B1336" s="19" t="s">
        <v>479</v>
      </c>
      <c r="C1336" s="19" t="s">
        <v>516</v>
      </c>
      <c r="D1336" s="34">
        <v>43636</v>
      </c>
      <c r="E1336" s="19">
        <v>2019</v>
      </c>
      <c r="F1336" s="19">
        <v>6</v>
      </c>
      <c r="G1336" s="30">
        <v>20</v>
      </c>
      <c r="H1336" s="29" t="s">
        <v>501</v>
      </c>
      <c r="I1336" s="35">
        <v>138.22499999999999</v>
      </c>
      <c r="J1336" s="35">
        <v>38.137</v>
      </c>
      <c r="K1336" s="28">
        <v>10</v>
      </c>
      <c r="L1336" s="28">
        <v>10</v>
      </c>
      <c r="M1336" s="28" t="s">
        <v>501</v>
      </c>
      <c r="N1336" s="36">
        <v>18.809999999999999</v>
      </c>
      <c r="O1336" s="35">
        <v>34.223999999999997</v>
      </c>
      <c r="P1336" s="45">
        <v>0.13</v>
      </c>
      <c r="Q1336" s="45">
        <v>0.61</v>
      </c>
      <c r="R1336" s="39" t="s">
        <v>575</v>
      </c>
      <c r="S1336" s="39"/>
      <c r="T1336" s="71" t="s">
        <v>626</v>
      </c>
    </row>
    <row r="1337" spans="1:20" s="14" customFormat="1" ht="12.75" customHeight="1">
      <c r="A1337" s="19" t="s">
        <v>490</v>
      </c>
      <c r="B1337" s="19" t="s">
        <v>480</v>
      </c>
      <c r="C1337" s="19" t="s">
        <v>516</v>
      </c>
      <c r="D1337" s="34">
        <v>43636</v>
      </c>
      <c r="E1337" s="19">
        <v>2019</v>
      </c>
      <c r="F1337" s="19">
        <v>6</v>
      </c>
      <c r="G1337" s="30">
        <v>20</v>
      </c>
      <c r="H1337" s="29" t="s">
        <v>501</v>
      </c>
      <c r="I1337" s="35">
        <v>138.083</v>
      </c>
      <c r="J1337" s="35">
        <v>38.347000000000001</v>
      </c>
      <c r="K1337" s="28">
        <v>10</v>
      </c>
      <c r="L1337" s="28">
        <v>10</v>
      </c>
      <c r="M1337" s="28" t="s">
        <v>501</v>
      </c>
      <c r="N1337" s="36">
        <v>18.73</v>
      </c>
      <c r="O1337" s="35">
        <v>34.112000000000002</v>
      </c>
      <c r="P1337" s="45">
        <v>7.0000000000000007E-2</v>
      </c>
      <c r="Q1337" s="45">
        <v>0.2</v>
      </c>
      <c r="R1337" s="39" t="s">
        <v>575</v>
      </c>
      <c r="S1337" s="39"/>
      <c r="T1337" s="71" t="s">
        <v>626</v>
      </c>
    </row>
    <row r="1338" spans="1:20" s="14" customFormat="1" ht="12.75" customHeight="1">
      <c r="A1338" s="19" t="s">
        <v>490</v>
      </c>
      <c r="B1338" s="19" t="s">
        <v>481</v>
      </c>
      <c r="C1338" s="19" t="s">
        <v>516</v>
      </c>
      <c r="D1338" s="34">
        <v>43636</v>
      </c>
      <c r="E1338" s="19">
        <v>2019</v>
      </c>
      <c r="F1338" s="19">
        <v>6</v>
      </c>
      <c r="G1338" s="30">
        <v>20</v>
      </c>
      <c r="H1338" s="29" t="s">
        <v>501</v>
      </c>
      <c r="I1338" s="35">
        <v>137.91999999999999</v>
      </c>
      <c r="J1338" s="35">
        <v>38.582999999999998</v>
      </c>
      <c r="K1338" s="28">
        <v>10</v>
      </c>
      <c r="L1338" s="28">
        <v>10</v>
      </c>
      <c r="M1338" s="28" t="s">
        <v>501</v>
      </c>
      <c r="N1338" s="36">
        <v>18.89</v>
      </c>
      <c r="O1338" s="35">
        <v>34.409999999999997</v>
      </c>
      <c r="P1338" s="45">
        <v>0.13</v>
      </c>
      <c r="Q1338" s="45">
        <v>0.88</v>
      </c>
      <c r="R1338" s="39" t="s">
        <v>575</v>
      </c>
      <c r="S1338" s="39"/>
      <c r="T1338" s="71" t="s">
        <v>626</v>
      </c>
    </row>
    <row r="1339" spans="1:20" s="14" customFormat="1" ht="12.75" customHeight="1">
      <c r="A1339" s="19" t="s">
        <v>490</v>
      </c>
      <c r="B1339" s="19" t="s">
        <v>482</v>
      </c>
      <c r="C1339" s="19" t="s">
        <v>516</v>
      </c>
      <c r="D1339" s="34">
        <v>43636</v>
      </c>
      <c r="E1339" s="19">
        <v>2019</v>
      </c>
      <c r="F1339" s="19">
        <v>6</v>
      </c>
      <c r="G1339" s="30">
        <v>20</v>
      </c>
      <c r="H1339" s="29" t="s">
        <v>501</v>
      </c>
      <c r="I1339" s="35">
        <v>137.75299999999999</v>
      </c>
      <c r="J1339" s="35">
        <v>38.832000000000001</v>
      </c>
      <c r="K1339" s="28">
        <v>10</v>
      </c>
      <c r="L1339" s="28">
        <v>10</v>
      </c>
      <c r="M1339" s="28" t="s">
        <v>501</v>
      </c>
      <c r="N1339" s="36">
        <v>17.62</v>
      </c>
      <c r="O1339" s="35">
        <v>34.411000000000001</v>
      </c>
      <c r="P1339" s="45">
        <v>0.16</v>
      </c>
      <c r="Q1339" s="45">
        <v>0.95</v>
      </c>
      <c r="R1339" s="39" t="s">
        <v>575</v>
      </c>
      <c r="S1339" s="39"/>
      <c r="T1339" s="71" t="s">
        <v>626</v>
      </c>
    </row>
    <row r="1340" spans="1:20" s="14" customFormat="1" ht="12.75" customHeight="1">
      <c r="A1340" s="19" t="s">
        <v>490</v>
      </c>
      <c r="B1340" s="19" t="s">
        <v>488</v>
      </c>
      <c r="C1340" s="19" t="s">
        <v>516</v>
      </c>
      <c r="D1340" s="34">
        <v>43634</v>
      </c>
      <c r="E1340" s="19">
        <v>2019</v>
      </c>
      <c r="F1340" s="19">
        <v>6</v>
      </c>
      <c r="G1340" s="30">
        <v>18</v>
      </c>
      <c r="H1340" s="29" t="s">
        <v>501</v>
      </c>
      <c r="I1340" s="35">
        <v>137.583</v>
      </c>
      <c r="J1340" s="35">
        <v>39.087000000000003</v>
      </c>
      <c r="K1340" s="28">
        <v>10</v>
      </c>
      <c r="L1340" s="28">
        <v>10</v>
      </c>
      <c r="M1340" s="28" t="s">
        <v>501</v>
      </c>
      <c r="N1340" s="36">
        <v>17.03</v>
      </c>
      <c r="O1340" s="35">
        <v>34.302</v>
      </c>
      <c r="P1340" s="45">
        <v>0.13</v>
      </c>
      <c r="Q1340" s="45">
        <v>0.76</v>
      </c>
      <c r="R1340" s="39" t="s">
        <v>575</v>
      </c>
      <c r="S1340" s="39"/>
      <c r="T1340" s="71" t="s">
        <v>626</v>
      </c>
    </row>
    <row r="1341" spans="1:20" s="14" customFormat="1" ht="12.75" customHeight="1">
      <c r="A1341" s="19" t="s">
        <v>490</v>
      </c>
      <c r="B1341" s="19" t="s">
        <v>485</v>
      </c>
      <c r="C1341" s="19" t="s">
        <v>516</v>
      </c>
      <c r="D1341" s="34">
        <v>43634</v>
      </c>
      <c r="E1341" s="19">
        <v>2019</v>
      </c>
      <c r="F1341" s="19">
        <v>6</v>
      </c>
      <c r="G1341" s="30">
        <v>18</v>
      </c>
      <c r="H1341" s="29" t="s">
        <v>501</v>
      </c>
      <c r="I1341" s="35">
        <v>137.41300000000001</v>
      </c>
      <c r="J1341" s="35">
        <v>39.332000000000001</v>
      </c>
      <c r="K1341" s="28">
        <v>10</v>
      </c>
      <c r="L1341" s="28">
        <v>10</v>
      </c>
      <c r="M1341" s="28" t="s">
        <v>501</v>
      </c>
      <c r="N1341" s="36">
        <v>17.21</v>
      </c>
      <c r="O1341" s="35">
        <v>34.180999999999997</v>
      </c>
      <c r="P1341" s="45">
        <v>7.0000000000000007E-2</v>
      </c>
      <c r="Q1341" s="45">
        <v>0.14000000000000001</v>
      </c>
      <c r="R1341" s="39" t="s">
        <v>575</v>
      </c>
      <c r="S1341" s="39"/>
      <c r="T1341" s="71" t="s">
        <v>626</v>
      </c>
    </row>
    <row r="1342" spans="1:20" s="14" customFormat="1" ht="12.75" customHeight="1">
      <c r="A1342" s="26" t="s">
        <v>292</v>
      </c>
      <c r="B1342" s="26" t="s">
        <v>9</v>
      </c>
      <c r="C1342" s="26" t="s">
        <v>503</v>
      </c>
      <c r="D1342" s="25">
        <v>42212</v>
      </c>
      <c r="E1342" s="19">
        <f t="shared" ref="E1342:E1375" si="80">YEAR(D1342)</f>
        <v>2015</v>
      </c>
      <c r="F1342" s="19">
        <f t="shared" ref="F1342:F1405" si="81">MONTH(D1342)</f>
        <v>7</v>
      </c>
      <c r="G1342" s="30">
        <f t="shared" ref="G1342:G1375" si="82">DAY(D1342)</f>
        <v>27</v>
      </c>
      <c r="H1342" s="29" t="s">
        <v>287</v>
      </c>
      <c r="I1342" s="22">
        <v>136.81868333333333</v>
      </c>
      <c r="J1342" s="22">
        <v>37.999116666666666</v>
      </c>
      <c r="K1342" s="27">
        <v>0</v>
      </c>
      <c r="L1342" s="27">
        <v>0</v>
      </c>
      <c r="M1342" s="27">
        <v>0</v>
      </c>
      <c r="N1342" s="21">
        <v>24.3</v>
      </c>
      <c r="O1342" s="24">
        <v>33.74</v>
      </c>
      <c r="P1342" s="20">
        <v>-3.2214729411766223E-3</v>
      </c>
      <c r="Q1342" s="20">
        <v>-0.44149671058823425</v>
      </c>
      <c r="R1342" s="26" t="s">
        <v>284</v>
      </c>
      <c r="S1342" s="26"/>
      <c r="T1342" s="71" t="s">
        <v>626</v>
      </c>
    </row>
    <row r="1343" spans="1:20" s="14" customFormat="1" ht="12.75" customHeight="1">
      <c r="A1343" s="26" t="s">
        <v>292</v>
      </c>
      <c r="B1343" s="26" t="s">
        <v>10</v>
      </c>
      <c r="C1343" s="26" t="s">
        <v>503</v>
      </c>
      <c r="D1343" s="25">
        <v>42212</v>
      </c>
      <c r="E1343" s="19">
        <f t="shared" si="80"/>
        <v>2015</v>
      </c>
      <c r="F1343" s="19">
        <f t="shared" si="81"/>
        <v>7</v>
      </c>
      <c r="G1343" s="30">
        <f t="shared" si="82"/>
        <v>27</v>
      </c>
      <c r="H1343" s="29" t="s">
        <v>287</v>
      </c>
      <c r="I1343" s="22">
        <v>136.81868333333333</v>
      </c>
      <c r="J1343" s="22">
        <v>37.999116666666666</v>
      </c>
      <c r="K1343" s="27">
        <v>0</v>
      </c>
      <c r="L1343" s="27">
        <v>0</v>
      </c>
      <c r="M1343" s="27">
        <v>0</v>
      </c>
      <c r="N1343" s="21">
        <v>24.3</v>
      </c>
      <c r="O1343" s="24">
        <v>33.74</v>
      </c>
      <c r="P1343" s="20">
        <v>-6.1139105882352524E-3</v>
      </c>
      <c r="Q1343" s="20">
        <v>-0.26134465411764635</v>
      </c>
      <c r="R1343" s="26" t="s">
        <v>284</v>
      </c>
      <c r="S1343" s="26"/>
      <c r="T1343" s="71" t="s">
        <v>626</v>
      </c>
    </row>
    <row r="1344" spans="1:20" s="14" customFormat="1" ht="12.75" customHeight="1">
      <c r="A1344" s="26" t="s">
        <v>292</v>
      </c>
      <c r="B1344" s="26" t="s">
        <v>11</v>
      </c>
      <c r="C1344" s="26" t="s">
        <v>503</v>
      </c>
      <c r="D1344" s="25">
        <v>42213</v>
      </c>
      <c r="E1344" s="19">
        <f t="shared" si="80"/>
        <v>2015</v>
      </c>
      <c r="F1344" s="19">
        <f t="shared" si="81"/>
        <v>7</v>
      </c>
      <c r="G1344" s="30">
        <f t="shared" si="82"/>
        <v>28</v>
      </c>
      <c r="H1344" s="29" t="s">
        <v>287</v>
      </c>
      <c r="I1344" s="22">
        <v>139.26626666666667</v>
      </c>
      <c r="J1344" s="22">
        <v>40.000749999999996</v>
      </c>
      <c r="K1344" s="27">
        <v>0</v>
      </c>
      <c r="L1344" s="27">
        <v>0</v>
      </c>
      <c r="M1344" s="27">
        <v>0</v>
      </c>
      <c r="N1344" s="21">
        <v>24.5</v>
      </c>
      <c r="O1344" s="24">
        <v>33.909999999999997</v>
      </c>
      <c r="P1344" s="20">
        <v>4.2419851764705682E-2</v>
      </c>
      <c r="Q1344" s="20">
        <v>-0.39221777764705829</v>
      </c>
      <c r="R1344" s="26" t="s">
        <v>284</v>
      </c>
      <c r="S1344" s="26"/>
      <c r="T1344" s="71" t="s">
        <v>626</v>
      </c>
    </row>
    <row r="1345" spans="1:20" s="14" customFormat="1" ht="12.75" customHeight="1">
      <c r="A1345" s="26" t="s">
        <v>292</v>
      </c>
      <c r="B1345" s="26" t="s">
        <v>12</v>
      </c>
      <c r="C1345" s="26" t="s">
        <v>503</v>
      </c>
      <c r="D1345" s="25">
        <v>42213</v>
      </c>
      <c r="E1345" s="19">
        <f t="shared" si="80"/>
        <v>2015</v>
      </c>
      <c r="F1345" s="19">
        <f t="shared" si="81"/>
        <v>7</v>
      </c>
      <c r="G1345" s="30">
        <f t="shared" si="82"/>
        <v>28</v>
      </c>
      <c r="H1345" s="29" t="s">
        <v>287</v>
      </c>
      <c r="I1345" s="22">
        <v>139.26626666666667</v>
      </c>
      <c r="J1345" s="22">
        <v>40.000749999999996</v>
      </c>
      <c r="K1345" s="27">
        <v>0</v>
      </c>
      <c r="L1345" s="27">
        <v>0</v>
      </c>
      <c r="M1345" s="27">
        <v>0</v>
      </c>
      <c r="N1345" s="21">
        <v>24.5</v>
      </c>
      <c r="O1345" s="24">
        <v>33.909999999999997</v>
      </c>
      <c r="P1345" s="20">
        <v>9.7960870588233561E-3</v>
      </c>
      <c r="Q1345" s="20">
        <v>-0.28565906352941239</v>
      </c>
      <c r="R1345" s="26" t="s">
        <v>284</v>
      </c>
      <c r="S1345" s="26"/>
      <c r="T1345" s="71" t="s">
        <v>626</v>
      </c>
    </row>
    <row r="1346" spans="1:20" s="14" customFormat="1" ht="12.75" customHeight="1">
      <c r="A1346" s="26" t="s">
        <v>292</v>
      </c>
      <c r="B1346" s="26" t="s">
        <v>13</v>
      </c>
      <c r="C1346" s="26" t="s">
        <v>503</v>
      </c>
      <c r="D1346" s="25">
        <v>42214</v>
      </c>
      <c r="E1346" s="19">
        <f t="shared" si="80"/>
        <v>2015</v>
      </c>
      <c r="F1346" s="19">
        <f t="shared" si="81"/>
        <v>7</v>
      </c>
      <c r="G1346" s="30">
        <f t="shared" si="82"/>
        <v>29</v>
      </c>
      <c r="H1346" s="29" t="s">
        <v>287</v>
      </c>
      <c r="I1346" s="22">
        <v>139.63489999999999</v>
      </c>
      <c r="J1346" s="22">
        <v>41.000216666666667</v>
      </c>
      <c r="K1346" s="27">
        <v>0</v>
      </c>
      <c r="L1346" s="27">
        <v>0</v>
      </c>
      <c r="M1346" s="27">
        <v>0</v>
      </c>
      <c r="N1346" s="21">
        <v>24.9</v>
      </c>
      <c r="O1346" s="24">
        <v>33.93</v>
      </c>
      <c r="P1346" s="20">
        <v>1.8874816470588036E-2</v>
      </c>
      <c r="Q1346" s="20">
        <v>-0.13862202823529474</v>
      </c>
      <c r="R1346" s="26" t="s">
        <v>284</v>
      </c>
      <c r="S1346" s="26"/>
      <c r="T1346" s="71" t="s">
        <v>626</v>
      </c>
    </row>
    <row r="1347" spans="1:20" s="14" customFormat="1" ht="12.75" customHeight="1">
      <c r="A1347" s="26" t="s">
        <v>292</v>
      </c>
      <c r="B1347" s="26" t="s">
        <v>14</v>
      </c>
      <c r="C1347" s="26" t="s">
        <v>503</v>
      </c>
      <c r="D1347" s="25">
        <v>42214</v>
      </c>
      <c r="E1347" s="19">
        <f t="shared" si="80"/>
        <v>2015</v>
      </c>
      <c r="F1347" s="19">
        <f t="shared" si="81"/>
        <v>7</v>
      </c>
      <c r="G1347" s="30">
        <f t="shared" si="82"/>
        <v>29</v>
      </c>
      <c r="H1347" s="29" t="s">
        <v>287</v>
      </c>
      <c r="I1347" s="22">
        <v>139.63489999999999</v>
      </c>
      <c r="J1347" s="22">
        <v>41.000216666666667</v>
      </c>
      <c r="K1347" s="27">
        <v>0</v>
      </c>
      <c r="L1347" s="27">
        <v>0</v>
      </c>
      <c r="M1347" s="27">
        <v>0</v>
      </c>
      <c r="N1347" s="21">
        <v>24.9</v>
      </c>
      <c r="O1347" s="24">
        <v>33.93</v>
      </c>
      <c r="P1347" s="20">
        <v>1.802874588235277E-2</v>
      </c>
      <c r="Q1347" s="20">
        <v>-0.15133891294117799</v>
      </c>
      <c r="R1347" s="26" t="s">
        <v>284</v>
      </c>
      <c r="S1347" s="26"/>
      <c r="T1347" s="71" t="s">
        <v>626</v>
      </c>
    </row>
    <row r="1348" spans="1:20" s="14" customFormat="1" ht="12.75" customHeight="1">
      <c r="A1348" s="26" t="s">
        <v>292</v>
      </c>
      <c r="B1348" s="26" t="s">
        <v>15</v>
      </c>
      <c r="C1348" s="26" t="s">
        <v>503</v>
      </c>
      <c r="D1348" s="25">
        <v>42215</v>
      </c>
      <c r="E1348" s="19">
        <f t="shared" si="80"/>
        <v>2015</v>
      </c>
      <c r="F1348" s="19">
        <f t="shared" si="81"/>
        <v>7</v>
      </c>
      <c r="G1348" s="30">
        <f t="shared" si="82"/>
        <v>30</v>
      </c>
      <c r="H1348" s="29" t="s">
        <v>287</v>
      </c>
      <c r="I1348" s="22">
        <v>137.58391666666665</v>
      </c>
      <c r="J1348" s="22">
        <v>39.248150000000003</v>
      </c>
      <c r="K1348" s="27">
        <v>0</v>
      </c>
      <c r="L1348" s="27">
        <v>0</v>
      </c>
      <c r="M1348" s="27">
        <v>0</v>
      </c>
      <c r="N1348" s="21">
        <v>25.5</v>
      </c>
      <c r="O1348" s="24">
        <v>33.880000000000003</v>
      </c>
      <c r="P1348" s="20">
        <v>1.0043195294117423E-2</v>
      </c>
      <c r="Q1348" s="20">
        <v>-0.25083739764705798</v>
      </c>
      <c r="R1348" s="26" t="s">
        <v>284</v>
      </c>
      <c r="S1348" s="26"/>
      <c r="T1348" s="71" t="s">
        <v>626</v>
      </c>
    </row>
    <row r="1349" spans="1:20" s="14" customFormat="1" ht="12.75" customHeight="1">
      <c r="A1349" s="26" t="s">
        <v>292</v>
      </c>
      <c r="B1349" s="26" t="s">
        <v>16</v>
      </c>
      <c r="C1349" s="26" t="s">
        <v>503</v>
      </c>
      <c r="D1349" s="25">
        <v>42215</v>
      </c>
      <c r="E1349" s="19">
        <f t="shared" si="80"/>
        <v>2015</v>
      </c>
      <c r="F1349" s="19">
        <f t="shared" si="81"/>
        <v>7</v>
      </c>
      <c r="G1349" s="30">
        <f t="shared" si="82"/>
        <v>30</v>
      </c>
      <c r="H1349" s="29" t="s">
        <v>287</v>
      </c>
      <c r="I1349" s="22">
        <v>137.58391666666665</v>
      </c>
      <c r="J1349" s="22">
        <v>39.248150000000003</v>
      </c>
      <c r="K1349" s="27">
        <v>0</v>
      </c>
      <c r="L1349" s="27">
        <v>0</v>
      </c>
      <c r="M1349" s="27">
        <v>0</v>
      </c>
      <c r="N1349" s="21">
        <v>25.5</v>
      </c>
      <c r="O1349" s="24">
        <v>33.880000000000003</v>
      </c>
      <c r="P1349" s="20">
        <v>2.3016414705882303E-2</v>
      </c>
      <c r="Q1349" s="20">
        <v>-0.36245438235294175</v>
      </c>
      <c r="R1349" s="26" t="s">
        <v>284</v>
      </c>
      <c r="S1349" s="26"/>
      <c r="T1349" s="71" t="s">
        <v>626</v>
      </c>
    </row>
    <row r="1350" spans="1:20" s="17" customFormat="1" ht="12.75" customHeight="1">
      <c r="A1350" s="26" t="s">
        <v>171</v>
      </c>
      <c r="B1350" s="26" t="s">
        <v>9</v>
      </c>
      <c r="C1350" s="26" t="s">
        <v>503</v>
      </c>
      <c r="D1350" s="25">
        <v>42562</v>
      </c>
      <c r="E1350" s="19">
        <f t="shared" si="80"/>
        <v>2016</v>
      </c>
      <c r="F1350" s="19">
        <f t="shared" si="81"/>
        <v>7</v>
      </c>
      <c r="G1350" s="30">
        <f t="shared" si="82"/>
        <v>11</v>
      </c>
      <c r="H1350" s="29" t="s">
        <v>287</v>
      </c>
      <c r="I1350" s="22">
        <v>136.84718333333333</v>
      </c>
      <c r="J1350" s="22">
        <v>38.000450000000001</v>
      </c>
      <c r="K1350" s="27">
        <v>0</v>
      </c>
      <c r="L1350" s="27">
        <v>0</v>
      </c>
      <c r="M1350" s="27">
        <v>0</v>
      </c>
      <c r="N1350" s="21">
        <v>24.3</v>
      </c>
      <c r="O1350" s="24">
        <v>33.94</v>
      </c>
      <c r="P1350" s="20">
        <v>7.6965374117646951E-2</v>
      </c>
      <c r="Q1350" s="20">
        <v>0.10160251294117506</v>
      </c>
      <c r="R1350" s="26" t="s">
        <v>284</v>
      </c>
      <c r="S1350" s="26"/>
      <c r="T1350" s="71" t="s">
        <v>626</v>
      </c>
    </row>
    <row r="1351" spans="1:20" s="17" customFormat="1" ht="12.75" customHeight="1">
      <c r="A1351" s="26" t="s">
        <v>171</v>
      </c>
      <c r="B1351" s="26" t="s">
        <v>10</v>
      </c>
      <c r="C1351" s="26" t="s">
        <v>503</v>
      </c>
      <c r="D1351" s="25">
        <v>42562</v>
      </c>
      <c r="E1351" s="19">
        <f t="shared" si="80"/>
        <v>2016</v>
      </c>
      <c r="F1351" s="19">
        <f t="shared" si="81"/>
        <v>7</v>
      </c>
      <c r="G1351" s="30">
        <f t="shared" si="82"/>
        <v>11</v>
      </c>
      <c r="H1351" s="29" t="s">
        <v>287</v>
      </c>
      <c r="I1351" s="22">
        <v>136.84718333333333</v>
      </c>
      <c r="J1351" s="22">
        <v>38.000450000000001</v>
      </c>
      <c r="K1351" s="27">
        <v>0</v>
      </c>
      <c r="L1351" s="27">
        <v>0</v>
      </c>
      <c r="M1351" s="27">
        <v>0</v>
      </c>
      <c r="N1351" s="21">
        <v>24.3</v>
      </c>
      <c r="O1351" s="24">
        <v>33.94</v>
      </c>
      <c r="P1351" s="20">
        <v>7.6089583529411559E-2</v>
      </c>
      <c r="Q1351" s="20">
        <v>0.22956642823529386</v>
      </c>
      <c r="R1351" s="26" t="s">
        <v>284</v>
      </c>
      <c r="S1351" s="26"/>
      <c r="T1351" s="71" t="s">
        <v>626</v>
      </c>
    </row>
    <row r="1352" spans="1:20" s="17" customFormat="1" ht="12.75" customHeight="1">
      <c r="A1352" s="26" t="s">
        <v>171</v>
      </c>
      <c r="B1352" s="26" t="s">
        <v>11</v>
      </c>
      <c r="C1352" s="26" t="s">
        <v>503</v>
      </c>
      <c r="D1352" s="25">
        <v>42563</v>
      </c>
      <c r="E1352" s="19">
        <f t="shared" si="80"/>
        <v>2016</v>
      </c>
      <c r="F1352" s="19">
        <f t="shared" si="81"/>
        <v>7</v>
      </c>
      <c r="G1352" s="30">
        <f t="shared" si="82"/>
        <v>12</v>
      </c>
      <c r="H1352" s="29" t="s">
        <v>287</v>
      </c>
      <c r="I1352" s="22">
        <v>138.61526666666666</v>
      </c>
      <c r="J1352" s="22">
        <v>40.003766666666664</v>
      </c>
      <c r="K1352" s="27">
        <v>0</v>
      </c>
      <c r="L1352" s="27">
        <v>0</v>
      </c>
      <c r="M1352" s="27">
        <v>0</v>
      </c>
      <c r="N1352" s="21">
        <v>23.3</v>
      </c>
      <c r="O1352" s="24">
        <v>34.22</v>
      </c>
      <c r="P1352" s="20">
        <v>7.1136461176470475E-2</v>
      </c>
      <c r="Q1352" s="20">
        <v>0.27296520941176339</v>
      </c>
      <c r="R1352" s="26" t="s">
        <v>284</v>
      </c>
      <c r="S1352" s="26"/>
      <c r="T1352" s="71" t="s">
        <v>626</v>
      </c>
    </row>
    <row r="1353" spans="1:20" s="17" customFormat="1" ht="12.75" customHeight="1">
      <c r="A1353" s="26" t="s">
        <v>171</v>
      </c>
      <c r="B1353" s="26" t="s">
        <v>12</v>
      </c>
      <c r="C1353" s="26" t="s">
        <v>503</v>
      </c>
      <c r="D1353" s="25">
        <v>42563</v>
      </c>
      <c r="E1353" s="19">
        <f t="shared" si="80"/>
        <v>2016</v>
      </c>
      <c r="F1353" s="19">
        <f t="shared" si="81"/>
        <v>7</v>
      </c>
      <c r="G1353" s="30">
        <f t="shared" si="82"/>
        <v>12</v>
      </c>
      <c r="H1353" s="29" t="s">
        <v>287</v>
      </c>
      <c r="I1353" s="22">
        <v>138.61526666666666</v>
      </c>
      <c r="J1353" s="22">
        <v>40.003766666666664</v>
      </c>
      <c r="K1353" s="27">
        <v>0</v>
      </c>
      <c r="L1353" s="27">
        <v>0</v>
      </c>
      <c r="M1353" s="27">
        <v>0</v>
      </c>
      <c r="N1353" s="21">
        <v>23.3</v>
      </c>
      <c r="O1353" s="24">
        <v>34.22</v>
      </c>
      <c r="P1353" s="20">
        <v>0.11426887058823507</v>
      </c>
      <c r="Q1353" s="20">
        <v>0.31474336470588232</v>
      </c>
      <c r="R1353" s="26" t="s">
        <v>284</v>
      </c>
      <c r="S1353" s="26"/>
      <c r="T1353" s="71" t="s">
        <v>626</v>
      </c>
    </row>
    <row r="1354" spans="1:20" s="17" customFormat="1" ht="12.75" customHeight="1">
      <c r="A1354" s="26" t="s">
        <v>171</v>
      </c>
      <c r="B1354" s="26" t="s">
        <v>13</v>
      </c>
      <c r="C1354" s="26" t="s">
        <v>503</v>
      </c>
      <c r="D1354" s="25">
        <v>42564</v>
      </c>
      <c r="E1354" s="19">
        <f t="shared" si="80"/>
        <v>2016</v>
      </c>
      <c r="F1354" s="19">
        <f t="shared" si="81"/>
        <v>7</v>
      </c>
      <c r="G1354" s="30">
        <f t="shared" si="82"/>
        <v>13</v>
      </c>
      <c r="H1354" s="29" t="s">
        <v>287</v>
      </c>
      <c r="I1354" s="22">
        <v>139.40361666666666</v>
      </c>
      <c r="J1354" s="22">
        <v>40.999583333333334</v>
      </c>
      <c r="K1354" s="27">
        <v>0</v>
      </c>
      <c r="L1354" s="27">
        <v>0</v>
      </c>
      <c r="M1354" s="27">
        <v>0</v>
      </c>
      <c r="N1354" s="21">
        <v>21.1</v>
      </c>
      <c r="O1354" s="24">
        <v>33.799999999999997</v>
      </c>
      <c r="P1354" s="20">
        <v>-7.067068000000018E-2</v>
      </c>
      <c r="Q1354" s="20">
        <v>-0.33869895999999988</v>
      </c>
      <c r="R1354" s="26" t="s">
        <v>284</v>
      </c>
      <c r="S1354" s="26"/>
      <c r="T1354" s="71" t="s">
        <v>626</v>
      </c>
    </row>
    <row r="1355" spans="1:20" s="17" customFormat="1" ht="12.75" customHeight="1">
      <c r="A1355" s="26" t="s">
        <v>171</v>
      </c>
      <c r="B1355" s="26" t="s">
        <v>14</v>
      </c>
      <c r="C1355" s="26" t="s">
        <v>503</v>
      </c>
      <c r="D1355" s="25">
        <v>42564</v>
      </c>
      <c r="E1355" s="19">
        <f t="shared" si="80"/>
        <v>2016</v>
      </c>
      <c r="F1355" s="19">
        <f t="shared" si="81"/>
        <v>7</v>
      </c>
      <c r="G1355" s="30">
        <f t="shared" si="82"/>
        <v>13</v>
      </c>
      <c r="H1355" s="29" t="s">
        <v>287</v>
      </c>
      <c r="I1355" s="22">
        <v>139.40361666666666</v>
      </c>
      <c r="J1355" s="22">
        <v>40.999583333333334</v>
      </c>
      <c r="K1355" s="27">
        <v>0</v>
      </c>
      <c r="L1355" s="27">
        <v>0</v>
      </c>
      <c r="M1355" s="27">
        <v>0</v>
      </c>
      <c r="N1355" s="21">
        <v>21.1</v>
      </c>
      <c r="O1355" s="24">
        <v>33.799999999999997</v>
      </c>
      <c r="P1355" s="20">
        <v>-7.0891510588235354E-2</v>
      </c>
      <c r="Q1355" s="20">
        <v>-0.67265448470588285</v>
      </c>
      <c r="R1355" s="26" t="s">
        <v>284</v>
      </c>
      <c r="S1355" s="26"/>
      <c r="T1355" s="71" t="s">
        <v>626</v>
      </c>
    </row>
    <row r="1356" spans="1:20" s="17" customFormat="1" ht="12.75" customHeight="1">
      <c r="A1356" s="26" t="s">
        <v>172</v>
      </c>
      <c r="B1356" s="26" t="s">
        <v>147</v>
      </c>
      <c r="C1356" s="26" t="s">
        <v>503</v>
      </c>
      <c r="D1356" s="25">
        <v>42935</v>
      </c>
      <c r="E1356" s="19">
        <f t="shared" si="80"/>
        <v>2017</v>
      </c>
      <c r="F1356" s="19">
        <f t="shared" si="81"/>
        <v>7</v>
      </c>
      <c r="G1356" s="30">
        <f t="shared" si="82"/>
        <v>19</v>
      </c>
      <c r="H1356" s="29" t="s">
        <v>287</v>
      </c>
      <c r="I1356" s="22">
        <v>138.22623333333334</v>
      </c>
      <c r="J1356" s="22">
        <v>41.774749999999997</v>
      </c>
      <c r="K1356" s="27">
        <v>0</v>
      </c>
      <c r="L1356" s="27">
        <v>0</v>
      </c>
      <c r="M1356" s="27">
        <v>0</v>
      </c>
      <c r="N1356" s="21">
        <v>21.8</v>
      </c>
      <c r="O1356" s="24">
        <v>33.67</v>
      </c>
      <c r="P1356" s="20">
        <v>-0.20252747886877842</v>
      </c>
      <c r="Q1356" s="20">
        <v>-1.722996069411765</v>
      </c>
      <c r="R1356" s="26" t="s">
        <v>284</v>
      </c>
      <c r="S1356" s="26"/>
      <c r="T1356" s="71" t="s">
        <v>626</v>
      </c>
    </row>
    <row r="1357" spans="1:20" s="17" customFormat="1" ht="12.75" customHeight="1">
      <c r="A1357" s="26" t="s">
        <v>172</v>
      </c>
      <c r="B1357" s="26" t="s">
        <v>148</v>
      </c>
      <c r="C1357" s="26" t="s">
        <v>503</v>
      </c>
      <c r="D1357" s="25">
        <v>42935</v>
      </c>
      <c r="E1357" s="19">
        <f t="shared" si="80"/>
        <v>2017</v>
      </c>
      <c r="F1357" s="19">
        <f t="shared" si="81"/>
        <v>7</v>
      </c>
      <c r="G1357" s="30">
        <f t="shared" si="82"/>
        <v>19</v>
      </c>
      <c r="H1357" s="29" t="s">
        <v>287</v>
      </c>
      <c r="I1357" s="22">
        <v>138.22623333333334</v>
      </c>
      <c r="J1357" s="22">
        <v>41.774749999999997</v>
      </c>
      <c r="K1357" s="27">
        <v>0</v>
      </c>
      <c r="L1357" s="27">
        <v>0</v>
      </c>
      <c r="M1357" s="27">
        <v>0</v>
      </c>
      <c r="N1357" s="21">
        <v>21.8</v>
      </c>
      <c r="O1357" s="24">
        <v>33.67</v>
      </c>
      <c r="P1357" s="20">
        <v>-0.16190489868778291</v>
      </c>
      <c r="Q1357" s="20">
        <v>-1.6456095941176474</v>
      </c>
      <c r="R1357" s="26" t="s">
        <v>284</v>
      </c>
      <c r="S1357" s="26"/>
      <c r="T1357" s="71" t="s">
        <v>626</v>
      </c>
    </row>
    <row r="1358" spans="1:20" s="17" customFormat="1" ht="12.75" customHeight="1">
      <c r="A1358" s="26" t="s">
        <v>172</v>
      </c>
      <c r="B1358" s="26" t="s">
        <v>149</v>
      </c>
      <c r="C1358" s="26" t="s">
        <v>503</v>
      </c>
      <c r="D1358" s="25">
        <v>42936</v>
      </c>
      <c r="E1358" s="19">
        <f t="shared" si="80"/>
        <v>2017</v>
      </c>
      <c r="F1358" s="19">
        <f t="shared" si="81"/>
        <v>7</v>
      </c>
      <c r="G1358" s="30">
        <f t="shared" si="82"/>
        <v>20</v>
      </c>
      <c r="H1358" s="29" t="s">
        <v>287</v>
      </c>
      <c r="I1358" s="22">
        <v>137.6079</v>
      </c>
      <c r="J1358" s="22">
        <v>40.395049999999998</v>
      </c>
      <c r="K1358" s="27">
        <v>0</v>
      </c>
      <c r="L1358" s="27">
        <v>0</v>
      </c>
      <c r="M1358" s="27">
        <v>0</v>
      </c>
      <c r="N1358" s="21">
        <v>24.4</v>
      </c>
      <c r="O1358" s="24">
        <v>34.07</v>
      </c>
      <c r="P1358" s="20">
        <v>-6.9955785067875587E-3</v>
      </c>
      <c r="Q1358" s="20">
        <v>-0.46384233882352932</v>
      </c>
      <c r="R1358" s="26" t="s">
        <v>284</v>
      </c>
      <c r="S1358" s="26"/>
      <c r="T1358" s="71" t="s">
        <v>626</v>
      </c>
    </row>
    <row r="1359" spans="1:20" s="17" customFormat="1" ht="12.75" customHeight="1">
      <c r="A1359" s="26" t="s">
        <v>172</v>
      </c>
      <c r="B1359" s="26" t="s">
        <v>150</v>
      </c>
      <c r="C1359" s="26" t="s">
        <v>503</v>
      </c>
      <c r="D1359" s="25">
        <v>42936</v>
      </c>
      <c r="E1359" s="19">
        <f t="shared" si="80"/>
        <v>2017</v>
      </c>
      <c r="F1359" s="19">
        <f t="shared" si="81"/>
        <v>7</v>
      </c>
      <c r="G1359" s="30">
        <f t="shared" si="82"/>
        <v>20</v>
      </c>
      <c r="H1359" s="29" t="s">
        <v>287</v>
      </c>
      <c r="I1359" s="22">
        <v>137.6079</v>
      </c>
      <c r="J1359" s="22">
        <v>40.395049999999998</v>
      </c>
      <c r="K1359" s="27">
        <v>0</v>
      </c>
      <c r="L1359" s="27">
        <v>0</v>
      </c>
      <c r="M1359" s="27">
        <v>0</v>
      </c>
      <c r="N1359" s="21">
        <v>24.4</v>
      </c>
      <c r="O1359" s="24">
        <v>34.07</v>
      </c>
      <c r="P1359" s="20">
        <v>-3.1565308325791963E-2</v>
      </c>
      <c r="Q1359" s="20">
        <v>-0.51547810352941115</v>
      </c>
      <c r="R1359" s="26" t="s">
        <v>284</v>
      </c>
      <c r="S1359" s="26"/>
      <c r="T1359" s="71" t="s">
        <v>626</v>
      </c>
    </row>
    <row r="1360" spans="1:20" s="17" customFormat="1" ht="12.75" customHeight="1">
      <c r="A1360" s="26" t="s">
        <v>172</v>
      </c>
      <c r="B1360" s="26" t="s">
        <v>151</v>
      </c>
      <c r="C1360" s="26" t="s">
        <v>503</v>
      </c>
      <c r="D1360" s="25">
        <v>42937</v>
      </c>
      <c r="E1360" s="19">
        <f t="shared" si="80"/>
        <v>2017</v>
      </c>
      <c r="F1360" s="19">
        <f t="shared" si="81"/>
        <v>7</v>
      </c>
      <c r="G1360" s="30">
        <f t="shared" si="82"/>
        <v>21</v>
      </c>
      <c r="H1360" s="29" t="s">
        <v>287</v>
      </c>
      <c r="I1360" s="22">
        <v>137.43025</v>
      </c>
      <c r="J1360" s="22">
        <v>39.5715</v>
      </c>
      <c r="K1360" s="27">
        <v>0</v>
      </c>
      <c r="L1360" s="27">
        <v>0</v>
      </c>
      <c r="M1360" s="27">
        <v>0</v>
      </c>
      <c r="N1360" s="21">
        <v>24.8</v>
      </c>
      <c r="O1360" s="24">
        <v>33.81</v>
      </c>
      <c r="P1360" s="20">
        <v>-1.9818583144796564E-2</v>
      </c>
      <c r="Q1360" s="20">
        <v>-1.056697641862745</v>
      </c>
      <c r="R1360" s="26" t="s">
        <v>284</v>
      </c>
      <c r="S1360" s="26"/>
      <c r="T1360" s="71" t="s">
        <v>626</v>
      </c>
    </row>
    <row r="1361" spans="1:20" s="17" customFormat="1" ht="12.75" customHeight="1">
      <c r="A1361" s="26" t="s">
        <v>172</v>
      </c>
      <c r="B1361" s="26" t="s">
        <v>152</v>
      </c>
      <c r="C1361" s="26" t="s">
        <v>503</v>
      </c>
      <c r="D1361" s="25">
        <v>42937</v>
      </c>
      <c r="E1361" s="19">
        <f t="shared" si="80"/>
        <v>2017</v>
      </c>
      <c r="F1361" s="19">
        <f t="shared" si="81"/>
        <v>7</v>
      </c>
      <c r="G1361" s="30">
        <f t="shared" si="82"/>
        <v>21</v>
      </c>
      <c r="H1361" s="29" t="s">
        <v>287</v>
      </c>
      <c r="I1361" s="22">
        <v>137.43025</v>
      </c>
      <c r="J1361" s="22">
        <v>39.5715</v>
      </c>
      <c r="K1361" s="27">
        <v>0</v>
      </c>
      <c r="L1361" s="27">
        <v>0</v>
      </c>
      <c r="M1361" s="27">
        <v>0</v>
      </c>
      <c r="N1361" s="21">
        <v>24.8</v>
      </c>
      <c r="O1361" s="24">
        <v>33.81</v>
      </c>
      <c r="P1361" s="20">
        <v>-8.6696892081447929E-2</v>
      </c>
      <c r="Q1361" s="20">
        <v>-1.2028230882352942</v>
      </c>
      <c r="R1361" s="26" t="s">
        <v>284</v>
      </c>
      <c r="S1361" s="26"/>
      <c r="T1361" s="71" t="s">
        <v>626</v>
      </c>
    </row>
    <row r="1362" spans="1:20" s="17" customFormat="1" ht="12.75" customHeight="1">
      <c r="A1362" s="26" t="s">
        <v>172</v>
      </c>
      <c r="B1362" s="26" t="s">
        <v>153</v>
      </c>
      <c r="C1362" s="26" t="s">
        <v>503</v>
      </c>
      <c r="D1362" s="25">
        <v>42938</v>
      </c>
      <c r="E1362" s="19">
        <f t="shared" si="80"/>
        <v>2017</v>
      </c>
      <c r="F1362" s="19">
        <f t="shared" si="81"/>
        <v>7</v>
      </c>
      <c r="G1362" s="30">
        <f t="shared" si="82"/>
        <v>22</v>
      </c>
      <c r="H1362" s="29" t="s">
        <v>287</v>
      </c>
      <c r="I1362" s="22">
        <v>138.20523333333333</v>
      </c>
      <c r="J1362" s="22">
        <v>40.824449999999999</v>
      </c>
      <c r="K1362" s="27">
        <v>0</v>
      </c>
      <c r="L1362" s="27">
        <v>0</v>
      </c>
      <c r="M1362" s="27">
        <v>0</v>
      </c>
      <c r="N1362" s="21">
        <v>24.5</v>
      </c>
      <c r="O1362" s="24">
        <v>33.99</v>
      </c>
      <c r="P1362" s="20">
        <v>-1.281617601809959E-2</v>
      </c>
      <c r="Q1362" s="20">
        <v>-0.7917044629411758</v>
      </c>
      <c r="R1362" s="26" t="s">
        <v>284</v>
      </c>
      <c r="S1362" s="26"/>
      <c r="T1362" s="71" t="s">
        <v>626</v>
      </c>
    </row>
    <row r="1363" spans="1:20" s="17" customFormat="1" ht="12.75" customHeight="1">
      <c r="A1363" s="26" t="s">
        <v>172</v>
      </c>
      <c r="B1363" s="26" t="s">
        <v>154</v>
      </c>
      <c r="C1363" s="26" t="s">
        <v>503</v>
      </c>
      <c r="D1363" s="25">
        <v>42938</v>
      </c>
      <c r="E1363" s="19">
        <f t="shared" si="80"/>
        <v>2017</v>
      </c>
      <c r="F1363" s="19">
        <f t="shared" si="81"/>
        <v>7</v>
      </c>
      <c r="G1363" s="30">
        <f t="shared" si="82"/>
        <v>22</v>
      </c>
      <c r="H1363" s="29" t="s">
        <v>287</v>
      </c>
      <c r="I1363" s="22">
        <v>138.20523333333333</v>
      </c>
      <c r="J1363" s="22">
        <v>40.824449999999999</v>
      </c>
      <c r="K1363" s="27">
        <v>0</v>
      </c>
      <c r="L1363" s="27">
        <v>0</v>
      </c>
      <c r="M1363" s="27">
        <v>0</v>
      </c>
      <c r="N1363" s="21">
        <v>24.5</v>
      </c>
      <c r="O1363" s="24">
        <v>33.99</v>
      </c>
      <c r="P1363" s="20">
        <v>-2.1588948416289777E-2</v>
      </c>
      <c r="Q1363" s="20">
        <v>-0.77103521764705807</v>
      </c>
      <c r="R1363" s="26" t="s">
        <v>284</v>
      </c>
      <c r="S1363" s="26"/>
      <c r="T1363" s="71" t="s">
        <v>626</v>
      </c>
    </row>
    <row r="1364" spans="1:20" s="17" customFormat="1" ht="12.75" customHeight="1">
      <c r="A1364" s="26" t="s">
        <v>172</v>
      </c>
      <c r="B1364" s="26" t="s">
        <v>155</v>
      </c>
      <c r="C1364" s="26" t="s">
        <v>503</v>
      </c>
      <c r="D1364" s="25">
        <v>42939</v>
      </c>
      <c r="E1364" s="19">
        <f t="shared" si="80"/>
        <v>2017</v>
      </c>
      <c r="F1364" s="19">
        <f t="shared" si="81"/>
        <v>7</v>
      </c>
      <c r="G1364" s="30">
        <f t="shared" si="82"/>
        <v>23</v>
      </c>
      <c r="H1364" s="29" t="s">
        <v>287</v>
      </c>
      <c r="I1364" s="22">
        <v>138.42449999999999</v>
      </c>
      <c r="J1364" s="22">
        <v>42.573483333333336</v>
      </c>
      <c r="K1364" s="27">
        <v>0</v>
      </c>
      <c r="L1364" s="27">
        <v>0</v>
      </c>
      <c r="M1364" s="27">
        <v>0</v>
      </c>
      <c r="N1364" s="21">
        <v>21.6</v>
      </c>
      <c r="O1364" s="24">
        <v>33.81</v>
      </c>
      <c r="P1364" s="20">
        <v>-8.5620632352941373E-2</v>
      </c>
      <c r="Q1364" s="20">
        <v>-1.670557062352942</v>
      </c>
      <c r="R1364" s="26" t="s">
        <v>284</v>
      </c>
      <c r="S1364" s="26"/>
      <c r="T1364" s="71" t="s">
        <v>626</v>
      </c>
    </row>
    <row r="1365" spans="1:20" s="17" customFormat="1" ht="12.75" customHeight="1">
      <c r="A1365" s="26" t="s">
        <v>172</v>
      </c>
      <c r="B1365" s="26" t="s">
        <v>156</v>
      </c>
      <c r="C1365" s="26" t="s">
        <v>503</v>
      </c>
      <c r="D1365" s="25">
        <v>42939</v>
      </c>
      <c r="E1365" s="19">
        <f t="shared" si="80"/>
        <v>2017</v>
      </c>
      <c r="F1365" s="19">
        <f t="shared" si="81"/>
        <v>7</v>
      </c>
      <c r="G1365" s="30">
        <f t="shared" si="82"/>
        <v>23</v>
      </c>
      <c r="H1365" s="29" t="s">
        <v>287</v>
      </c>
      <c r="I1365" s="22">
        <v>138.42465000000001</v>
      </c>
      <c r="J1365" s="22">
        <v>42.573483333333336</v>
      </c>
      <c r="K1365" s="27">
        <v>0</v>
      </c>
      <c r="L1365" s="27">
        <v>0</v>
      </c>
      <c r="M1365" s="27">
        <v>0</v>
      </c>
      <c r="N1365" s="21">
        <v>21.6</v>
      </c>
      <c r="O1365" s="24">
        <v>33.81</v>
      </c>
      <c r="P1365" s="20">
        <v>-0.11492761628959269</v>
      </c>
      <c r="Q1365" s="20">
        <v>-1.7548090070588236</v>
      </c>
      <c r="R1365" s="26" t="s">
        <v>284</v>
      </c>
      <c r="S1365" s="26"/>
      <c r="T1365" s="71" t="s">
        <v>626</v>
      </c>
    </row>
    <row r="1366" spans="1:20" s="17" customFormat="1" ht="12.75" customHeight="1">
      <c r="A1366" s="26" t="s">
        <v>172</v>
      </c>
      <c r="B1366" s="26" t="s">
        <v>157</v>
      </c>
      <c r="C1366" s="26" t="s">
        <v>503</v>
      </c>
      <c r="D1366" s="25">
        <v>42940</v>
      </c>
      <c r="E1366" s="19">
        <f t="shared" si="80"/>
        <v>2017</v>
      </c>
      <c r="F1366" s="19">
        <f t="shared" si="81"/>
        <v>7</v>
      </c>
      <c r="G1366" s="30">
        <f t="shared" si="82"/>
        <v>24</v>
      </c>
      <c r="H1366" s="29" t="s">
        <v>287</v>
      </c>
      <c r="I1366" s="22">
        <v>138.37125</v>
      </c>
      <c r="J1366" s="22">
        <v>39.630816666666668</v>
      </c>
      <c r="K1366" s="27">
        <v>0</v>
      </c>
      <c r="L1366" s="27">
        <v>0</v>
      </c>
      <c r="M1366" s="27">
        <v>0</v>
      </c>
      <c r="N1366" s="21">
        <v>25.1</v>
      </c>
      <c r="O1366" s="24">
        <v>33.979999999999997</v>
      </c>
      <c r="P1366" s="20">
        <v>4.83359997737558E-2</v>
      </c>
      <c r="Q1366" s="20">
        <v>-0.40238570176470434</v>
      </c>
      <c r="R1366" s="26" t="s">
        <v>284</v>
      </c>
      <c r="S1366" s="26"/>
      <c r="T1366" s="71" t="s">
        <v>626</v>
      </c>
    </row>
    <row r="1367" spans="1:20" s="17" customFormat="1" ht="12.75" customHeight="1">
      <c r="A1367" s="26" t="s">
        <v>172</v>
      </c>
      <c r="B1367" s="26" t="s">
        <v>158</v>
      </c>
      <c r="C1367" s="26" t="s">
        <v>503</v>
      </c>
      <c r="D1367" s="25">
        <v>42940</v>
      </c>
      <c r="E1367" s="19">
        <f t="shared" si="80"/>
        <v>2017</v>
      </c>
      <c r="F1367" s="19">
        <f t="shared" si="81"/>
        <v>7</v>
      </c>
      <c r="G1367" s="30">
        <f t="shared" si="82"/>
        <v>24</v>
      </c>
      <c r="H1367" s="29" t="s">
        <v>287</v>
      </c>
      <c r="I1367" s="22">
        <v>138.37125</v>
      </c>
      <c r="J1367" s="22">
        <v>39.630816666666668</v>
      </c>
      <c r="K1367" s="27">
        <v>0</v>
      </c>
      <c r="L1367" s="27">
        <v>0</v>
      </c>
      <c r="M1367" s="27">
        <v>0</v>
      </c>
      <c r="N1367" s="21">
        <v>25.1</v>
      </c>
      <c r="O1367" s="24">
        <v>33.979999999999997</v>
      </c>
      <c r="P1367" s="20">
        <v>1.2747571719457174E-2</v>
      </c>
      <c r="Q1367" s="20">
        <v>-0.54637437058823624</v>
      </c>
      <c r="R1367" s="26" t="s">
        <v>284</v>
      </c>
      <c r="S1367" s="26"/>
      <c r="T1367" s="71" t="s">
        <v>626</v>
      </c>
    </row>
    <row r="1368" spans="1:20" s="17" customFormat="1" ht="12.75" customHeight="1">
      <c r="A1368" s="26" t="s">
        <v>172</v>
      </c>
      <c r="B1368" s="26" t="s">
        <v>159</v>
      </c>
      <c r="C1368" s="26" t="s">
        <v>503</v>
      </c>
      <c r="D1368" s="25">
        <v>42941</v>
      </c>
      <c r="E1368" s="19">
        <f t="shared" si="80"/>
        <v>2017</v>
      </c>
      <c r="F1368" s="19">
        <f t="shared" si="81"/>
        <v>7</v>
      </c>
      <c r="G1368" s="30">
        <f t="shared" si="82"/>
        <v>25</v>
      </c>
      <c r="H1368" s="29" t="s">
        <v>287</v>
      </c>
      <c r="I1368" s="22">
        <v>137.45961666666668</v>
      </c>
      <c r="J1368" s="22">
        <v>38.5396</v>
      </c>
      <c r="K1368" s="27">
        <v>0</v>
      </c>
      <c r="L1368" s="27">
        <v>0</v>
      </c>
      <c r="M1368" s="27">
        <v>0</v>
      </c>
      <c r="N1368" s="21">
        <v>25.6</v>
      </c>
      <c r="O1368" s="24">
        <v>34.14</v>
      </c>
      <c r="P1368" s="20">
        <v>5.3398637782805514E-2</v>
      </c>
      <c r="Q1368" s="20">
        <v>-0.17514273529411728</v>
      </c>
      <c r="R1368" s="26" t="s">
        <v>284</v>
      </c>
      <c r="S1368" s="26"/>
      <c r="T1368" s="71" t="s">
        <v>626</v>
      </c>
    </row>
    <row r="1369" spans="1:20" s="17" customFormat="1" ht="12.75" customHeight="1">
      <c r="A1369" s="26" t="s">
        <v>172</v>
      </c>
      <c r="B1369" s="26" t="s">
        <v>160</v>
      </c>
      <c r="C1369" s="26" t="s">
        <v>503</v>
      </c>
      <c r="D1369" s="25">
        <v>42941</v>
      </c>
      <c r="E1369" s="19">
        <f t="shared" si="80"/>
        <v>2017</v>
      </c>
      <c r="F1369" s="19">
        <f t="shared" si="81"/>
        <v>7</v>
      </c>
      <c r="G1369" s="30">
        <f t="shared" si="82"/>
        <v>25</v>
      </c>
      <c r="H1369" s="29" t="s">
        <v>287</v>
      </c>
      <c r="I1369" s="22">
        <v>137.45961666666668</v>
      </c>
      <c r="J1369" s="22">
        <v>38.5396</v>
      </c>
      <c r="K1369" s="27">
        <v>0</v>
      </c>
      <c r="L1369" s="27">
        <v>0</v>
      </c>
      <c r="M1369" s="27">
        <v>0</v>
      </c>
      <c r="N1369" s="21">
        <v>25.6</v>
      </c>
      <c r="O1369" s="24">
        <v>34.14</v>
      </c>
      <c r="P1369" s="20">
        <v>0.107222403846154</v>
      </c>
      <c r="Q1369" s="20">
        <v>-0.12643281999999934</v>
      </c>
      <c r="R1369" s="26" t="s">
        <v>284</v>
      </c>
      <c r="S1369" s="26"/>
      <c r="T1369" s="71" t="s">
        <v>626</v>
      </c>
    </row>
    <row r="1370" spans="1:20" s="17" customFormat="1" ht="12.75" customHeight="1">
      <c r="A1370" s="26" t="s">
        <v>335</v>
      </c>
      <c r="B1370" s="26" t="s">
        <v>336</v>
      </c>
      <c r="C1370" s="26" t="s">
        <v>503</v>
      </c>
      <c r="D1370" s="25">
        <v>43304</v>
      </c>
      <c r="E1370" s="19">
        <f t="shared" si="80"/>
        <v>2018</v>
      </c>
      <c r="F1370" s="19">
        <f t="shared" si="81"/>
        <v>7</v>
      </c>
      <c r="G1370" s="30">
        <f t="shared" si="82"/>
        <v>23</v>
      </c>
      <c r="H1370" s="29" t="s">
        <v>287</v>
      </c>
      <c r="I1370" s="22">
        <v>137.1046</v>
      </c>
      <c r="J1370" s="22">
        <v>38.898000000000003</v>
      </c>
      <c r="K1370" s="27">
        <v>0</v>
      </c>
      <c r="L1370" s="27">
        <v>0</v>
      </c>
      <c r="M1370" s="27">
        <v>0</v>
      </c>
      <c r="N1370" s="21">
        <v>20.34</v>
      </c>
      <c r="O1370" s="24">
        <v>33.79</v>
      </c>
      <c r="P1370" s="20">
        <v>-0.10512329411764676</v>
      </c>
      <c r="Q1370" s="20">
        <v>-0.65555837647058901</v>
      </c>
      <c r="R1370" s="26" t="s">
        <v>284</v>
      </c>
      <c r="S1370" s="26"/>
      <c r="T1370" s="71" t="s">
        <v>626</v>
      </c>
    </row>
    <row r="1371" spans="1:20" s="17" customFormat="1" ht="12.75" customHeight="1">
      <c r="A1371" s="26" t="s">
        <v>335</v>
      </c>
      <c r="B1371" s="26" t="s">
        <v>337</v>
      </c>
      <c r="C1371" s="26" t="s">
        <v>503</v>
      </c>
      <c r="D1371" s="25">
        <v>43303</v>
      </c>
      <c r="E1371" s="19">
        <f t="shared" si="80"/>
        <v>2018</v>
      </c>
      <c r="F1371" s="19">
        <f t="shared" si="81"/>
        <v>7</v>
      </c>
      <c r="G1371" s="30">
        <f t="shared" si="82"/>
        <v>22</v>
      </c>
      <c r="H1371" s="29" t="s">
        <v>287</v>
      </c>
      <c r="I1371" s="22">
        <v>137.23179999999999</v>
      </c>
      <c r="J1371" s="22">
        <v>39.774500000000003</v>
      </c>
      <c r="K1371" s="27">
        <v>0</v>
      </c>
      <c r="L1371" s="27">
        <v>0</v>
      </c>
      <c r="M1371" s="27">
        <v>0</v>
      </c>
      <c r="N1371" s="21">
        <v>20.149999999999999</v>
      </c>
      <c r="O1371" s="24">
        <v>33.67</v>
      </c>
      <c r="P1371" s="20">
        <v>-7.9125647058823745E-2</v>
      </c>
      <c r="Q1371" s="20">
        <v>-1.1027229882352945</v>
      </c>
      <c r="R1371" s="26" t="s">
        <v>284</v>
      </c>
      <c r="S1371" s="26"/>
      <c r="T1371" s="71" t="s">
        <v>626</v>
      </c>
    </row>
    <row r="1372" spans="1:20" s="17" customFormat="1" ht="12.75" customHeight="1">
      <c r="A1372" s="26" t="s">
        <v>335</v>
      </c>
      <c r="B1372" s="26" t="s">
        <v>338</v>
      </c>
      <c r="C1372" s="26" t="s">
        <v>503</v>
      </c>
      <c r="D1372" s="25">
        <v>43301</v>
      </c>
      <c r="E1372" s="19">
        <f t="shared" si="80"/>
        <v>2018</v>
      </c>
      <c r="F1372" s="19">
        <f t="shared" si="81"/>
        <v>7</v>
      </c>
      <c r="G1372" s="30">
        <f t="shared" si="82"/>
        <v>20</v>
      </c>
      <c r="H1372" s="29" t="s">
        <v>287</v>
      </c>
      <c r="I1372" s="22">
        <v>138.56700000000001</v>
      </c>
      <c r="J1372" s="22">
        <v>39.435600000000001</v>
      </c>
      <c r="K1372" s="27">
        <v>0</v>
      </c>
      <c r="L1372" s="27">
        <v>0</v>
      </c>
      <c r="M1372" s="27">
        <v>0</v>
      </c>
      <c r="N1372" s="21">
        <v>19.55</v>
      </c>
      <c r="O1372" s="24">
        <v>33.979999999999997</v>
      </c>
      <c r="P1372" s="20">
        <v>0.10105000000000008</v>
      </c>
      <c r="Q1372" s="20">
        <v>-6.8022000000000915E-2</v>
      </c>
      <c r="R1372" s="26" t="s">
        <v>284</v>
      </c>
      <c r="S1372" s="26"/>
      <c r="T1372" s="71" t="s">
        <v>626</v>
      </c>
    </row>
    <row r="1373" spans="1:20" s="17" customFormat="1" ht="12.75" customHeight="1">
      <c r="A1373" s="26" t="s">
        <v>335</v>
      </c>
      <c r="B1373" s="26" t="s">
        <v>339</v>
      </c>
      <c r="C1373" s="26" t="s">
        <v>503</v>
      </c>
      <c r="D1373" s="25">
        <v>43302</v>
      </c>
      <c r="E1373" s="19">
        <f t="shared" si="80"/>
        <v>2018</v>
      </c>
      <c r="F1373" s="19">
        <f t="shared" si="81"/>
        <v>7</v>
      </c>
      <c r="G1373" s="30">
        <f t="shared" si="82"/>
        <v>21</v>
      </c>
      <c r="H1373" s="29" t="s">
        <v>287</v>
      </c>
      <c r="I1373" s="22">
        <v>137.178</v>
      </c>
      <c r="J1373" s="22">
        <v>40.833799999999997</v>
      </c>
      <c r="K1373" s="27">
        <v>0</v>
      </c>
      <c r="L1373" s="27">
        <v>0</v>
      </c>
      <c r="M1373" s="27">
        <v>0</v>
      </c>
      <c r="N1373" s="21">
        <v>19.45</v>
      </c>
      <c r="O1373" s="24">
        <v>33.700000000000003</v>
      </c>
      <c r="P1373" s="20">
        <v>-0.11897675294117649</v>
      </c>
      <c r="Q1373" s="20">
        <v>-1.022181811764705</v>
      </c>
      <c r="R1373" s="26" t="s">
        <v>284</v>
      </c>
      <c r="S1373" s="26"/>
      <c r="T1373" s="71" t="s">
        <v>626</v>
      </c>
    </row>
    <row r="1374" spans="1:20" s="17" customFormat="1" ht="12.75" customHeight="1">
      <c r="A1374" s="26" t="s">
        <v>335</v>
      </c>
      <c r="B1374" s="26" t="s">
        <v>340</v>
      </c>
      <c r="C1374" s="26" t="s">
        <v>503</v>
      </c>
      <c r="D1374" s="25">
        <v>43300</v>
      </c>
      <c r="E1374" s="19">
        <f t="shared" si="80"/>
        <v>2018</v>
      </c>
      <c r="F1374" s="19">
        <f t="shared" si="81"/>
        <v>7</v>
      </c>
      <c r="G1374" s="30">
        <f t="shared" si="82"/>
        <v>19</v>
      </c>
      <c r="H1374" s="29" t="s">
        <v>287</v>
      </c>
      <c r="I1374" s="22">
        <v>138.42099999999999</v>
      </c>
      <c r="J1374" s="22">
        <v>40.582299999999996</v>
      </c>
      <c r="K1374" s="27">
        <v>0</v>
      </c>
      <c r="L1374" s="27">
        <v>0</v>
      </c>
      <c r="M1374" s="27">
        <v>0</v>
      </c>
      <c r="N1374" s="21">
        <v>19.55</v>
      </c>
      <c r="O1374" s="24">
        <v>33.83</v>
      </c>
      <c r="P1374" s="20">
        <v>-7.7739105882352888E-2</v>
      </c>
      <c r="Q1374" s="20">
        <v>-1.0055788235294134</v>
      </c>
      <c r="R1374" s="26" t="s">
        <v>284</v>
      </c>
      <c r="S1374" s="26"/>
      <c r="T1374" s="71" t="s">
        <v>626</v>
      </c>
    </row>
    <row r="1375" spans="1:20" s="17" customFormat="1" ht="12.75" customHeight="1">
      <c r="A1375" s="26" t="s">
        <v>335</v>
      </c>
      <c r="B1375" s="26" t="s">
        <v>341</v>
      </c>
      <c r="C1375" s="26" t="s">
        <v>503</v>
      </c>
      <c r="D1375" s="25">
        <v>43299</v>
      </c>
      <c r="E1375" s="19">
        <f t="shared" si="80"/>
        <v>2018</v>
      </c>
      <c r="F1375" s="19">
        <f t="shared" si="81"/>
        <v>7</v>
      </c>
      <c r="G1375" s="30">
        <f t="shared" si="82"/>
        <v>18</v>
      </c>
      <c r="H1375" s="29" t="s">
        <v>287</v>
      </c>
      <c r="I1375" s="22">
        <v>138.02099999999999</v>
      </c>
      <c r="J1375" s="22">
        <v>41.976599999999998</v>
      </c>
      <c r="K1375" s="27">
        <v>0</v>
      </c>
      <c r="L1375" s="27">
        <v>0</v>
      </c>
      <c r="M1375" s="27">
        <v>0</v>
      </c>
      <c r="N1375" s="21">
        <v>19.399999999999999</v>
      </c>
      <c r="O1375" s="24">
        <v>33.479999999999997</v>
      </c>
      <c r="P1375" s="20">
        <v>-0.21694305882352949</v>
      </c>
      <c r="Q1375" s="20">
        <v>-2.2128450352941185</v>
      </c>
      <c r="R1375" s="26" t="s">
        <v>284</v>
      </c>
      <c r="S1375" s="26"/>
      <c r="T1375" s="71" t="s">
        <v>626</v>
      </c>
    </row>
    <row r="1376" spans="1:20" s="17" customFormat="1" ht="12.75" customHeight="1">
      <c r="A1376" s="1" t="s">
        <v>462</v>
      </c>
      <c r="B1376" s="26" t="s">
        <v>463</v>
      </c>
      <c r="C1376" s="26" t="s">
        <v>503</v>
      </c>
      <c r="D1376" s="25">
        <v>43663</v>
      </c>
      <c r="E1376" s="19">
        <v>2019</v>
      </c>
      <c r="F1376" s="19">
        <f t="shared" si="81"/>
        <v>7</v>
      </c>
      <c r="G1376" s="30">
        <v>17</v>
      </c>
      <c r="H1376" s="29" t="s">
        <v>287</v>
      </c>
      <c r="I1376" s="22">
        <v>138.39975999999999</v>
      </c>
      <c r="J1376" s="22">
        <v>42.199660000000002</v>
      </c>
      <c r="K1376" s="27">
        <v>0</v>
      </c>
      <c r="L1376" s="27">
        <v>0</v>
      </c>
      <c r="M1376" s="27">
        <v>0</v>
      </c>
      <c r="N1376" s="21">
        <v>19.5</v>
      </c>
      <c r="O1376" s="24">
        <v>34.020000000000003</v>
      </c>
      <c r="P1376" s="20">
        <v>-0.10062500735294044</v>
      </c>
      <c r="Q1376" s="20">
        <v>-0.80068826323529407</v>
      </c>
      <c r="R1376" s="26" t="s">
        <v>467</v>
      </c>
      <c r="S1376" s="26"/>
      <c r="T1376" s="71" t="s">
        <v>626</v>
      </c>
    </row>
    <row r="1377" spans="1:20" s="17" customFormat="1" ht="12.75" customHeight="1">
      <c r="A1377" s="1" t="s">
        <v>462</v>
      </c>
      <c r="B1377" s="26" t="s">
        <v>464</v>
      </c>
      <c r="C1377" s="26" t="s">
        <v>503</v>
      </c>
      <c r="D1377" s="25">
        <v>43664</v>
      </c>
      <c r="E1377" s="19">
        <v>2019</v>
      </c>
      <c r="F1377" s="19">
        <f t="shared" si="81"/>
        <v>7</v>
      </c>
      <c r="G1377" s="30">
        <v>18</v>
      </c>
      <c r="H1377" s="29" t="s">
        <v>287</v>
      </c>
      <c r="I1377" s="22">
        <v>138.20009999999999</v>
      </c>
      <c r="J1377" s="22">
        <v>41.40016</v>
      </c>
      <c r="K1377" s="27">
        <v>0</v>
      </c>
      <c r="L1377" s="27">
        <v>0</v>
      </c>
      <c r="M1377" s="27">
        <v>0</v>
      </c>
      <c r="N1377" s="21">
        <v>19.8</v>
      </c>
      <c r="O1377" s="24">
        <v>34.08</v>
      </c>
      <c r="P1377" s="20">
        <v>-4.754606470588163E-2</v>
      </c>
      <c r="Q1377" s="20">
        <v>-0.5886533964705869</v>
      </c>
      <c r="R1377" s="26" t="s">
        <v>467</v>
      </c>
      <c r="S1377" s="26"/>
      <c r="T1377" s="71" t="s">
        <v>626</v>
      </c>
    </row>
    <row r="1378" spans="1:20" s="17" customFormat="1" ht="12.75" customHeight="1">
      <c r="A1378" s="1" t="s">
        <v>462</v>
      </c>
      <c r="B1378" s="26" t="s">
        <v>465</v>
      </c>
      <c r="C1378" s="26" t="s">
        <v>503</v>
      </c>
      <c r="D1378" s="25">
        <v>43665</v>
      </c>
      <c r="E1378" s="19">
        <v>2019</v>
      </c>
      <c r="F1378" s="19">
        <f t="shared" si="81"/>
        <v>7</v>
      </c>
      <c r="G1378" s="30">
        <v>19</v>
      </c>
      <c r="H1378" s="29" t="s">
        <v>287</v>
      </c>
      <c r="I1378" s="22">
        <v>138.19879</v>
      </c>
      <c r="J1378" s="22">
        <v>40.400480000000002</v>
      </c>
      <c r="K1378" s="27">
        <v>0</v>
      </c>
      <c r="L1378" s="27">
        <v>0</v>
      </c>
      <c r="M1378" s="27">
        <v>0</v>
      </c>
      <c r="N1378" s="21">
        <v>22.3</v>
      </c>
      <c r="O1378" s="24">
        <v>34.01</v>
      </c>
      <c r="P1378" s="20">
        <v>-6.8781247058823602E-2</v>
      </c>
      <c r="Q1378" s="20">
        <v>-0.85897682470588066</v>
      </c>
      <c r="R1378" s="26" t="s">
        <v>467</v>
      </c>
      <c r="S1378" s="26"/>
      <c r="T1378" s="71" t="s">
        <v>626</v>
      </c>
    </row>
    <row r="1379" spans="1:20" s="17" customFormat="1" ht="12.75" customHeight="1">
      <c r="A1379" s="1" t="s">
        <v>462</v>
      </c>
      <c r="B1379" s="26" t="s">
        <v>466</v>
      </c>
      <c r="C1379" s="26" t="s">
        <v>503</v>
      </c>
      <c r="D1379" s="25">
        <v>43666</v>
      </c>
      <c r="E1379" s="19">
        <v>2019</v>
      </c>
      <c r="F1379" s="19">
        <f t="shared" si="81"/>
        <v>7</v>
      </c>
      <c r="G1379" s="30">
        <v>29</v>
      </c>
      <c r="H1379" s="29" t="s">
        <v>287</v>
      </c>
      <c r="I1379" s="22">
        <v>138.19994</v>
      </c>
      <c r="J1379" s="22">
        <v>39.400799999999997</v>
      </c>
      <c r="K1379" s="27">
        <v>0</v>
      </c>
      <c r="L1379" s="27">
        <v>0</v>
      </c>
      <c r="M1379" s="27">
        <v>0</v>
      </c>
      <c r="N1379" s="21">
        <v>24.5</v>
      </c>
      <c r="O1379" s="24">
        <v>34.130000000000003</v>
      </c>
      <c r="P1379" s="20">
        <v>-4.8233294117645542E-3</v>
      </c>
      <c r="Q1379" s="20">
        <v>-0.33409941294117651</v>
      </c>
      <c r="R1379" s="26" t="s">
        <v>467</v>
      </c>
      <c r="S1379" s="26"/>
      <c r="T1379" s="71" t="s">
        <v>626</v>
      </c>
    </row>
    <row r="1380" spans="1:20" s="17" customFormat="1" ht="12.75" customHeight="1">
      <c r="A1380" s="26" t="s">
        <v>86</v>
      </c>
      <c r="B1380" s="26" t="s">
        <v>87</v>
      </c>
      <c r="C1380" s="26" t="s">
        <v>505</v>
      </c>
      <c r="D1380" s="25">
        <v>42237</v>
      </c>
      <c r="E1380" s="1">
        <f t="shared" ref="E1380:E1443" si="83">YEAR(D1380)</f>
        <v>2015</v>
      </c>
      <c r="F1380" s="1">
        <f t="shared" si="81"/>
        <v>8</v>
      </c>
      <c r="G1380" s="4">
        <f t="shared" ref="G1380:G1443" si="84">DAY(D1380)</f>
        <v>21</v>
      </c>
      <c r="H1380" s="8">
        <v>0.69444444444444453</v>
      </c>
      <c r="I1380" s="22">
        <v>129.46</v>
      </c>
      <c r="J1380" s="22">
        <v>32.936999999999998</v>
      </c>
      <c r="K1380" s="27">
        <v>4.5</v>
      </c>
      <c r="L1380" s="27">
        <v>5</v>
      </c>
      <c r="M1380" s="9" t="s">
        <v>287</v>
      </c>
      <c r="N1380" s="21">
        <v>27.683913333333301</v>
      </c>
      <c r="O1380" s="24">
        <v>33.153706666666601</v>
      </c>
      <c r="P1380" s="31">
        <v>-0.09</v>
      </c>
      <c r="Q1380" s="31">
        <v>-0.92</v>
      </c>
      <c r="R1380" s="26" t="s">
        <v>280</v>
      </c>
      <c r="S1380" s="26"/>
      <c r="T1380" s="71" t="s">
        <v>626</v>
      </c>
    </row>
    <row r="1381" spans="1:20" s="17" customFormat="1" ht="12.75" customHeight="1">
      <c r="A1381" s="26" t="s">
        <v>86</v>
      </c>
      <c r="B1381" s="26" t="s">
        <v>100</v>
      </c>
      <c r="C1381" s="26" t="s">
        <v>504</v>
      </c>
      <c r="D1381" s="25">
        <v>42247</v>
      </c>
      <c r="E1381" s="1">
        <f t="shared" si="83"/>
        <v>2015</v>
      </c>
      <c r="F1381" s="1">
        <f t="shared" si="81"/>
        <v>8</v>
      </c>
      <c r="G1381" s="4">
        <f t="shared" si="84"/>
        <v>31</v>
      </c>
      <c r="H1381" s="8">
        <v>0.27083333333333331</v>
      </c>
      <c r="I1381" s="22">
        <v>132.73099999999999</v>
      </c>
      <c r="J1381" s="22">
        <v>35.701000000000001</v>
      </c>
      <c r="K1381" s="27">
        <v>4.5</v>
      </c>
      <c r="L1381" s="27">
        <v>5</v>
      </c>
      <c r="M1381" s="9" t="s">
        <v>501</v>
      </c>
      <c r="N1381" s="21">
        <v>24.502246666666601</v>
      </c>
      <c r="O1381" s="24">
        <v>33.224206666666603</v>
      </c>
      <c r="P1381" s="31">
        <v>0.08</v>
      </c>
      <c r="Q1381" s="31">
        <v>-0.57999999999999996</v>
      </c>
      <c r="R1381" s="26" t="s">
        <v>280</v>
      </c>
      <c r="S1381" s="26"/>
      <c r="T1381" s="71" t="s">
        <v>626</v>
      </c>
    </row>
    <row r="1382" spans="1:20" s="17" customFormat="1" ht="12.75" customHeight="1">
      <c r="A1382" s="26" t="s">
        <v>86</v>
      </c>
      <c r="B1382" s="26" t="s">
        <v>101</v>
      </c>
      <c r="C1382" s="26" t="s">
        <v>504</v>
      </c>
      <c r="D1382" s="25">
        <v>42247</v>
      </c>
      <c r="E1382" s="1">
        <f t="shared" si="83"/>
        <v>2015</v>
      </c>
      <c r="F1382" s="1">
        <f t="shared" si="81"/>
        <v>8</v>
      </c>
      <c r="G1382" s="4">
        <f t="shared" si="84"/>
        <v>31</v>
      </c>
      <c r="H1382" s="8">
        <v>0.49861111111111112</v>
      </c>
      <c r="I1382" s="22">
        <v>131.964</v>
      </c>
      <c r="J1382" s="22">
        <v>35.191000000000003</v>
      </c>
      <c r="K1382" s="27">
        <v>4.5</v>
      </c>
      <c r="L1382" s="27">
        <v>5</v>
      </c>
      <c r="M1382" s="9" t="s">
        <v>501</v>
      </c>
      <c r="N1382" s="21">
        <v>23.580580000000001</v>
      </c>
      <c r="O1382" s="24">
        <v>32.764873333333298</v>
      </c>
      <c r="P1382" s="31">
        <v>-0.16</v>
      </c>
      <c r="Q1382" s="31">
        <v>-1.75</v>
      </c>
      <c r="R1382" s="26" t="s">
        <v>280</v>
      </c>
      <c r="S1382" s="26"/>
      <c r="T1382" s="71" t="s">
        <v>626</v>
      </c>
    </row>
    <row r="1383" spans="1:20" s="17" customFormat="1" ht="12.75" customHeight="1">
      <c r="A1383" s="26" t="s">
        <v>86</v>
      </c>
      <c r="B1383" s="26" t="s">
        <v>102</v>
      </c>
      <c r="C1383" s="26" t="s">
        <v>504</v>
      </c>
      <c r="D1383" s="25">
        <v>42247</v>
      </c>
      <c r="E1383" s="1">
        <f t="shared" si="83"/>
        <v>2015</v>
      </c>
      <c r="F1383" s="1">
        <f t="shared" si="81"/>
        <v>8</v>
      </c>
      <c r="G1383" s="4">
        <f t="shared" si="84"/>
        <v>31</v>
      </c>
      <c r="H1383" s="8">
        <v>0.6875</v>
      </c>
      <c r="I1383" s="22">
        <v>131.15199999999999</v>
      </c>
      <c r="J1383" s="22">
        <v>34.621000000000002</v>
      </c>
      <c r="K1383" s="27">
        <v>4.5</v>
      </c>
      <c r="L1383" s="27">
        <v>5</v>
      </c>
      <c r="M1383" s="9" t="s">
        <v>501</v>
      </c>
      <c r="N1383" s="21">
        <v>24.840579999999999</v>
      </c>
      <c r="O1383" s="24">
        <v>33.3827066666666</v>
      </c>
      <c r="P1383" s="31">
        <v>-0.02</v>
      </c>
      <c r="Q1383" s="31">
        <v>-0.66</v>
      </c>
      <c r="R1383" s="26" t="s">
        <v>280</v>
      </c>
      <c r="S1383" s="26"/>
      <c r="T1383" s="71" t="s">
        <v>626</v>
      </c>
    </row>
    <row r="1384" spans="1:20" s="17" customFormat="1" ht="12.75" customHeight="1">
      <c r="A1384" s="26" t="s">
        <v>86</v>
      </c>
      <c r="B1384" s="26" t="s">
        <v>161</v>
      </c>
      <c r="C1384" s="26" t="s">
        <v>504</v>
      </c>
      <c r="D1384" s="25">
        <v>42249</v>
      </c>
      <c r="E1384" s="1">
        <f t="shared" si="83"/>
        <v>2015</v>
      </c>
      <c r="F1384" s="1">
        <f t="shared" si="81"/>
        <v>9</v>
      </c>
      <c r="G1384" s="4">
        <f t="shared" si="84"/>
        <v>2</v>
      </c>
      <c r="H1384" s="8">
        <v>0.73402777777777783</v>
      </c>
      <c r="I1384" s="22">
        <v>130.38399999999999</v>
      </c>
      <c r="J1384" s="22">
        <v>34.5</v>
      </c>
      <c r="K1384" s="27">
        <v>4.5</v>
      </c>
      <c r="L1384" s="27">
        <v>5</v>
      </c>
      <c r="M1384" s="9" t="s">
        <v>501</v>
      </c>
      <c r="N1384" s="21">
        <v>26.5089133333333</v>
      </c>
      <c r="O1384" s="24">
        <v>33.232039999999998</v>
      </c>
      <c r="P1384" s="31">
        <v>-0.09</v>
      </c>
      <c r="Q1384" s="31">
        <v>-1.1399999999999999</v>
      </c>
      <c r="R1384" s="26" t="s">
        <v>280</v>
      </c>
      <c r="S1384" s="26"/>
      <c r="T1384" s="71" t="s">
        <v>626</v>
      </c>
    </row>
    <row r="1385" spans="1:20" s="17" customFormat="1" ht="12.75" customHeight="1">
      <c r="A1385" s="26" t="s">
        <v>86</v>
      </c>
      <c r="B1385" s="26" t="s">
        <v>103</v>
      </c>
      <c r="C1385" s="26" t="s">
        <v>504</v>
      </c>
      <c r="D1385" s="25">
        <v>42250</v>
      </c>
      <c r="E1385" s="1">
        <f t="shared" si="83"/>
        <v>2015</v>
      </c>
      <c r="F1385" s="1">
        <f t="shared" si="81"/>
        <v>9</v>
      </c>
      <c r="G1385" s="4">
        <f t="shared" si="84"/>
        <v>3</v>
      </c>
      <c r="H1385" s="8">
        <v>0.36388888888888887</v>
      </c>
      <c r="I1385" s="22">
        <v>130.90100000000001</v>
      </c>
      <c r="J1385" s="22">
        <v>34.716999999999999</v>
      </c>
      <c r="K1385" s="27">
        <v>4.5</v>
      </c>
      <c r="L1385" s="27">
        <v>5</v>
      </c>
      <c r="M1385" s="9" t="s">
        <v>501</v>
      </c>
      <c r="N1385" s="21">
        <v>25.51558</v>
      </c>
      <c r="O1385" s="24">
        <v>32.440040000000003</v>
      </c>
      <c r="P1385" s="31">
        <v>-0.32</v>
      </c>
      <c r="Q1385" s="31">
        <v>-2.67</v>
      </c>
      <c r="R1385" s="26" t="s">
        <v>280</v>
      </c>
      <c r="S1385" s="26"/>
      <c r="T1385" s="71" t="s">
        <v>626</v>
      </c>
    </row>
    <row r="1386" spans="1:20" ht="12.75" customHeight="1">
      <c r="A1386" s="26" t="s">
        <v>86</v>
      </c>
      <c r="B1386" s="26" t="s">
        <v>104</v>
      </c>
      <c r="C1386" s="26" t="s">
        <v>504</v>
      </c>
      <c r="D1386" s="25">
        <v>42250</v>
      </c>
      <c r="E1386" s="1">
        <f t="shared" si="83"/>
        <v>2015</v>
      </c>
      <c r="F1386" s="1">
        <f t="shared" si="81"/>
        <v>9</v>
      </c>
      <c r="G1386" s="4">
        <f t="shared" si="84"/>
        <v>3</v>
      </c>
      <c r="H1386" s="8">
        <v>0.48402777777777778</v>
      </c>
      <c r="I1386" s="22">
        <v>130.56800000000001</v>
      </c>
      <c r="J1386" s="22">
        <v>34.832000000000001</v>
      </c>
      <c r="K1386" s="27">
        <v>4.5</v>
      </c>
      <c r="L1386" s="27">
        <v>5</v>
      </c>
      <c r="M1386" s="9" t="s">
        <v>501</v>
      </c>
      <c r="N1386" s="21">
        <v>24.977246666666602</v>
      </c>
      <c r="O1386" s="24">
        <v>32.59854</v>
      </c>
      <c r="P1386" s="31">
        <v>-0.22</v>
      </c>
      <c r="Q1386" s="31">
        <v>-2.0499999999999998</v>
      </c>
      <c r="R1386" s="26" t="s">
        <v>280</v>
      </c>
      <c r="S1386" s="26"/>
      <c r="T1386" s="71" t="s">
        <v>626</v>
      </c>
    </row>
    <row r="1387" spans="1:20" ht="12.75" customHeight="1">
      <c r="A1387" s="26" t="s">
        <v>86</v>
      </c>
      <c r="B1387" s="26" t="s">
        <v>162</v>
      </c>
      <c r="C1387" s="26" t="s">
        <v>504</v>
      </c>
      <c r="D1387" s="25">
        <v>42250</v>
      </c>
      <c r="E1387" s="1">
        <f t="shared" si="83"/>
        <v>2015</v>
      </c>
      <c r="F1387" s="1">
        <f t="shared" si="81"/>
        <v>9</v>
      </c>
      <c r="G1387" s="4">
        <f t="shared" si="84"/>
        <v>3</v>
      </c>
      <c r="H1387" s="8">
        <v>0.69166666666666676</v>
      </c>
      <c r="I1387" s="22">
        <v>130.28700000000001</v>
      </c>
      <c r="J1387" s="22">
        <v>34.823999999999998</v>
      </c>
      <c r="K1387" s="27">
        <v>4.5</v>
      </c>
      <c r="L1387" s="27">
        <v>5</v>
      </c>
      <c r="M1387" s="9" t="s">
        <v>501</v>
      </c>
      <c r="N1387" s="21">
        <v>25.687246666666599</v>
      </c>
      <c r="O1387" s="24">
        <v>32.662039999999998</v>
      </c>
      <c r="P1387" s="31">
        <v>-0.26</v>
      </c>
      <c r="Q1387" s="31">
        <v>-2.1800000000000002</v>
      </c>
      <c r="R1387" s="26" t="s">
        <v>280</v>
      </c>
      <c r="S1387" s="26"/>
      <c r="T1387" s="71" t="s">
        <v>626</v>
      </c>
    </row>
    <row r="1388" spans="1:20" ht="12.75" customHeight="1">
      <c r="A1388" s="26" t="s">
        <v>86</v>
      </c>
      <c r="B1388" s="26" t="s">
        <v>105</v>
      </c>
      <c r="C1388" s="26" t="s">
        <v>504</v>
      </c>
      <c r="D1388" s="25">
        <v>42250</v>
      </c>
      <c r="E1388" s="1">
        <f t="shared" si="83"/>
        <v>2015</v>
      </c>
      <c r="F1388" s="1">
        <f t="shared" si="81"/>
        <v>9</v>
      </c>
      <c r="G1388" s="4">
        <f t="shared" si="84"/>
        <v>3</v>
      </c>
      <c r="H1388" s="8">
        <v>0.9159722222222223</v>
      </c>
      <c r="I1388" s="22">
        <v>130.58500000000001</v>
      </c>
      <c r="J1388" s="22">
        <v>34.825000000000003</v>
      </c>
      <c r="K1388" s="27">
        <v>4.5</v>
      </c>
      <c r="L1388" s="27">
        <v>5</v>
      </c>
      <c r="M1388" s="9" t="s">
        <v>501</v>
      </c>
      <c r="N1388" s="21">
        <v>25.117246666666603</v>
      </c>
      <c r="O1388" s="24">
        <v>32.324206666666598</v>
      </c>
      <c r="P1388" s="31">
        <v>-0.27</v>
      </c>
      <c r="Q1388" s="31">
        <v>-2.7</v>
      </c>
      <c r="R1388" s="26" t="s">
        <v>280</v>
      </c>
      <c r="S1388" s="26"/>
      <c r="T1388" s="71" t="s">
        <v>626</v>
      </c>
    </row>
    <row r="1389" spans="1:20" ht="12.75" customHeight="1">
      <c r="A1389" s="26" t="s">
        <v>86</v>
      </c>
      <c r="B1389" s="26" t="s">
        <v>106</v>
      </c>
      <c r="C1389" s="26" t="s">
        <v>504</v>
      </c>
      <c r="D1389" s="25">
        <v>42251</v>
      </c>
      <c r="E1389" s="1">
        <f t="shared" si="83"/>
        <v>2015</v>
      </c>
      <c r="F1389" s="1">
        <f t="shared" si="81"/>
        <v>9</v>
      </c>
      <c r="G1389" s="4">
        <f t="shared" si="84"/>
        <v>4</v>
      </c>
      <c r="H1389" s="8">
        <v>0.31388888888888888</v>
      </c>
      <c r="I1389" s="22">
        <v>130.06700000000001</v>
      </c>
      <c r="J1389" s="22">
        <v>34.667999999999999</v>
      </c>
      <c r="K1389" s="27">
        <v>4.5</v>
      </c>
      <c r="L1389" s="27">
        <v>5</v>
      </c>
      <c r="M1389" s="9" t="s">
        <v>501</v>
      </c>
      <c r="N1389" s="21">
        <v>26.018913333333302</v>
      </c>
      <c r="O1389" s="24">
        <v>33.185540000000003</v>
      </c>
      <c r="P1389" s="31">
        <v>-0.11</v>
      </c>
      <c r="Q1389" s="31">
        <v>-1.36</v>
      </c>
      <c r="R1389" s="26" t="s">
        <v>280</v>
      </c>
      <c r="S1389" s="26"/>
      <c r="T1389" s="71" t="s">
        <v>626</v>
      </c>
    </row>
    <row r="1390" spans="1:20" ht="12.75" customHeight="1">
      <c r="A1390" s="26" t="s">
        <v>86</v>
      </c>
      <c r="B1390" s="26" t="s">
        <v>107</v>
      </c>
      <c r="C1390" s="26" t="s">
        <v>504</v>
      </c>
      <c r="D1390" s="25">
        <v>42251</v>
      </c>
      <c r="E1390" s="1">
        <f t="shared" si="83"/>
        <v>2015</v>
      </c>
      <c r="F1390" s="1">
        <f t="shared" si="81"/>
        <v>9</v>
      </c>
      <c r="G1390" s="4">
        <f t="shared" si="84"/>
        <v>4</v>
      </c>
      <c r="H1390" s="8">
        <v>0.48680555555555555</v>
      </c>
      <c r="I1390" s="22">
        <v>130.08099999999999</v>
      </c>
      <c r="J1390" s="22">
        <v>34.500999999999998</v>
      </c>
      <c r="K1390" s="27">
        <v>4.5</v>
      </c>
      <c r="L1390" s="27">
        <v>5</v>
      </c>
      <c r="M1390" s="9" t="s">
        <v>501</v>
      </c>
      <c r="N1390" s="21">
        <v>26.547246666666602</v>
      </c>
      <c r="O1390" s="24">
        <v>33.29054</v>
      </c>
      <c r="P1390" s="31">
        <v>0.02</v>
      </c>
      <c r="Q1390" s="31">
        <v>-0.92</v>
      </c>
      <c r="R1390" s="26" t="s">
        <v>280</v>
      </c>
      <c r="S1390" s="26"/>
      <c r="T1390" s="71" t="s">
        <v>626</v>
      </c>
    </row>
    <row r="1391" spans="1:20" ht="12.75" customHeight="1">
      <c r="A1391" s="26" t="s">
        <v>86</v>
      </c>
      <c r="B1391" s="26" t="s">
        <v>108</v>
      </c>
      <c r="C1391" s="26" t="s">
        <v>504</v>
      </c>
      <c r="D1391" s="25">
        <v>42251</v>
      </c>
      <c r="E1391" s="1">
        <f t="shared" si="83"/>
        <v>2015</v>
      </c>
      <c r="F1391" s="1">
        <f t="shared" si="81"/>
        <v>9</v>
      </c>
      <c r="G1391" s="4">
        <f t="shared" si="84"/>
        <v>4</v>
      </c>
      <c r="H1391" s="8">
        <v>0.70138888888888884</v>
      </c>
      <c r="I1391" s="22">
        <v>129.678</v>
      </c>
      <c r="J1391" s="22">
        <v>34.363</v>
      </c>
      <c r="K1391" s="27">
        <v>4.5</v>
      </c>
      <c r="L1391" s="27">
        <v>5</v>
      </c>
      <c r="M1391" s="9" t="s">
        <v>501</v>
      </c>
      <c r="N1391" s="21">
        <v>26.545580000000001</v>
      </c>
      <c r="O1391" s="24">
        <v>32.688539999999904</v>
      </c>
      <c r="P1391" s="31">
        <v>-0.25</v>
      </c>
      <c r="Q1391" s="31">
        <v>-2.16</v>
      </c>
      <c r="R1391" s="26" t="s">
        <v>280</v>
      </c>
      <c r="S1391" s="26"/>
      <c r="T1391" s="71" t="s">
        <v>626</v>
      </c>
    </row>
    <row r="1392" spans="1:20" ht="12.75" customHeight="1">
      <c r="A1392" s="26" t="s">
        <v>86</v>
      </c>
      <c r="B1392" s="26" t="s">
        <v>109</v>
      </c>
      <c r="C1392" s="26" t="s">
        <v>504</v>
      </c>
      <c r="D1392" s="25">
        <v>42251</v>
      </c>
      <c r="E1392" s="1">
        <f t="shared" si="83"/>
        <v>2015</v>
      </c>
      <c r="F1392" s="1">
        <f t="shared" si="81"/>
        <v>9</v>
      </c>
      <c r="G1392" s="4">
        <f t="shared" si="84"/>
        <v>4</v>
      </c>
      <c r="H1392" s="8">
        <v>0.79791666666666661</v>
      </c>
      <c r="I1392" s="22">
        <v>129.822</v>
      </c>
      <c r="J1392" s="22">
        <v>34.503999999999998</v>
      </c>
      <c r="K1392" s="27">
        <v>4.5</v>
      </c>
      <c r="L1392" s="27">
        <v>5</v>
      </c>
      <c r="M1392" s="9" t="s">
        <v>501</v>
      </c>
      <c r="N1392" s="21">
        <v>26.413913333333301</v>
      </c>
      <c r="O1392" s="24">
        <v>33.157873333333299</v>
      </c>
      <c r="P1392" s="31">
        <v>-0.05</v>
      </c>
      <c r="Q1392" s="31">
        <v>-1.37</v>
      </c>
      <c r="R1392" s="26" t="s">
        <v>280</v>
      </c>
      <c r="S1392" s="26"/>
      <c r="T1392" s="71" t="s">
        <v>626</v>
      </c>
    </row>
    <row r="1393" spans="1:20" ht="12.75" customHeight="1">
      <c r="A1393" s="26" t="s">
        <v>86</v>
      </c>
      <c r="B1393" s="26" t="s">
        <v>110</v>
      </c>
      <c r="C1393" s="26" t="s">
        <v>504</v>
      </c>
      <c r="D1393" s="25">
        <v>42251</v>
      </c>
      <c r="E1393" s="1">
        <f t="shared" si="83"/>
        <v>2015</v>
      </c>
      <c r="F1393" s="1">
        <f t="shared" si="81"/>
        <v>9</v>
      </c>
      <c r="G1393" s="4">
        <f t="shared" si="84"/>
        <v>4</v>
      </c>
      <c r="H1393" s="8">
        <v>0.91111111111111109</v>
      </c>
      <c r="I1393" s="22">
        <v>129.76400000000001</v>
      </c>
      <c r="J1393" s="22">
        <v>34.338000000000001</v>
      </c>
      <c r="K1393" s="27">
        <v>4.5</v>
      </c>
      <c r="L1393" s="27">
        <v>5</v>
      </c>
      <c r="M1393" s="9" t="s">
        <v>501</v>
      </c>
      <c r="N1393" s="21">
        <v>26.51558</v>
      </c>
      <c r="O1393" s="24">
        <v>32.732873333333302</v>
      </c>
      <c r="P1393" s="31">
        <v>-0.2</v>
      </c>
      <c r="Q1393" s="31">
        <v>-1.77</v>
      </c>
      <c r="R1393" s="26" t="s">
        <v>280</v>
      </c>
      <c r="S1393" s="26"/>
      <c r="T1393" s="71" t="s">
        <v>626</v>
      </c>
    </row>
    <row r="1394" spans="1:20" ht="12.75" customHeight="1">
      <c r="A1394" s="26" t="s">
        <v>86</v>
      </c>
      <c r="B1394" s="26" t="s">
        <v>111</v>
      </c>
      <c r="C1394" s="26" t="s">
        <v>504</v>
      </c>
      <c r="D1394" s="25">
        <v>42252</v>
      </c>
      <c r="E1394" s="1">
        <f t="shared" si="83"/>
        <v>2015</v>
      </c>
      <c r="F1394" s="1">
        <f t="shared" si="81"/>
        <v>9</v>
      </c>
      <c r="G1394" s="4">
        <f t="shared" si="84"/>
        <v>5</v>
      </c>
      <c r="H1394" s="8">
        <v>0.3215277777777778</v>
      </c>
      <c r="I1394" s="22">
        <v>129.84</v>
      </c>
      <c r="J1394" s="22">
        <v>34.167000000000002</v>
      </c>
      <c r="K1394" s="27">
        <v>4.5</v>
      </c>
      <c r="L1394" s="27">
        <v>5</v>
      </c>
      <c r="M1394" s="9" t="s">
        <v>501</v>
      </c>
      <c r="N1394" s="21">
        <v>25.988913333333301</v>
      </c>
      <c r="O1394" s="24">
        <v>33.314706666666602</v>
      </c>
      <c r="P1394" s="31">
        <v>-0.06</v>
      </c>
      <c r="Q1394" s="31">
        <v>-0.83</v>
      </c>
      <c r="R1394" s="26" t="s">
        <v>280</v>
      </c>
      <c r="S1394" s="26"/>
      <c r="T1394" s="71" t="s">
        <v>626</v>
      </c>
    </row>
    <row r="1395" spans="1:20" ht="12.75" customHeight="1">
      <c r="A1395" s="26" t="s">
        <v>86</v>
      </c>
      <c r="B1395" s="26" t="s">
        <v>112</v>
      </c>
      <c r="C1395" s="26" t="s">
        <v>504</v>
      </c>
      <c r="D1395" s="25">
        <v>42252</v>
      </c>
      <c r="E1395" s="1">
        <f t="shared" si="83"/>
        <v>2015</v>
      </c>
      <c r="F1395" s="1">
        <f t="shared" si="81"/>
        <v>9</v>
      </c>
      <c r="G1395" s="4">
        <f t="shared" si="84"/>
        <v>5</v>
      </c>
      <c r="H1395" s="8">
        <v>0.4861111111111111</v>
      </c>
      <c r="I1395" s="22">
        <v>130.584</v>
      </c>
      <c r="J1395" s="22">
        <v>34.244999999999997</v>
      </c>
      <c r="K1395" s="27">
        <v>4.5</v>
      </c>
      <c r="L1395" s="27">
        <v>5</v>
      </c>
      <c r="M1395" s="9" t="s">
        <v>501</v>
      </c>
      <c r="N1395" s="21">
        <v>25.907246666666602</v>
      </c>
      <c r="O1395" s="24">
        <v>33.004539999999999</v>
      </c>
      <c r="P1395" s="31">
        <v>-0.09</v>
      </c>
      <c r="Q1395" s="31">
        <v>-1.18</v>
      </c>
      <c r="R1395" s="26" t="s">
        <v>280</v>
      </c>
      <c r="S1395" s="26"/>
      <c r="T1395" s="71" t="s">
        <v>626</v>
      </c>
    </row>
    <row r="1396" spans="1:20" ht="12.75" customHeight="1">
      <c r="A1396" s="26" t="s">
        <v>86</v>
      </c>
      <c r="B1396" s="26" t="s">
        <v>113</v>
      </c>
      <c r="C1396" s="26" t="s">
        <v>504</v>
      </c>
      <c r="D1396" s="25">
        <v>42252</v>
      </c>
      <c r="E1396" s="1">
        <f t="shared" si="83"/>
        <v>2015</v>
      </c>
      <c r="F1396" s="1">
        <f t="shared" si="81"/>
        <v>9</v>
      </c>
      <c r="G1396" s="4">
        <f t="shared" si="84"/>
        <v>5</v>
      </c>
      <c r="H1396" s="8">
        <v>0.61388888888888882</v>
      </c>
      <c r="I1396" s="22">
        <v>130.18100000000001</v>
      </c>
      <c r="J1396" s="22">
        <v>34.334000000000003</v>
      </c>
      <c r="K1396" s="27">
        <v>4.5</v>
      </c>
      <c r="L1396" s="27">
        <v>5</v>
      </c>
      <c r="M1396" s="9" t="s">
        <v>501</v>
      </c>
      <c r="N1396" s="21">
        <v>26.273913333333301</v>
      </c>
      <c r="O1396" s="24">
        <v>33.366540000000001</v>
      </c>
      <c r="P1396" s="31">
        <v>-0.01</v>
      </c>
      <c r="Q1396" s="31">
        <v>-0.69</v>
      </c>
      <c r="R1396" s="26" t="s">
        <v>280</v>
      </c>
      <c r="S1396" s="26"/>
      <c r="T1396" s="71" t="s">
        <v>626</v>
      </c>
    </row>
    <row r="1397" spans="1:20" ht="12.75" customHeight="1">
      <c r="A1397" s="26" t="s">
        <v>86</v>
      </c>
      <c r="B1397" s="26" t="s">
        <v>114</v>
      </c>
      <c r="C1397" s="26" t="s">
        <v>504</v>
      </c>
      <c r="D1397" s="25">
        <v>42252</v>
      </c>
      <c r="E1397" s="1">
        <f t="shared" si="83"/>
        <v>2015</v>
      </c>
      <c r="F1397" s="1">
        <f t="shared" si="81"/>
        <v>9</v>
      </c>
      <c r="G1397" s="4">
        <f t="shared" si="84"/>
        <v>5</v>
      </c>
      <c r="H1397" s="8">
        <v>0.75208333333333333</v>
      </c>
      <c r="I1397" s="22">
        <v>130.02099999999999</v>
      </c>
      <c r="J1397" s="22">
        <v>34.176000000000002</v>
      </c>
      <c r="K1397" s="27">
        <v>4.5</v>
      </c>
      <c r="L1397" s="27">
        <v>5</v>
      </c>
      <c r="M1397" s="9" t="s">
        <v>501</v>
      </c>
      <c r="N1397" s="21">
        <v>26.21058</v>
      </c>
      <c r="O1397" s="24">
        <v>32.944040000000001</v>
      </c>
      <c r="P1397" s="31">
        <v>-0.19</v>
      </c>
      <c r="Q1397" s="31">
        <v>-1.64</v>
      </c>
      <c r="R1397" s="26" t="s">
        <v>280</v>
      </c>
      <c r="S1397" s="26"/>
      <c r="T1397" s="71" t="s">
        <v>626</v>
      </c>
    </row>
    <row r="1398" spans="1:20" ht="12.75" customHeight="1">
      <c r="A1398" s="26" t="s">
        <v>86</v>
      </c>
      <c r="B1398" s="26" t="s">
        <v>115</v>
      </c>
      <c r="C1398" s="26" t="s">
        <v>504</v>
      </c>
      <c r="D1398" s="25">
        <v>42252</v>
      </c>
      <c r="E1398" s="1">
        <f t="shared" si="83"/>
        <v>2015</v>
      </c>
      <c r="F1398" s="1">
        <f t="shared" si="81"/>
        <v>9</v>
      </c>
      <c r="G1398" s="4">
        <f t="shared" si="84"/>
        <v>5</v>
      </c>
      <c r="H1398" s="8">
        <v>0.9604166666666667</v>
      </c>
      <c r="I1398" s="22">
        <v>129.75800000000001</v>
      </c>
      <c r="J1398" s="22">
        <v>34.168999999999997</v>
      </c>
      <c r="K1398" s="27">
        <v>4.5</v>
      </c>
      <c r="L1398" s="27">
        <v>5</v>
      </c>
      <c r="M1398" s="9" t="s">
        <v>501</v>
      </c>
      <c r="N1398" s="21">
        <v>26.0089133333333</v>
      </c>
      <c r="O1398" s="24">
        <v>32.922040000000003</v>
      </c>
      <c r="P1398" s="31">
        <v>-0.2</v>
      </c>
      <c r="Q1398" s="31">
        <v>-1.62</v>
      </c>
      <c r="R1398" s="26" t="s">
        <v>280</v>
      </c>
      <c r="S1398" s="26"/>
      <c r="T1398" s="71" t="s">
        <v>626</v>
      </c>
    </row>
    <row r="1399" spans="1:20" ht="12.75" customHeight="1">
      <c r="A1399" s="26" t="s">
        <v>86</v>
      </c>
      <c r="B1399" s="26" t="s">
        <v>116</v>
      </c>
      <c r="C1399" s="26" t="s">
        <v>504</v>
      </c>
      <c r="D1399" s="25">
        <v>42253</v>
      </c>
      <c r="E1399" s="1">
        <f t="shared" si="83"/>
        <v>2015</v>
      </c>
      <c r="F1399" s="1">
        <f t="shared" si="81"/>
        <v>9</v>
      </c>
      <c r="G1399" s="4">
        <f t="shared" si="84"/>
        <v>6</v>
      </c>
      <c r="H1399" s="8">
        <v>0.33055555555555555</v>
      </c>
      <c r="I1399" s="22">
        <v>128.61799999999999</v>
      </c>
      <c r="J1399" s="22">
        <v>33.667999999999999</v>
      </c>
      <c r="K1399" s="27">
        <v>4.5</v>
      </c>
      <c r="L1399" s="27">
        <v>5</v>
      </c>
      <c r="M1399" s="9" t="s">
        <v>501</v>
      </c>
      <c r="N1399" s="21">
        <v>26.205580000000001</v>
      </c>
      <c r="O1399" s="24">
        <v>33.312373333333298</v>
      </c>
      <c r="P1399" s="31">
        <v>-0.04</v>
      </c>
      <c r="Q1399" s="31">
        <v>-0.67</v>
      </c>
      <c r="R1399" s="26" t="s">
        <v>280</v>
      </c>
      <c r="S1399" s="26"/>
      <c r="T1399" s="71" t="s">
        <v>626</v>
      </c>
    </row>
    <row r="1400" spans="1:20" ht="12.75" customHeight="1">
      <c r="A1400" s="26" t="s">
        <v>86</v>
      </c>
      <c r="B1400" s="26" t="s">
        <v>117</v>
      </c>
      <c r="C1400" s="26" t="s">
        <v>504</v>
      </c>
      <c r="D1400" s="25">
        <v>42254</v>
      </c>
      <c r="E1400" s="1">
        <f t="shared" si="83"/>
        <v>2015</v>
      </c>
      <c r="F1400" s="1">
        <f t="shared" si="81"/>
        <v>9</v>
      </c>
      <c r="G1400" s="4">
        <f t="shared" si="84"/>
        <v>7</v>
      </c>
      <c r="H1400" s="8">
        <v>0.63124999999999998</v>
      </c>
      <c r="I1400" s="22">
        <v>129.523</v>
      </c>
      <c r="J1400" s="22">
        <v>34.000999999999998</v>
      </c>
      <c r="K1400" s="27">
        <v>4.5</v>
      </c>
      <c r="L1400" s="27">
        <v>5</v>
      </c>
      <c r="M1400" s="9" t="s">
        <v>501</v>
      </c>
      <c r="N1400" s="21">
        <v>25.955580000000001</v>
      </c>
      <c r="O1400" s="24">
        <v>33.403077037037001</v>
      </c>
      <c r="P1400" s="31">
        <v>-7.0000000000000007E-2</v>
      </c>
      <c r="Q1400" s="31">
        <v>-0.69</v>
      </c>
      <c r="R1400" s="26" t="s">
        <v>280</v>
      </c>
      <c r="S1400" s="26"/>
      <c r="T1400" s="71" t="s">
        <v>626</v>
      </c>
    </row>
    <row r="1401" spans="1:20" ht="12.75" customHeight="1">
      <c r="A1401" s="26" t="s">
        <v>86</v>
      </c>
      <c r="B1401" s="26" t="s">
        <v>118</v>
      </c>
      <c r="C1401" s="26" t="s">
        <v>504</v>
      </c>
      <c r="D1401" s="25">
        <v>42254</v>
      </c>
      <c r="E1401" s="1">
        <f t="shared" si="83"/>
        <v>2015</v>
      </c>
      <c r="F1401" s="1">
        <f t="shared" si="81"/>
        <v>9</v>
      </c>
      <c r="G1401" s="4">
        <f t="shared" si="84"/>
        <v>7</v>
      </c>
      <c r="H1401" s="8">
        <v>0.7416666666666667</v>
      </c>
      <c r="I1401" s="22">
        <v>129.994</v>
      </c>
      <c r="J1401" s="22">
        <v>33.831000000000003</v>
      </c>
      <c r="K1401" s="27">
        <v>4.5</v>
      </c>
      <c r="L1401" s="27">
        <v>5</v>
      </c>
      <c r="M1401" s="9" t="s">
        <v>501</v>
      </c>
      <c r="N1401" s="21">
        <v>24.295580000000001</v>
      </c>
      <c r="O1401" s="24">
        <v>33.308077037037002</v>
      </c>
      <c r="P1401" s="31">
        <v>-0.06</v>
      </c>
      <c r="Q1401" s="31">
        <v>-0.77</v>
      </c>
      <c r="R1401" s="26" t="s">
        <v>280</v>
      </c>
      <c r="S1401" s="26"/>
      <c r="T1401" s="71" t="s">
        <v>626</v>
      </c>
    </row>
    <row r="1402" spans="1:20" ht="12.75" customHeight="1">
      <c r="A1402" s="26" t="s">
        <v>86</v>
      </c>
      <c r="B1402" s="26" t="s">
        <v>119</v>
      </c>
      <c r="C1402" s="26" t="s">
        <v>504</v>
      </c>
      <c r="D1402" s="25">
        <v>42257</v>
      </c>
      <c r="E1402" s="1">
        <f t="shared" si="83"/>
        <v>2015</v>
      </c>
      <c r="F1402" s="1">
        <f t="shared" si="81"/>
        <v>9</v>
      </c>
      <c r="G1402" s="4">
        <f t="shared" si="84"/>
        <v>10</v>
      </c>
      <c r="H1402" s="8">
        <v>0.69305555555555554</v>
      </c>
      <c r="I1402" s="22">
        <v>129.779</v>
      </c>
      <c r="J1402" s="22">
        <v>33.679000000000002</v>
      </c>
      <c r="K1402" s="27">
        <v>4.5</v>
      </c>
      <c r="L1402" s="27">
        <v>5</v>
      </c>
      <c r="M1402" s="9" t="s">
        <v>501</v>
      </c>
      <c r="N1402" s="21">
        <v>23.703579999999899</v>
      </c>
      <c r="O1402" s="24">
        <v>33.40014</v>
      </c>
      <c r="P1402" s="31">
        <v>0</v>
      </c>
      <c r="Q1402" s="31">
        <v>-0.53</v>
      </c>
      <c r="R1402" s="26" t="s">
        <v>280</v>
      </c>
      <c r="S1402" s="26"/>
      <c r="T1402" s="71" t="s">
        <v>626</v>
      </c>
    </row>
    <row r="1403" spans="1:20" ht="12.75" customHeight="1">
      <c r="A1403" s="26" t="s">
        <v>86</v>
      </c>
      <c r="B1403" s="26" t="s">
        <v>120</v>
      </c>
      <c r="C1403" s="26" t="s">
        <v>504</v>
      </c>
      <c r="D1403" s="25">
        <v>42257</v>
      </c>
      <c r="E1403" s="1">
        <f t="shared" si="83"/>
        <v>2015</v>
      </c>
      <c r="F1403" s="1">
        <f t="shared" si="81"/>
        <v>9</v>
      </c>
      <c r="G1403" s="4">
        <f t="shared" si="84"/>
        <v>10</v>
      </c>
      <c r="H1403" s="8">
        <v>0.90486111111111101</v>
      </c>
      <c r="I1403" s="22">
        <v>128.49700000000001</v>
      </c>
      <c r="J1403" s="22">
        <v>33.832999999999998</v>
      </c>
      <c r="K1403" s="27">
        <v>4.5</v>
      </c>
      <c r="L1403" s="27">
        <v>5</v>
      </c>
      <c r="M1403" s="9" t="s">
        <v>501</v>
      </c>
      <c r="N1403" s="21">
        <v>25.185580000000002</v>
      </c>
      <c r="O1403" s="24">
        <v>33.546873333333302</v>
      </c>
      <c r="P1403" s="31">
        <v>0.09</v>
      </c>
      <c r="Q1403" s="31">
        <v>-0.16</v>
      </c>
      <c r="R1403" s="26" t="s">
        <v>280</v>
      </c>
      <c r="S1403" s="26"/>
      <c r="T1403" s="71" t="s">
        <v>626</v>
      </c>
    </row>
    <row r="1404" spans="1:20" ht="12.75" customHeight="1">
      <c r="A1404" s="26" t="s">
        <v>86</v>
      </c>
      <c r="B1404" s="26" t="s">
        <v>121</v>
      </c>
      <c r="C1404" s="26" t="s">
        <v>504</v>
      </c>
      <c r="D1404" s="25">
        <v>42258</v>
      </c>
      <c r="E1404" s="1">
        <f t="shared" si="83"/>
        <v>2015</v>
      </c>
      <c r="F1404" s="1">
        <f t="shared" si="81"/>
        <v>9</v>
      </c>
      <c r="G1404" s="4">
        <f t="shared" si="84"/>
        <v>11</v>
      </c>
      <c r="H1404" s="8">
        <v>0.31319444444444444</v>
      </c>
      <c r="I1404" s="22">
        <v>128.798</v>
      </c>
      <c r="J1404" s="22">
        <v>33.835000000000001</v>
      </c>
      <c r="K1404" s="27">
        <v>4.5</v>
      </c>
      <c r="L1404" s="27">
        <v>5</v>
      </c>
      <c r="M1404" s="9" t="s">
        <v>501</v>
      </c>
      <c r="N1404" s="21">
        <v>25.128913333333301</v>
      </c>
      <c r="O1404" s="24">
        <v>33.54654</v>
      </c>
      <c r="P1404" s="31">
        <v>0.03</v>
      </c>
      <c r="Q1404" s="31">
        <v>-0.31</v>
      </c>
      <c r="R1404" s="26" t="s">
        <v>280</v>
      </c>
      <c r="S1404" s="26"/>
      <c r="T1404" s="71" t="s">
        <v>626</v>
      </c>
    </row>
    <row r="1405" spans="1:20" ht="12.75" customHeight="1">
      <c r="A1405" s="26" t="s">
        <v>86</v>
      </c>
      <c r="B1405" s="26" t="s">
        <v>122</v>
      </c>
      <c r="C1405" s="26" t="s">
        <v>504</v>
      </c>
      <c r="D1405" s="25">
        <v>42258</v>
      </c>
      <c r="E1405" s="1">
        <f t="shared" si="83"/>
        <v>2015</v>
      </c>
      <c r="F1405" s="1">
        <f t="shared" si="81"/>
        <v>9</v>
      </c>
      <c r="G1405" s="4">
        <f t="shared" si="84"/>
        <v>11</v>
      </c>
      <c r="H1405" s="8">
        <v>0.52500000000000002</v>
      </c>
      <c r="I1405" s="22">
        <v>129.84700000000001</v>
      </c>
      <c r="J1405" s="22">
        <v>33.999000000000002</v>
      </c>
      <c r="K1405" s="27">
        <v>4.5</v>
      </c>
      <c r="L1405" s="27">
        <v>5</v>
      </c>
      <c r="M1405" s="9" t="s">
        <v>501</v>
      </c>
      <c r="N1405" s="21">
        <v>24.32058</v>
      </c>
      <c r="O1405" s="24">
        <v>33.322873333333298</v>
      </c>
      <c r="P1405" s="31">
        <v>-0.02</v>
      </c>
      <c r="Q1405" s="31">
        <v>-0.79</v>
      </c>
      <c r="R1405" s="26" t="s">
        <v>280</v>
      </c>
      <c r="S1405" s="26"/>
      <c r="T1405" s="71" t="s">
        <v>626</v>
      </c>
    </row>
    <row r="1406" spans="1:20" ht="12.75" customHeight="1">
      <c r="A1406" s="26" t="s">
        <v>86</v>
      </c>
      <c r="B1406" s="26" t="s">
        <v>123</v>
      </c>
      <c r="C1406" s="26" t="s">
        <v>504</v>
      </c>
      <c r="D1406" s="25">
        <v>42258</v>
      </c>
      <c r="E1406" s="1">
        <f t="shared" si="83"/>
        <v>2015</v>
      </c>
      <c r="F1406" s="1">
        <f t="shared" ref="F1406:F1469" si="85">MONTH(D1406)</f>
        <v>9</v>
      </c>
      <c r="G1406" s="4">
        <f t="shared" si="84"/>
        <v>11</v>
      </c>
      <c r="H1406" s="8">
        <v>0.86805555555555547</v>
      </c>
      <c r="I1406" s="22">
        <v>130.23099999999999</v>
      </c>
      <c r="J1406" s="22">
        <v>34</v>
      </c>
      <c r="K1406" s="27">
        <v>4.5</v>
      </c>
      <c r="L1406" s="27">
        <v>5</v>
      </c>
      <c r="M1406" s="9" t="s">
        <v>501</v>
      </c>
      <c r="N1406" s="21">
        <v>25.033913333333302</v>
      </c>
      <c r="O1406" s="24">
        <v>33.332373333333301</v>
      </c>
      <c r="P1406" s="31">
        <v>-0.01</v>
      </c>
      <c r="Q1406" s="31">
        <v>-0.66</v>
      </c>
      <c r="R1406" s="26" t="s">
        <v>280</v>
      </c>
      <c r="S1406" s="26"/>
      <c r="T1406" s="71" t="s">
        <v>626</v>
      </c>
    </row>
    <row r="1407" spans="1:20" ht="12.75" customHeight="1">
      <c r="A1407" s="26" t="s">
        <v>86</v>
      </c>
      <c r="B1407" s="26" t="s">
        <v>124</v>
      </c>
      <c r="C1407" s="26" t="s">
        <v>504</v>
      </c>
      <c r="D1407" s="25">
        <v>42259</v>
      </c>
      <c r="E1407" s="1">
        <f t="shared" si="83"/>
        <v>2015</v>
      </c>
      <c r="F1407" s="1">
        <f t="shared" si="85"/>
        <v>9</v>
      </c>
      <c r="G1407" s="4">
        <f t="shared" si="84"/>
        <v>12</v>
      </c>
      <c r="H1407" s="8">
        <v>0.31180555555555556</v>
      </c>
      <c r="I1407" s="22">
        <v>128.55500000000001</v>
      </c>
      <c r="J1407" s="22">
        <v>33.334000000000003</v>
      </c>
      <c r="K1407" s="27">
        <v>4.5</v>
      </c>
      <c r="L1407" s="27">
        <v>5</v>
      </c>
      <c r="M1407" s="9" t="s">
        <v>501</v>
      </c>
      <c r="N1407" s="21">
        <v>25.190580000000001</v>
      </c>
      <c r="O1407" s="24">
        <v>33.624706666666597</v>
      </c>
      <c r="P1407" s="31">
        <v>0.18</v>
      </c>
      <c r="Q1407" s="31">
        <v>0.15</v>
      </c>
      <c r="R1407" s="26" t="s">
        <v>280</v>
      </c>
      <c r="S1407" s="26"/>
      <c r="T1407" s="71" t="s">
        <v>626</v>
      </c>
    </row>
    <row r="1408" spans="1:20" ht="12.75" customHeight="1">
      <c r="A1408" s="26" t="s">
        <v>86</v>
      </c>
      <c r="B1408" s="26" t="s">
        <v>125</v>
      </c>
      <c r="C1408" s="26" t="s">
        <v>504</v>
      </c>
      <c r="D1408" s="25">
        <v>42259</v>
      </c>
      <c r="E1408" s="1">
        <f t="shared" si="83"/>
        <v>2015</v>
      </c>
      <c r="F1408" s="1">
        <f t="shared" si="85"/>
        <v>9</v>
      </c>
      <c r="G1408" s="4">
        <f t="shared" si="84"/>
        <v>12</v>
      </c>
      <c r="H1408" s="8">
        <v>0.50138888888888888</v>
      </c>
      <c r="I1408" s="22">
        <v>128.81399999999999</v>
      </c>
      <c r="J1408" s="22">
        <v>33.164000000000001</v>
      </c>
      <c r="K1408" s="27">
        <v>4.5</v>
      </c>
      <c r="L1408" s="27">
        <v>5</v>
      </c>
      <c r="M1408" s="9" t="s">
        <v>501</v>
      </c>
      <c r="N1408" s="21">
        <v>24.290579999999899</v>
      </c>
      <c r="O1408" s="24">
        <v>33.724539999999998</v>
      </c>
      <c r="P1408" s="31">
        <v>0.12</v>
      </c>
      <c r="Q1408" s="31">
        <v>-0.01</v>
      </c>
      <c r="R1408" s="26" t="s">
        <v>280</v>
      </c>
      <c r="S1408" s="26"/>
      <c r="T1408" s="71" t="s">
        <v>626</v>
      </c>
    </row>
    <row r="1409" spans="1:20" ht="12.75" customHeight="1">
      <c r="A1409" s="26" t="s">
        <v>86</v>
      </c>
      <c r="B1409" s="26" t="s">
        <v>126</v>
      </c>
      <c r="C1409" s="26" t="s">
        <v>504</v>
      </c>
      <c r="D1409" s="25">
        <v>42259</v>
      </c>
      <c r="E1409" s="1">
        <f t="shared" si="83"/>
        <v>2015</v>
      </c>
      <c r="F1409" s="1">
        <f t="shared" si="85"/>
        <v>9</v>
      </c>
      <c r="G1409" s="4">
        <f t="shared" si="84"/>
        <v>12</v>
      </c>
      <c r="H1409" s="8">
        <v>0.65763888888888888</v>
      </c>
      <c r="I1409" s="22">
        <v>128.184</v>
      </c>
      <c r="J1409" s="22">
        <v>33</v>
      </c>
      <c r="K1409" s="27">
        <v>4.5</v>
      </c>
      <c r="L1409" s="27">
        <v>5</v>
      </c>
      <c r="M1409" s="9" t="s">
        <v>501</v>
      </c>
      <c r="N1409" s="21">
        <v>26.203913333333301</v>
      </c>
      <c r="O1409" s="24">
        <v>33.263373333333298</v>
      </c>
      <c r="P1409" s="31">
        <v>-0.04</v>
      </c>
      <c r="Q1409" s="31">
        <v>-0.99</v>
      </c>
      <c r="R1409" s="26" t="s">
        <v>280</v>
      </c>
      <c r="S1409" s="26"/>
      <c r="T1409" s="71" t="s">
        <v>626</v>
      </c>
    </row>
    <row r="1410" spans="1:20" ht="12.75" customHeight="1">
      <c r="A1410" s="26" t="s">
        <v>86</v>
      </c>
      <c r="B1410" s="26" t="s">
        <v>127</v>
      </c>
      <c r="C1410" s="26" t="s">
        <v>504</v>
      </c>
      <c r="D1410" s="25">
        <v>42259</v>
      </c>
      <c r="E1410" s="1">
        <f t="shared" si="83"/>
        <v>2015</v>
      </c>
      <c r="F1410" s="1">
        <f t="shared" si="85"/>
        <v>9</v>
      </c>
      <c r="G1410" s="4">
        <f t="shared" si="84"/>
        <v>12</v>
      </c>
      <c r="H1410" s="8">
        <v>0.80694444444444446</v>
      </c>
      <c r="I1410" s="22">
        <v>128.54400000000001</v>
      </c>
      <c r="J1410" s="22">
        <v>32.997</v>
      </c>
      <c r="K1410" s="27">
        <v>4.5</v>
      </c>
      <c r="L1410" s="27">
        <v>5</v>
      </c>
      <c r="M1410" s="9" t="s">
        <v>501</v>
      </c>
      <c r="N1410" s="21">
        <v>25.687246666666599</v>
      </c>
      <c r="O1410" s="24">
        <v>33.529040000000002</v>
      </c>
      <c r="P1410" s="31">
        <v>0.01</v>
      </c>
      <c r="Q1410" s="31">
        <v>-0.49</v>
      </c>
      <c r="R1410" s="26" t="s">
        <v>280</v>
      </c>
      <c r="S1410" s="26"/>
      <c r="T1410" s="71" t="s">
        <v>626</v>
      </c>
    </row>
    <row r="1411" spans="1:20" ht="12.75" customHeight="1">
      <c r="A1411" s="26" t="s">
        <v>86</v>
      </c>
      <c r="B1411" s="26" t="s">
        <v>128</v>
      </c>
      <c r="C1411" s="26" t="s">
        <v>504</v>
      </c>
      <c r="D1411" s="25">
        <v>42259</v>
      </c>
      <c r="E1411" s="1">
        <f t="shared" si="83"/>
        <v>2015</v>
      </c>
      <c r="F1411" s="1">
        <f t="shared" si="85"/>
        <v>9</v>
      </c>
      <c r="G1411" s="4">
        <f t="shared" si="84"/>
        <v>12</v>
      </c>
      <c r="H1411" s="8">
        <v>0.94027777777777777</v>
      </c>
      <c r="I1411" s="22">
        <v>128.667</v>
      </c>
      <c r="J1411" s="22">
        <v>33.17</v>
      </c>
      <c r="K1411" s="27">
        <v>4.5</v>
      </c>
      <c r="L1411" s="27">
        <v>5</v>
      </c>
      <c r="M1411" s="9" t="s">
        <v>501</v>
      </c>
      <c r="N1411" s="21">
        <v>25.328913333333301</v>
      </c>
      <c r="O1411" s="24">
        <v>33.461539999999999</v>
      </c>
      <c r="P1411" s="31">
        <v>0.02</v>
      </c>
      <c r="Q1411" s="31">
        <v>-0.44</v>
      </c>
      <c r="R1411" s="26" t="s">
        <v>280</v>
      </c>
      <c r="S1411" s="26"/>
      <c r="T1411" s="71" t="s">
        <v>626</v>
      </c>
    </row>
    <row r="1412" spans="1:20" ht="12.75" customHeight="1">
      <c r="A1412" s="26" t="s">
        <v>86</v>
      </c>
      <c r="B1412" s="26" t="s">
        <v>129</v>
      </c>
      <c r="C1412" s="26" t="s">
        <v>504</v>
      </c>
      <c r="D1412" s="25">
        <v>42260</v>
      </c>
      <c r="E1412" s="1">
        <f t="shared" si="83"/>
        <v>2015</v>
      </c>
      <c r="F1412" s="1">
        <f t="shared" si="85"/>
        <v>9</v>
      </c>
      <c r="G1412" s="4">
        <f t="shared" si="84"/>
        <v>13</v>
      </c>
      <c r="H1412" s="8">
        <v>0.31041666666666667</v>
      </c>
      <c r="I1412" s="22">
        <v>128.26499999999999</v>
      </c>
      <c r="J1412" s="22">
        <v>32.832999999999998</v>
      </c>
      <c r="K1412" s="27">
        <v>4.5</v>
      </c>
      <c r="L1412" s="27">
        <v>5</v>
      </c>
      <c r="M1412" s="9" t="s">
        <v>501</v>
      </c>
      <c r="N1412" s="21">
        <v>26.0989133333333</v>
      </c>
      <c r="O1412" s="24">
        <v>33.275706666666601</v>
      </c>
      <c r="P1412" s="31">
        <v>-0.02</v>
      </c>
      <c r="Q1412" s="31">
        <v>-0.83</v>
      </c>
      <c r="R1412" s="26" t="s">
        <v>280</v>
      </c>
      <c r="S1412" s="26"/>
      <c r="T1412" s="71" t="s">
        <v>626</v>
      </c>
    </row>
    <row r="1413" spans="1:20" ht="12.75" customHeight="1">
      <c r="A1413" s="26" t="s">
        <v>86</v>
      </c>
      <c r="B1413" s="26" t="s">
        <v>130</v>
      </c>
      <c r="C1413" s="26" t="s">
        <v>504</v>
      </c>
      <c r="D1413" s="25">
        <v>42260</v>
      </c>
      <c r="E1413" s="1">
        <f t="shared" si="83"/>
        <v>2015</v>
      </c>
      <c r="F1413" s="1">
        <f t="shared" si="85"/>
        <v>9</v>
      </c>
      <c r="G1413" s="4">
        <f t="shared" si="84"/>
        <v>13</v>
      </c>
      <c r="H1413" s="8">
        <v>0.4826388888888889</v>
      </c>
      <c r="I1413" s="22">
        <v>128.18199999999999</v>
      </c>
      <c r="J1413" s="22">
        <v>32.667000000000002</v>
      </c>
      <c r="K1413" s="27">
        <v>4.5</v>
      </c>
      <c r="L1413" s="27">
        <v>5</v>
      </c>
      <c r="M1413" s="9" t="s">
        <v>501</v>
      </c>
      <c r="N1413" s="21">
        <v>25.92558</v>
      </c>
      <c r="O1413" s="24">
        <v>33.42304</v>
      </c>
      <c r="P1413" s="31">
        <v>0.01</v>
      </c>
      <c r="Q1413" s="31">
        <v>-0.72</v>
      </c>
      <c r="R1413" s="26" t="s">
        <v>280</v>
      </c>
      <c r="S1413" s="26"/>
      <c r="T1413" s="71" t="s">
        <v>626</v>
      </c>
    </row>
    <row r="1414" spans="1:20" ht="12.75" customHeight="1">
      <c r="A1414" s="26" t="s">
        <v>86</v>
      </c>
      <c r="B1414" s="26" t="s">
        <v>131</v>
      </c>
      <c r="C1414" s="26" t="s">
        <v>504</v>
      </c>
      <c r="D1414" s="25">
        <v>42260</v>
      </c>
      <c r="E1414" s="1">
        <f t="shared" si="83"/>
        <v>2015</v>
      </c>
      <c r="F1414" s="1">
        <f t="shared" si="85"/>
        <v>9</v>
      </c>
      <c r="G1414" s="4">
        <f t="shared" si="84"/>
        <v>13</v>
      </c>
      <c r="H1414" s="8">
        <v>0.7416666666666667</v>
      </c>
      <c r="I1414" s="22">
        <v>128.47399999999999</v>
      </c>
      <c r="J1414" s="22">
        <v>32.520000000000003</v>
      </c>
      <c r="K1414" s="27">
        <v>4.5</v>
      </c>
      <c r="L1414" s="27">
        <v>5</v>
      </c>
      <c r="M1414" s="9" t="s">
        <v>501</v>
      </c>
      <c r="N1414" s="21">
        <v>25.312246666666599</v>
      </c>
      <c r="O1414" s="24">
        <v>33.695873333333303</v>
      </c>
      <c r="P1414" s="31">
        <v>0.12</v>
      </c>
      <c r="Q1414" s="31">
        <v>0.09</v>
      </c>
      <c r="R1414" s="26" t="s">
        <v>280</v>
      </c>
      <c r="S1414" s="26"/>
      <c r="T1414" s="71" t="s">
        <v>626</v>
      </c>
    </row>
    <row r="1415" spans="1:20" ht="12.75" customHeight="1">
      <c r="A1415" s="26" t="s">
        <v>86</v>
      </c>
      <c r="B1415" s="26" t="s">
        <v>132</v>
      </c>
      <c r="C1415" s="26" t="s">
        <v>504</v>
      </c>
      <c r="D1415" s="25">
        <v>42261</v>
      </c>
      <c r="E1415" s="1">
        <f t="shared" si="83"/>
        <v>2015</v>
      </c>
      <c r="F1415" s="1">
        <f t="shared" si="85"/>
        <v>9</v>
      </c>
      <c r="G1415" s="4">
        <f t="shared" si="84"/>
        <v>14</v>
      </c>
      <c r="H1415" s="8">
        <v>0.31388888888888888</v>
      </c>
      <c r="I1415" s="22">
        <v>128.196</v>
      </c>
      <c r="J1415" s="22">
        <v>32.334000000000003</v>
      </c>
      <c r="K1415" s="27">
        <v>4.5</v>
      </c>
      <c r="L1415" s="27">
        <v>5</v>
      </c>
      <c r="M1415" s="9" t="s">
        <v>501</v>
      </c>
      <c r="N1415" s="21">
        <v>25.575580000000002</v>
      </c>
      <c r="O1415" s="24">
        <v>33.791873333333299</v>
      </c>
      <c r="P1415" s="31">
        <v>0.06</v>
      </c>
      <c r="Q1415" s="31">
        <v>-0.25</v>
      </c>
      <c r="R1415" s="26" t="s">
        <v>280</v>
      </c>
      <c r="S1415" s="26"/>
      <c r="T1415" s="71" t="s">
        <v>626</v>
      </c>
    </row>
    <row r="1416" spans="1:20" ht="12.75" customHeight="1">
      <c r="A1416" s="26" t="s">
        <v>86</v>
      </c>
      <c r="B1416" s="26" t="s">
        <v>133</v>
      </c>
      <c r="C1416" s="26" t="s">
        <v>504</v>
      </c>
      <c r="D1416" s="25">
        <v>42261</v>
      </c>
      <c r="E1416" s="1">
        <f t="shared" si="83"/>
        <v>2015</v>
      </c>
      <c r="F1416" s="1">
        <f t="shared" si="85"/>
        <v>9</v>
      </c>
      <c r="G1416" s="4">
        <f t="shared" si="84"/>
        <v>14</v>
      </c>
      <c r="H1416" s="8">
        <v>0.61388888888888882</v>
      </c>
      <c r="I1416" s="22">
        <v>128.26900000000001</v>
      </c>
      <c r="J1416" s="22">
        <v>32</v>
      </c>
      <c r="K1416" s="27">
        <v>4.5</v>
      </c>
      <c r="L1416" s="27">
        <v>5</v>
      </c>
      <c r="M1416" s="9" t="s">
        <v>501</v>
      </c>
      <c r="N1416" s="21">
        <v>26.26558</v>
      </c>
      <c r="O1416" s="24">
        <v>33.663873333333299</v>
      </c>
      <c r="P1416" s="31">
        <v>0.04</v>
      </c>
      <c r="Q1416" s="31">
        <v>-0.41</v>
      </c>
      <c r="R1416" s="26" t="s">
        <v>280</v>
      </c>
      <c r="S1416" s="26"/>
      <c r="T1416" s="71" t="s">
        <v>626</v>
      </c>
    </row>
    <row r="1417" spans="1:20" ht="12.75" customHeight="1">
      <c r="A1417" s="26" t="s">
        <v>86</v>
      </c>
      <c r="B1417" s="26" t="s">
        <v>134</v>
      </c>
      <c r="C1417" s="26" t="s">
        <v>504</v>
      </c>
      <c r="D1417" s="25">
        <v>42261</v>
      </c>
      <c r="E1417" s="1">
        <f t="shared" si="83"/>
        <v>2015</v>
      </c>
      <c r="F1417" s="1">
        <f t="shared" si="85"/>
        <v>9</v>
      </c>
      <c r="G1417" s="4">
        <f t="shared" si="84"/>
        <v>14</v>
      </c>
      <c r="H1417" s="8">
        <v>0.8340277777777777</v>
      </c>
      <c r="I1417" s="22">
        <v>128.33099999999999</v>
      </c>
      <c r="J1417" s="22">
        <v>32.332000000000001</v>
      </c>
      <c r="K1417" s="27">
        <v>4.5</v>
      </c>
      <c r="L1417" s="27">
        <v>5</v>
      </c>
      <c r="M1417" s="9" t="s">
        <v>501</v>
      </c>
      <c r="N1417" s="21">
        <v>25.567246666666602</v>
      </c>
      <c r="O1417" s="24">
        <v>33.753873333333303</v>
      </c>
      <c r="P1417" s="31">
        <v>0.09</v>
      </c>
      <c r="Q1417" s="31">
        <v>-0.12</v>
      </c>
      <c r="R1417" s="26" t="s">
        <v>280</v>
      </c>
      <c r="S1417" s="26"/>
      <c r="T1417" s="71" t="s">
        <v>626</v>
      </c>
    </row>
    <row r="1418" spans="1:20" ht="12.75" customHeight="1">
      <c r="A1418" s="26" t="s">
        <v>86</v>
      </c>
      <c r="B1418" s="26" t="s">
        <v>135</v>
      </c>
      <c r="C1418" s="26" t="s">
        <v>504</v>
      </c>
      <c r="D1418" s="25">
        <v>42262</v>
      </c>
      <c r="E1418" s="1">
        <f t="shared" si="83"/>
        <v>2015</v>
      </c>
      <c r="F1418" s="1">
        <f t="shared" si="85"/>
        <v>9</v>
      </c>
      <c r="G1418" s="4">
        <f t="shared" si="84"/>
        <v>15</v>
      </c>
      <c r="H1418" s="8">
        <v>0.31041666666666667</v>
      </c>
      <c r="I1418" s="22">
        <v>128.268</v>
      </c>
      <c r="J1418" s="22">
        <v>31.832000000000001</v>
      </c>
      <c r="K1418" s="27">
        <v>4.5</v>
      </c>
      <c r="L1418" s="27">
        <v>5</v>
      </c>
      <c r="M1418" s="9" t="s">
        <v>501</v>
      </c>
      <c r="N1418" s="21">
        <v>26.343913333333301</v>
      </c>
      <c r="O1418" s="24">
        <v>32.509540000000001</v>
      </c>
      <c r="P1418" s="31">
        <v>-0.14000000000000001</v>
      </c>
      <c r="Q1418" s="31">
        <v>-1.93</v>
      </c>
      <c r="R1418" s="26" t="s">
        <v>280</v>
      </c>
      <c r="S1418" s="26"/>
      <c r="T1418" s="71" t="s">
        <v>626</v>
      </c>
    </row>
    <row r="1419" spans="1:20" ht="12.75" customHeight="1">
      <c r="A1419" s="26" t="s">
        <v>86</v>
      </c>
      <c r="B1419" s="26" t="s">
        <v>177</v>
      </c>
      <c r="C1419" s="26" t="s">
        <v>504</v>
      </c>
      <c r="D1419" s="25">
        <v>42262</v>
      </c>
      <c r="E1419" s="1">
        <f t="shared" si="83"/>
        <v>2015</v>
      </c>
      <c r="F1419" s="1">
        <f t="shared" si="85"/>
        <v>9</v>
      </c>
      <c r="G1419" s="4">
        <f t="shared" si="84"/>
        <v>15</v>
      </c>
      <c r="H1419" s="8">
        <v>0.71944444444444444</v>
      </c>
      <c r="I1419" s="22">
        <v>128.47</v>
      </c>
      <c r="J1419" s="22">
        <v>31.515999999999998</v>
      </c>
      <c r="K1419" s="27">
        <v>4.5</v>
      </c>
      <c r="L1419" s="27">
        <v>5</v>
      </c>
      <c r="M1419" s="9" t="s">
        <v>501</v>
      </c>
      <c r="N1419" s="21">
        <v>25.03558</v>
      </c>
      <c r="O1419" s="24">
        <v>33.528206666666598</v>
      </c>
      <c r="P1419" s="31">
        <v>-0.01</v>
      </c>
      <c r="Q1419" s="31">
        <v>-0.6</v>
      </c>
      <c r="R1419" s="26" t="s">
        <v>280</v>
      </c>
      <c r="S1419" s="26"/>
      <c r="T1419" s="71" t="s">
        <v>626</v>
      </c>
    </row>
    <row r="1420" spans="1:20" ht="12.75" customHeight="1">
      <c r="A1420" s="26" t="s">
        <v>139</v>
      </c>
      <c r="B1420" s="26" t="s">
        <v>183</v>
      </c>
      <c r="C1420" s="1" t="s">
        <v>505</v>
      </c>
      <c r="D1420" s="25">
        <v>42522</v>
      </c>
      <c r="E1420" s="1">
        <f t="shared" si="83"/>
        <v>2016</v>
      </c>
      <c r="F1420" s="1">
        <f t="shared" si="85"/>
        <v>6</v>
      </c>
      <c r="G1420" s="4">
        <f t="shared" si="84"/>
        <v>1</v>
      </c>
      <c r="H1420" s="8">
        <v>0.34513888888888888</v>
      </c>
      <c r="I1420" s="22">
        <v>130.83216666666667</v>
      </c>
      <c r="J1420" s="22">
        <v>34.968499999999999</v>
      </c>
      <c r="K1420" s="27">
        <v>5</v>
      </c>
      <c r="L1420" s="27">
        <v>5</v>
      </c>
      <c r="M1420" s="9">
        <v>0</v>
      </c>
      <c r="N1420" s="21">
        <v>20.831646031746033</v>
      </c>
      <c r="O1420" s="24">
        <v>33.78523095238095</v>
      </c>
      <c r="P1420" s="31">
        <v>4.8093167058824049E-2</v>
      </c>
      <c r="Q1420" s="31">
        <v>0.4125892905882349</v>
      </c>
      <c r="R1420" s="26" t="s">
        <v>280</v>
      </c>
      <c r="S1420" s="26"/>
      <c r="T1420" s="71" t="s">
        <v>626</v>
      </c>
    </row>
    <row r="1421" spans="1:20" ht="12.75" customHeight="1">
      <c r="A1421" s="26" t="s">
        <v>139</v>
      </c>
      <c r="B1421" s="26" t="s">
        <v>184</v>
      </c>
      <c r="C1421" s="1" t="s">
        <v>505</v>
      </c>
      <c r="D1421" s="25">
        <v>42522</v>
      </c>
      <c r="E1421" s="1">
        <f t="shared" si="83"/>
        <v>2016</v>
      </c>
      <c r="F1421" s="1">
        <f t="shared" si="85"/>
        <v>6</v>
      </c>
      <c r="G1421" s="4">
        <f t="shared" si="84"/>
        <v>1</v>
      </c>
      <c r="H1421" s="8">
        <v>0.51944444444444449</v>
      </c>
      <c r="I1421" s="22">
        <v>130.80099999999999</v>
      </c>
      <c r="J1421" s="22">
        <v>35.173166666666667</v>
      </c>
      <c r="K1421" s="27">
        <v>5</v>
      </c>
      <c r="L1421" s="27">
        <v>5</v>
      </c>
      <c r="M1421" s="9">
        <v>0</v>
      </c>
      <c r="N1421" s="21">
        <v>20.653312698412631</v>
      </c>
      <c r="O1421" s="24">
        <v>34.086897619047555</v>
      </c>
      <c r="P1421" s="31">
        <v>0.25750535411764774</v>
      </c>
      <c r="Q1421" s="31">
        <v>1.0073255011764726</v>
      </c>
      <c r="R1421" s="26" t="s">
        <v>280</v>
      </c>
      <c r="S1421" s="26"/>
      <c r="T1421" s="71" t="s">
        <v>626</v>
      </c>
    </row>
    <row r="1422" spans="1:20" ht="12.75" customHeight="1">
      <c r="A1422" s="26" t="s">
        <v>139</v>
      </c>
      <c r="B1422" s="26" t="s">
        <v>185</v>
      </c>
      <c r="C1422" s="1" t="s">
        <v>505</v>
      </c>
      <c r="D1422" s="25">
        <v>42522</v>
      </c>
      <c r="E1422" s="1">
        <f t="shared" si="83"/>
        <v>2016</v>
      </c>
      <c r="F1422" s="1">
        <f t="shared" si="85"/>
        <v>6</v>
      </c>
      <c r="G1422" s="4">
        <f t="shared" si="84"/>
        <v>1</v>
      </c>
      <c r="H1422" s="8">
        <v>0.65833333333333333</v>
      </c>
      <c r="I1422" s="22">
        <v>130.84483333333336</v>
      </c>
      <c r="J1422" s="22">
        <v>35.261666666666663</v>
      </c>
      <c r="K1422" s="27">
        <v>5</v>
      </c>
      <c r="L1422" s="27">
        <v>5</v>
      </c>
      <c r="M1422" s="9">
        <v>0</v>
      </c>
      <c r="N1422" s="21">
        <v>20.593312698412632</v>
      </c>
      <c r="O1422" s="24">
        <v>34.045230952380855</v>
      </c>
      <c r="P1422" s="31">
        <v>0.16989352117647094</v>
      </c>
      <c r="Q1422" s="31">
        <v>0.80680857176470511</v>
      </c>
      <c r="R1422" s="26" t="s">
        <v>280</v>
      </c>
      <c r="S1422" s="26"/>
      <c r="T1422" s="71" t="s">
        <v>626</v>
      </c>
    </row>
    <row r="1423" spans="1:20" ht="12.75" customHeight="1">
      <c r="A1423" s="26" t="s">
        <v>139</v>
      </c>
      <c r="B1423" s="26" t="s">
        <v>186</v>
      </c>
      <c r="C1423" s="1" t="s">
        <v>505</v>
      </c>
      <c r="D1423" s="25">
        <v>42522</v>
      </c>
      <c r="E1423" s="1">
        <f t="shared" si="83"/>
        <v>2016</v>
      </c>
      <c r="F1423" s="1">
        <f t="shared" si="85"/>
        <v>6</v>
      </c>
      <c r="G1423" s="4">
        <f t="shared" si="84"/>
        <v>1</v>
      </c>
      <c r="H1423" s="8">
        <v>0.82708333333333339</v>
      </c>
      <c r="I1423" s="22">
        <v>130.91966666666667</v>
      </c>
      <c r="J1423" s="22">
        <v>35.497499999999995</v>
      </c>
      <c r="K1423" s="27">
        <v>5</v>
      </c>
      <c r="L1423" s="27">
        <v>5</v>
      </c>
      <c r="M1423" s="9">
        <v>0</v>
      </c>
      <c r="N1423" s="21">
        <v>20.274979365079332</v>
      </c>
      <c r="O1423" s="24">
        <v>34.214564285714253</v>
      </c>
      <c r="P1423" s="31">
        <v>0.13671230823529479</v>
      </c>
      <c r="Q1423" s="31">
        <v>0.90835846235294326</v>
      </c>
      <c r="R1423" s="26" t="s">
        <v>280</v>
      </c>
      <c r="S1423" s="26"/>
      <c r="T1423" s="71" t="s">
        <v>626</v>
      </c>
    </row>
    <row r="1424" spans="1:20" ht="12.75" customHeight="1">
      <c r="A1424" s="26" t="s">
        <v>139</v>
      </c>
      <c r="B1424" s="26" t="s">
        <v>50</v>
      </c>
      <c r="C1424" s="1" t="s">
        <v>505</v>
      </c>
      <c r="D1424" s="25">
        <v>42523</v>
      </c>
      <c r="E1424" s="1">
        <f t="shared" si="83"/>
        <v>2016</v>
      </c>
      <c r="F1424" s="1">
        <f t="shared" si="85"/>
        <v>6</v>
      </c>
      <c r="G1424" s="4">
        <f t="shared" si="84"/>
        <v>2</v>
      </c>
      <c r="H1424" s="8">
        <v>0.29791666666666666</v>
      </c>
      <c r="I1424" s="22">
        <v>130.50033333333334</v>
      </c>
      <c r="J1424" s="22">
        <v>35.331333333333333</v>
      </c>
      <c r="K1424" s="27">
        <v>5</v>
      </c>
      <c r="L1424" s="27">
        <v>5</v>
      </c>
      <c r="M1424" s="9">
        <v>0</v>
      </c>
      <c r="N1424" s="21">
        <v>20.129979365079333</v>
      </c>
      <c r="O1424" s="24">
        <v>34.177730952380955</v>
      </c>
      <c r="P1424" s="31">
        <v>0.17977473529411792</v>
      </c>
      <c r="Q1424" s="31">
        <v>0.88465157294117702</v>
      </c>
      <c r="R1424" s="26" t="s">
        <v>280</v>
      </c>
      <c r="S1424" s="26"/>
      <c r="T1424" s="71" t="s">
        <v>626</v>
      </c>
    </row>
    <row r="1425" spans="1:20" ht="12.75" customHeight="1">
      <c r="A1425" s="26" t="s">
        <v>139</v>
      </c>
      <c r="B1425" s="26" t="s">
        <v>187</v>
      </c>
      <c r="C1425" s="1" t="s">
        <v>505</v>
      </c>
      <c r="D1425" s="25">
        <v>42523</v>
      </c>
      <c r="E1425" s="1">
        <f t="shared" si="83"/>
        <v>2016</v>
      </c>
      <c r="F1425" s="1">
        <f t="shared" si="85"/>
        <v>6</v>
      </c>
      <c r="G1425" s="4">
        <f t="shared" si="84"/>
        <v>2</v>
      </c>
      <c r="H1425" s="8">
        <v>0.34583333333333338</v>
      </c>
      <c r="I1425" s="22">
        <v>130.44833333333332</v>
      </c>
      <c r="J1425" s="22">
        <v>35.111999999999995</v>
      </c>
      <c r="K1425" s="27">
        <v>5</v>
      </c>
      <c r="L1425" s="27">
        <v>5</v>
      </c>
      <c r="M1425" s="9">
        <v>0</v>
      </c>
      <c r="N1425" s="21">
        <v>20.31997936507933</v>
      </c>
      <c r="O1425" s="24">
        <v>34.011897619047552</v>
      </c>
      <c r="P1425" s="31">
        <v>8.7522647058823511E-2</v>
      </c>
      <c r="Q1425" s="31">
        <v>0.63315036470588204</v>
      </c>
      <c r="R1425" s="26" t="s">
        <v>280</v>
      </c>
      <c r="S1425" s="26"/>
      <c r="T1425" s="71" t="s">
        <v>626</v>
      </c>
    </row>
    <row r="1426" spans="1:20" ht="12.75" customHeight="1">
      <c r="A1426" s="26" t="s">
        <v>139</v>
      </c>
      <c r="B1426" s="26" t="s">
        <v>188</v>
      </c>
      <c r="C1426" s="1" t="s">
        <v>505</v>
      </c>
      <c r="D1426" s="25">
        <v>42523</v>
      </c>
      <c r="E1426" s="1">
        <f t="shared" si="83"/>
        <v>2016</v>
      </c>
      <c r="F1426" s="1">
        <f t="shared" si="85"/>
        <v>6</v>
      </c>
      <c r="G1426" s="4">
        <f t="shared" si="84"/>
        <v>2</v>
      </c>
      <c r="H1426" s="8">
        <v>0.19444444444444445</v>
      </c>
      <c r="I1426" s="22">
        <v>130.45116666666667</v>
      </c>
      <c r="J1426" s="22">
        <v>34.941000000000003</v>
      </c>
      <c r="K1426" s="27">
        <v>5</v>
      </c>
      <c r="L1426" s="27">
        <v>5</v>
      </c>
      <c r="M1426" s="9">
        <v>0</v>
      </c>
      <c r="N1426" s="21">
        <v>20.238312698412631</v>
      </c>
      <c r="O1426" s="24">
        <v>34.159730952380954</v>
      </c>
      <c r="P1426" s="31">
        <v>0.19095117647058824</v>
      </c>
      <c r="Q1426" s="31">
        <v>0.91424405764705874</v>
      </c>
      <c r="R1426" s="26" t="s">
        <v>280</v>
      </c>
      <c r="S1426" s="26"/>
      <c r="T1426" s="71" t="s">
        <v>626</v>
      </c>
    </row>
    <row r="1427" spans="1:20" ht="12.75" customHeight="1">
      <c r="A1427" s="26" t="s">
        <v>139</v>
      </c>
      <c r="B1427" s="26" t="s">
        <v>51</v>
      </c>
      <c r="C1427" s="1" t="s">
        <v>505</v>
      </c>
      <c r="D1427" s="25">
        <v>42523</v>
      </c>
      <c r="E1427" s="1">
        <f t="shared" si="83"/>
        <v>2016</v>
      </c>
      <c r="F1427" s="1">
        <f t="shared" si="85"/>
        <v>6</v>
      </c>
      <c r="G1427" s="4">
        <f t="shared" si="84"/>
        <v>2</v>
      </c>
      <c r="H1427" s="8">
        <v>0.57847222222222217</v>
      </c>
      <c r="I1427" s="22">
        <v>130.44516666666667</v>
      </c>
      <c r="J1427" s="22">
        <v>34.756166666666665</v>
      </c>
      <c r="K1427" s="27">
        <v>5</v>
      </c>
      <c r="L1427" s="27">
        <v>5</v>
      </c>
      <c r="M1427" s="9">
        <v>0</v>
      </c>
      <c r="N1427" s="21">
        <v>20.433312698412632</v>
      </c>
      <c r="O1427" s="24">
        <v>34.117397619047551</v>
      </c>
      <c r="P1427" s="31">
        <v>0.11110970588235269</v>
      </c>
      <c r="Q1427" s="31">
        <v>0.83082711058823655</v>
      </c>
      <c r="R1427" s="26" t="s">
        <v>280</v>
      </c>
      <c r="S1427" s="26"/>
      <c r="T1427" s="71" t="s">
        <v>626</v>
      </c>
    </row>
    <row r="1428" spans="1:20" ht="12.75" customHeight="1">
      <c r="A1428" s="26" t="s">
        <v>139</v>
      </c>
      <c r="B1428" s="26" t="s">
        <v>189</v>
      </c>
      <c r="C1428" s="1" t="s">
        <v>505</v>
      </c>
      <c r="D1428" s="25">
        <v>42524</v>
      </c>
      <c r="E1428" s="1">
        <f t="shared" si="83"/>
        <v>2016</v>
      </c>
      <c r="F1428" s="1">
        <f t="shared" si="85"/>
        <v>6</v>
      </c>
      <c r="G1428" s="4">
        <f t="shared" si="84"/>
        <v>3</v>
      </c>
      <c r="H1428" s="8">
        <v>0.27638888888888885</v>
      </c>
      <c r="I1428" s="22">
        <v>130.48500000000001</v>
      </c>
      <c r="J1428" s="22">
        <v>34.659833333333339</v>
      </c>
      <c r="K1428" s="27">
        <v>5</v>
      </c>
      <c r="L1428" s="27">
        <v>5</v>
      </c>
      <c r="M1428" s="9">
        <v>0</v>
      </c>
      <c r="N1428" s="21">
        <v>20.091646031746031</v>
      </c>
      <c r="O1428" s="24">
        <v>33.886230952380956</v>
      </c>
      <c r="P1428" s="31">
        <v>7.780323529411759E-2</v>
      </c>
      <c r="Q1428" s="31">
        <v>0.51634348352941117</v>
      </c>
      <c r="R1428" s="26" t="s">
        <v>280</v>
      </c>
      <c r="S1428" s="26"/>
      <c r="T1428" s="71" t="s">
        <v>626</v>
      </c>
    </row>
    <row r="1429" spans="1:20" ht="12.75" customHeight="1">
      <c r="A1429" s="26" t="s">
        <v>139</v>
      </c>
      <c r="B1429" s="26" t="s">
        <v>190</v>
      </c>
      <c r="C1429" s="1" t="s">
        <v>505</v>
      </c>
      <c r="D1429" s="25">
        <v>42524</v>
      </c>
      <c r="E1429" s="1">
        <f t="shared" si="83"/>
        <v>2016</v>
      </c>
      <c r="F1429" s="1">
        <f t="shared" si="85"/>
        <v>6</v>
      </c>
      <c r="G1429" s="4">
        <f t="shared" si="84"/>
        <v>3</v>
      </c>
      <c r="H1429" s="8">
        <v>0.4916666666666667</v>
      </c>
      <c r="I1429" s="22">
        <v>130.56</v>
      </c>
      <c r="J1429" s="22">
        <v>34.573666666666668</v>
      </c>
      <c r="K1429" s="27">
        <v>5</v>
      </c>
      <c r="L1429" s="27">
        <v>5</v>
      </c>
      <c r="M1429" s="9">
        <v>0</v>
      </c>
      <c r="N1429" s="21">
        <v>20.401646031746033</v>
      </c>
      <c r="O1429" s="24">
        <v>33.747397619047554</v>
      </c>
      <c r="P1429" s="31">
        <v>2.727676470588225E-2</v>
      </c>
      <c r="Q1429" s="31">
        <v>0.33392607647058625</v>
      </c>
      <c r="R1429" s="26" t="s">
        <v>280</v>
      </c>
      <c r="S1429" s="26"/>
      <c r="T1429" s="71" t="s">
        <v>626</v>
      </c>
    </row>
    <row r="1430" spans="1:20" ht="12.75" customHeight="1">
      <c r="A1430" s="26" t="s">
        <v>139</v>
      </c>
      <c r="B1430" s="26" t="s">
        <v>52</v>
      </c>
      <c r="C1430" s="1" t="s">
        <v>505</v>
      </c>
      <c r="D1430" s="25">
        <v>42524</v>
      </c>
      <c r="E1430" s="1">
        <f t="shared" si="83"/>
        <v>2016</v>
      </c>
      <c r="F1430" s="1">
        <f t="shared" si="85"/>
        <v>6</v>
      </c>
      <c r="G1430" s="4">
        <f t="shared" si="84"/>
        <v>3</v>
      </c>
      <c r="H1430" s="8">
        <v>0.55902777777777779</v>
      </c>
      <c r="I1430" s="22">
        <v>130.46083333333334</v>
      </c>
      <c r="J1430" s="22">
        <v>34.295333333333332</v>
      </c>
      <c r="K1430" s="27">
        <v>5</v>
      </c>
      <c r="L1430" s="27">
        <v>5</v>
      </c>
      <c r="M1430" s="9">
        <v>0</v>
      </c>
      <c r="N1430" s="21">
        <v>20.72997936507933</v>
      </c>
      <c r="O1430" s="24">
        <v>34.233730952380952</v>
      </c>
      <c r="P1430" s="31">
        <v>0.16924529411764677</v>
      </c>
      <c r="Q1430" s="31">
        <v>1.113171189411764</v>
      </c>
      <c r="R1430" s="26" t="s">
        <v>280</v>
      </c>
      <c r="S1430" s="26"/>
      <c r="T1430" s="71" t="s">
        <v>626</v>
      </c>
    </row>
    <row r="1431" spans="1:20" ht="12.75" customHeight="1">
      <c r="A1431" s="26" t="s">
        <v>139</v>
      </c>
      <c r="B1431" s="26" t="s">
        <v>191</v>
      </c>
      <c r="C1431" s="1" t="s">
        <v>505</v>
      </c>
      <c r="D1431" s="25">
        <v>42524</v>
      </c>
      <c r="E1431" s="1">
        <f t="shared" si="83"/>
        <v>2016</v>
      </c>
      <c r="F1431" s="1">
        <f t="shared" si="85"/>
        <v>6</v>
      </c>
      <c r="G1431" s="4">
        <f t="shared" si="84"/>
        <v>3</v>
      </c>
      <c r="H1431" s="8">
        <v>0.67361111111111116</v>
      </c>
      <c r="I1431" s="22">
        <v>130.43533333333335</v>
      </c>
      <c r="J1431" s="22">
        <v>34.094500000000004</v>
      </c>
      <c r="K1431" s="27">
        <v>5</v>
      </c>
      <c r="L1431" s="27">
        <v>5</v>
      </c>
      <c r="M1431" s="9">
        <v>0</v>
      </c>
      <c r="N1431" s="21">
        <v>20.638312698412633</v>
      </c>
      <c r="O1431" s="24">
        <v>34.35973095238095</v>
      </c>
      <c r="P1431" s="31">
        <v>0.18534382352941137</v>
      </c>
      <c r="Q1431" s="31">
        <v>1.2047272223529397</v>
      </c>
      <c r="R1431" s="26" t="s">
        <v>280</v>
      </c>
      <c r="S1431" s="26"/>
      <c r="T1431" s="71" t="s">
        <v>626</v>
      </c>
    </row>
    <row r="1432" spans="1:20" ht="12.75" customHeight="1">
      <c r="A1432" s="26" t="s">
        <v>139</v>
      </c>
      <c r="B1432" s="26" t="s">
        <v>192</v>
      </c>
      <c r="C1432" s="1" t="s">
        <v>505</v>
      </c>
      <c r="D1432" s="25">
        <v>42525</v>
      </c>
      <c r="E1432" s="1">
        <f t="shared" si="83"/>
        <v>2016</v>
      </c>
      <c r="F1432" s="1">
        <f t="shared" si="85"/>
        <v>6</v>
      </c>
      <c r="G1432" s="4">
        <f t="shared" si="84"/>
        <v>4</v>
      </c>
      <c r="H1432" s="8">
        <v>0.31736111111111115</v>
      </c>
      <c r="I1432" s="22">
        <v>129.90816666666666</v>
      </c>
      <c r="J1432" s="22">
        <v>34.726166666666671</v>
      </c>
      <c r="K1432" s="27">
        <v>5</v>
      </c>
      <c r="L1432" s="27">
        <v>5</v>
      </c>
      <c r="M1432" s="9">
        <v>0</v>
      </c>
      <c r="N1432" s="21">
        <v>20.701646031746034</v>
      </c>
      <c r="O1432" s="24">
        <v>34.162730952380954</v>
      </c>
      <c r="P1432" s="31">
        <v>0.10808294117647055</v>
      </c>
      <c r="Q1432" s="31">
        <v>0.88247499411764707</v>
      </c>
      <c r="R1432" s="26" t="s">
        <v>280</v>
      </c>
      <c r="S1432" s="26"/>
      <c r="T1432" s="71" t="s">
        <v>626</v>
      </c>
    </row>
    <row r="1433" spans="1:20" ht="12.75" customHeight="1">
      <c r="A1433" s="26" t="s">
        <v>139</v>
      </c>
      <c r="B1433" s="26" t="s">
        <v>193</v>
      </c>
      <c r="C1433" s="1" t="s">
        <v>505</v>
      </c>
      <c r="D1433" s="25">
        <v>42525</v>
      </c>
      <c r="E1433" s="1">
        <f t="shared" si="83"/>
        <v>2016</v>
      </c>
      <c r="F1433" s="1">
        <f t="shared" si="85"/>
        <v>6</v>
      </c>
      <c r="G1433" s="4">
        <f t="shared" si="84"/>
        <v>4</v>
      </c>
      <c r="H1433" s="8">
        <v>0.31736111111111115</v>
      </c>
      <c r="I1433" s="22">
        <v>129.90816666666666</v>
      </c>
      <c r="J1433" s="22">
        <v>34.726166666666671</v>
      </c>
      <c r="K1433" s="27">
        <v>5</v>
      </c>
      <c r="L1433" s="27">
        <v>5</v>
      </c>
      <c r="M1433" s="9">
        <v>0</v>
      </c>
      <c r="N1433" s="21">
        <v>20.701646031746034</v>
      </c>
      <c r="O1433" s="24">
        <v>34.162730952380954</v>
      </c>
      <c r="P1433" s="31">
        <v>0.13504647058823527</v>
      </c>
      <c r="Q1433" s="31">
        <v>0.92895924705882393</v>
      </c>
      <c r="R1433" s="26" t="s">
        <v>280</v>
      </c>
      <c r="S1433" s="26"/>
      <c r="T1433" s="71" t="s">
        <v>626</v>
      </c>
    </row>
    <row r="1434" spans="1:20" ht="12.75" customHeight="1">
      <c r="A1434" s="26" t="s">
        <v>139</v>
      </c>
      <c r="B1434" s="26" t="s">
        <v>194</v>
      </c>
      <c r="C1434" s="1" t="s">
        <v>505</v>
      </c>
      <c r="D1434" s="25">
        <v>42525</v>
      </c>
      <c r="E1434" s="1">
        <f t="shared" si="83"/>
        <v>2016</v>
      </c>
      <c r="F1434" s="1">
        <f t="shared" si="85"/>
        <v>6</v>
      </c>
      <c r="G1434" s="4">
        <f t="shared" si="84"/>
        <v>4</v>
      </c>
      <c r="H1434" s="8">
        <v>0.4513888888888889</v>
      </c>
      <c r="I1434" s="22">
        <v>129.86566666666667</v>
      </c>
      <c r="J1434" s="22">
        <v>34.763833333333331</v>
      </c>
      <c r="K1434" s="27">
        <v>5</v>
      </c>
      <c r="L1434" s="27">
        <v>5</v>
      </c>
      <c r="M1434" s="9">
        <v>0</v>
      </c>
      <c r="N1434" s="21">
        <v>20.593312698412632</v>
      </c>
      <c r="O1434" s="24">
        <v>34.163064285714256</v>
      </c>
      <c r="P1434" s="31">
        <v>0.11239999999999939</v>
      </c>
      <c r="Q1434" s="31">
        <v>0.84534548000000065</v>
      </c>
      <c r="R1434" s="26" t="s">
        <v>280</v>
      </c>
      <c r="S1434" s="26"/>
      <c r="T1434" s="71" t="s">
        <v>626</v>
      </c>
    </row>
    <row r="1435" spans="1:20" ht="12.75" customHeight="1">
      <c r="A1435" s="26" t="s">
        <v>139</v>
      </c>
      <c r="B1435" s="26" t="s">
        <v>195</v>
      </c>
      <c r="C1435" s="1" t="s">
        <v>505</v>
      </c>
      <c r="D1435" s="25">
        <v>42525</v>
      </c>
      <c r="E1435" s="1">
        <f t="shared" si="83"/>
        <v>2016</v>
      </c>
      <c r="F1435" s="1">
        <f t="shared" si="85"/>
        <v>6</v>
      </c>
      <c r="G1435" s="4">
        <f t="shared" si="84"/>
        <v>4</v>
      </c>
      <c r="H1435" s="8">
        <v>0.5</v>
      </c>
      <c r="I1435" s="22">
        <v>130.08016666666666</v>
      </c>
      <c r="J1435" s="22">
        <v>34.907000000000004</v>
      </c>
      <c r="K1435" s="27">
        <v>5</v>
      </c>
      <c r="L1435" s="27">
        <v>5</v>
      </c>
      <c r="M1435" s="9">
        <v>0</v>
      </c>
      <c r="N1435" s="21">
        <v>20.546646031746032</v>
      </c>
      <c r="O1435" s="24">
        <v>34.02039761904755</v>
      </c>
      <c r="P1435" s="31">
        <v>8.3603529411764521E-2</v>
      </c>
      <c r="Q1435" s="31">
        <v>0.73535783294117785</v>
      </c>
      <c r="R1435" s="26" t="s">
        <v>280</v>
      </c>
      <c r="S1435" s="26"/>
      <c r="T1435" s="71" t="s">
        <v>626</v>
      </c>
    </row>
    <row r="1436" spans="1:20" ht="12.75" customHeight="1">
      <c r="A1436" s="26" t="s">
        <v>139</v>
      </c>
      <c r="B1436" s="26" t="s">
        <v>196</v>
      </c>
      <c r="C1436" s="1" t="s">
        <v>505</v>
      </c>
      <c r="D1436" s="25">
        <v>42525</v>
      </c>
      <c r="E1436" s="1">
        <f t="shared" si="83"/>
        <v>2016</v>
      </c>
      <c r="F1436" s="1">
        <f t="shared" si="85"/>
        <v>6</v>
      </c>
      <c r="G1436" s="4">
        <f t="shared" si="84"/>
        <v>4</v>
      </c>
      <c r="H1436" s="8">
        <v>0.61805555555555558</v>
      </c>
      <c r="I1436" s="22">
        <v>129.99549999999999</v>
      </c>
      <c r="J1436" s="22">
        <v>35.01466666666667</v>
      </c>
      <c r="K1436" s="27">
        <v>5</v>
      </c>
      <c r="L1436" s="27">
        <v>5</v>
      </c>
      <c r="M1436" s="9">
        <v>0</v>
      </c>
      <c r="N1436" s="21">
        <v>20.193312698412633</v>
      </c>
      <c r="O1436" s="24">
        <v>33.839064285714251</v>
      </c>
      <c r="P1436" s="31">
        <v>2.4672058823528964E-2</v>
      </c>
      <c r="Q1436" s="31">
        <v>0.37206284588235228</v>
      </c>
      <c r="R1436" s="26" t="s">
        <v>280</v>
      </c>
      <c r="S1436" s="26"/>
      <c r="T1436" s="71" t="s">
        <v>626</v>
      </c>
    </row>
    <row r="1437" spans="1:20" ht="12.75" customHeight="1">
      <c r="A1437" s="26" t="s">
        <v>139</v>
      </c>
      <c r="B1437" s="26" t="s">
        <v>197</v>
      </c>
      <c r="C1437" s="1" t="s">
        <v>505</v>
      </c>
      <c r="D1437" s="25">
        <v>42526</v>
      </c>
      <c r="E1437" s="1">
        <f t="shared" si="83"/>
        <v>2016</v>
      </c>
      <c r="F1437" s="1">
        <f t="shared" si="85"/>
        <v>6</v>
      </c>
      <c r="G1437" s="4">
        <f t="shared" si="84"/>
        <v>5</v>
      </c>
      <c r="H1437" s="8">
        <v>0.3444444444444445</v>
      </c>
      <c r="I1437" s="22">
        <v>129.9195</v>
      </c>
      <c r="J1437" s="22">
        <v>34.470333333333329</v>
      </c>
      <c r="K1437" s="27">
        <v>5</v>
      </c>
      <c r="L1437" s="27">
        <v>5</v>
      </c>
      <c r="M1437" s="9">
        <v>0</v>
      </c>
      <c r="N1437" s="21">
        <v>20.241646031746033</v>
      </c>
      <c r="O1437" s="24">
        <v>33.658064285714254</v>
      </c>
      <c r="P1437" s="31">
        <v>6.8445588235293897E-2</v>
      </c>
      <c r="Q1437" s="31">
        <v>0.40004601882352908</v>
      </c>
      <c r="R1437" s="26" t="s">
        <v>280</v>
      </c>
      <c r="S1437" s="26"/>
      <c r="T1437" s="71" t="s">
        <v>626</v>
      </c>
    </row>
    <row r="1438" spans="1:20" ht="12.75" customHeight="1">
      <c r="A1438" s="26" t="s">
        <v>139</v>
      </c>
      <c r="B1438" s="26" t="s">
        <v>198</v>
      </c>
      <c r="C1438" s="1" t="s">
        <v>505</v>
      </c>
      <c r="D1438" s="25">
        <v>42526</v>
      </c>
      <c r="E1438" s="1">
        <f t="shared" si="83"/>
        <v>2016</v>
      </c>
      <c r="F1438" s="1">
        <f t="shared" si="85"/>
        <v>6</v>
      </c>
      <c r="G1438" s="4">
        <f t="shared" si="84"/>
        <v>5</v>
      </c>
      <c r="H1438" s="8">
        <v>0.46666666666666662</v>
      </c>
      <c r="I1438" s="22">
        <v>129.9495</v>
      </c>
      <c r="J1438" s="22">
        <v>34.304499999999997</v>
      </c>
      <c r="K1438" s="27">
        <v>5</v>
      </c>
      <c r="L1438" s="27">
        <v>5</v>
      </c>
      <c r="M1438" s="9">
        <v>0</v>
      </c>
      <c r="N1438" s="21">
        <v>20.488312698412631</v>
      </c>
      <c r="O1438" s="24">
        <v>33.486730952380952</v>
      </c>
      <c r="P1438" s="31">
        <v>5.8714117647058695E-2</v>
      </c>
      <c r="Q1438" s="31">
        <v>0.16251901176470618</v>
      </c>
      <c r="R1438" s="26" t="s">
        <v>280</v>
      </c>
      <c r="S1438" s="26"/>
      <c r="T1438" s="71" t="s">
        <v>626</v>
      </c>
    </row>
    <row r="1439" spans="1:20" ht="12.75" customHeight="1">
      <c r="A1439" s="26" t="s">
        <v>139</v>
      </c>
      <c r="B1439" s="26" t="s">
        <v>199</v>
      </c>
      <c r="C1439" s="1" t="s">
        <v>505</v>
      </c>
      <c r="D1439" s="25">
        <v>42526</v>
      </c>
      <c r="E1439" s="1">
        <f t="shared" si="83"/>
        <v>2016</v>
      </c>
      <c r="F1439" s="1">
        <f t="shared" si="85"/>
        <v>6</v>
      </c>
      <c r="G1439" s="4">
        <f t="shared" si="84"/>
        <v>5</v>
      </c>
      <c r="H1439" s="8">
        <v>0.51388888888888895</v>
      </c>
      <c r="I1439" s="22">
        <v>129.93800000000002</v>
      </c>
      <c r="J1439" s="22">
        <v>34.100166666666674</v>
      </c>
      <c r="K1439" s="27">
        <v>5</v>
      </c>
      <c r="L1439" s="27">
        <v>5</v>
      </c>
      <c r="M1439" s="9">
        <v>0</v>
      </c>
      <c r="N1439" s="21">
        <v>20.251646031746031</v>
      </c>
      <c r="O1439" s="24">
        <v>33.208564285714253</v>
      </c>
      <c r="P1439" s="31">
        <v>-4.7777352941176465E-2</v>
      </c>
      <c r="Q1439" s="31">
        <v>-0.32359165529411804</v>
      </c>
      <c r="R1439" s="26" t="s">
        <v>280</v>
      </c>
      <c r="S1439" s="26"/>
      <c r="T1439" s="71" t="s">
        <v>626</v>
      </c>
    </row>
    <row r="1440" spans="1:20" ht="12.75" customHeight="1">
      <c r="A1440" s="26" t="s">
        <v>139</v>
      </c>
      <c r="B1440" s="26" t="s">
        <v>200</v>
      </c>
      <c r="C1440" s="1" t="s">
        <v>505</v>
      </c>
      <c r="D1440" s="25">
        <v>42526</v>
      </c>
      <c r="E1440" s="1">
        <f t="shared" si="83"/>
        <v>2016</v>
      </c>
      <c r="F1440" s="1">
        <f t="shared" si="85"/>
        <v>6</v>
      </c>
      <c r="G1440" s="4">
        <f t="shared" si="84"/>
        <v>5</v>
      </c>
      <c r="H1440" s="8">
        <v>0.68402777777777779</v>
      </c>
      <c r="I1440" s="22">
        <v>129.935</v>
      </c>
      <c r="J1440" s="22">
        <v>33.914833333333334</v>
      </c>
      <c r="K1440" s="27">
        <v>5</v>
      </c>
      <c r="L1440" s="27">
        <v>5</v>
      </c>
      <c r="M1440" s="9">
        <v>0</v>
      </c>
      <c r="N1440" s="21">
        <v>20.52164603174603</v>
      </c>
      <c r="O1440" s="24">
        <v>33.900730952380954</v>
      </c>
      <c r="P1440" s="31">
        <v>0.12027990588235316</v>
      </c>
      <c r="Q1440" s="31">
        <v>0.63456917647059008</v>
      </c>
      <c r="R1440" s="26" t="s">
        <v>280</v>
      </c>
      <c r="S1440" s="26"/>
      <c r="T1440" s="71" t="s">
        <v>626</v>
      </c>
    </row>
    <row r="1441" spans="1:20" ht="12.75" customHeight="1">
      <c r="A1441" s="26" t="s">
        <v>139</v>
      </c>
      <c r="B1441" s="26" t="s">
        <v>201</v>
      </c>
      <c r="C1441" s="1" t="s">
        <v>505</v>
      </c>
      <c r="D1441" s="25">
        <v>42527</v>
      </c>
      <c r="E1441" s="1">
        <f t="shared" si="83"/>
        <v>2016</v>
      </c>
      <c r="F1441" s="1">
        <f t="shared" si="85"/>
        <v>6</v>
      </c>
      <c r="G1441" s="4">
        <f t="shared" si="84"/>
        <v>6</v>
      </c>
      <c r="H1441" s="8">
        <v>0.35000000000000003</v>
      </c>
      <c r="I1441" s="22">
        <v>128.94233333333335</v>
      </c>
      <c r="J1441" s="22">
        <v>33.974833333333329</v>
      </c>
      <c r="K1441" s="27">
        <v>5</v>
      </c>
      <c r="L1441" s="27">
        <v>5</v>
      </c>
      <c r="M1441" s="9">
        <v>0</v>
      </c>
      <c r="N1441" s="21">
        <v>20.574979365079333</v>
      </c>
      <c r="O1441" s="24">
        <v>32.80323095238095</v>
      </c>
      <c r="P1441" s="31">
        <v>-2.2428272941176663E-2</v>
      </c>
      <c r="Q1441" s="31">
        <v>-0.76654258823529275</v>
      </c>
      <c r="R1441" s="26" t="s">
        <v>280</v>
      </c>
      <c r="S1441" s="26"/>
      <c r="T1441" s="71" t="s">
        <v>626</v>
      </c>
    </row>
    <row r="1442" spans="1:20" ht="12.75" customHeight="1">
      <c r="A1442" s="26" t="s">
        <v>139</v>
      </c>
      <c r="B1442" s="26" t="s">
        <v>202</v>
      </c>
      <c r="C1442" s="1" t="s">
        <v>505</v>
      </c>
      <c r="D1442" s="25">
        <v>42527</v>
      </c>
      <c r="E1442" s="1">
        <f t="shared" si="83"/>
        <v>2016</v>
      </c>
      <c r="F1442" s="1">
        <f t="shared" si="85"/>
        <v>6</v>
      </c>
      <c r="G1442" s="4">
        <f t="shared" si="84"/>
        <v>6</v>
      </c>
      <c r="H1442" s="8">
        <v>0.49374999999999997</v>
      </c>
      <c r="I1442" s="22">
        <v>129.24533333333332</v>
      </c>
      <c r="J1442" s="22">
        <v>33.913499999999999</v>
      </c>
      <c r="K1442" s="27">
        <v>5</v>
      </c>
      <c r="L1442" s="27">
        <v>5</v>
      </c>
      <c r="M1442" s="9">
        <v>0</v>
      </c>
      <c r="N1442" s="21">
        <v>20.541646031746033</v>
      </c>
      <c r="O1442" s="24">
        <v>33.730730952380952</v>
      </c>
      <c r="P1442" s="31">
        <v>0.16941266823529433</v>
      </c>
      <c r="Q1442" s="31">
        <v>0.38642164705882287</v>
      </c>
      <c r="R1442" s="26" t="s">
        <v>280</v>
      </c>
      <c r="S1442" s="26"/>
      <c r="T1442" s="71" t="s">
        <v>626</v>
      </c>
    </row>
    <row r="1443" spans="1:20" ht="12.75" customHeight="1">
      <c r="A1443" s="26" t="s">
        <v>139</v>
      </c>
      <c r="B1443" s="26" t="s">
        <v>203</v>
      </c>
      <c r="C1443" s="1" t="s">
        <v>505</v>
      </c>
      <c r="D1443" s="25">
        <v>42527</v>
      </c>
      <c r="E1443" s="1">
        <f t="shared" si="83"/>
        <v>2016</v>
      </c>
      <c r="F1443" s="1">
        <f t="shared" si="85"/>
        <v>6</v>
      </c>
      <c r="G1443" s="4">
        <f t="shared" si="84"/>
        <v>6</v>
      </c>
      <c r="H1443" s="8">
        <v>0.55555555555555558</v>
      </c>
      <c r="I1443" s="22">
        <v>129.3115</v>
      </c>
      <c r="J1443" s="22">
        <v>33.648166666666661</v>
      </c>
      <c r="K1443" s="27">
        <v>5</v>
      </c>
      <c r="L1443" s="27">
        <v>5</v>
      </c>
      <c r="M1443" s="9">
        <v>0</v>
      </c>
      <c r="N1443" s="21">
        <v>20.561646031746033</v>
      </c>
      <c r="O1443" s="24">
        <v>33.893730952380857</v>
      </c>
      <c r="P1443" s="15">
        <v>0.40690160941176479</v>
      </c>
      <c r="Q1443" s="15">
        <v>1.0309618823529423</v>
      </c>
      <c r="R1443" s="26" t="s">
        <v>280</v>
      </c>
      <c r="S1443" s="26"/>
      <c r="T1443" s="71" t="s">
        <v>626</v>
      </c>
    </row>
    <row r="1444" spans="1:20" ht="12.75" customHeight="1">
      <c r="A1444" s="26" t="s">
        <v>139</v>
      </c>
      <c r="B1444" s="26" t="s">
        <v>204</v>
      </c>
      <c r="C1444" s="1" t="s">
        <v>505</v>
      </c>
      <c r="D1444" s="25">
        <v>42527</v>
      </c>
      <c r="E1444" s="1">
        <f t="shared" ref="E1444:E1507" si="86">YEAR(D1444)</f>
        <v>2016</v>
      </c>
      <c r="F1444" s="1">
        <f t="shared" si="85"/>
        <v>6</v>
      </c>
      <c r="G1444" s="4">
        <f t="shared" ref="G1444:G1507" si="87">DAY(D1444)</f>
        <v>6</v>
      </c>
      <c r="H1444" s="8">
        <v>0.73819444444444438</v>
      </c>
      <c r="I1444" s="22">
        <v>129.0735</v>
      </c>
      <c r="J1444" s="22">
        <v>33.450333333333333</v>
      </c>
      <c r="K1444" s="27">
        <v>5</v>
      </c>
      <c r="L1444" s="27">
        <v>5</v>
      </c>
      <c r="M1444" s="9">
        <v>0</v>
      </c>
      <c r="N1444" s="21">
        <v>20.281646031746032</v>
      </c>
      <c r="O1444" s="24">
        <v>33.949430952380951</v>
      </c>
      <c r="P1444" s="31">
        <v>0.14408847058823526</v>
      </c>
      <c r="Q1444" s="31">
        <v>0.70393011764705804</v>
      </c>
      <c r="R1444" s="26" t="s">
        <v>280</v>
      </c>
      <c r="S1444" s="26"/>
      <c r="T1444" s="71" t="s">
        <v>626</v>
      </c>
    </row>
    <row r="1445" spans="1:20" ht="12.75" customHeight="1">
      <c r="A1445" s="26" t="s">
        <v>139</v>
      </c>
      <c r="B1445" s="26" t="s">
        <v>205</v>
      </c>
      <c r="C1445" s="1" t="s">
        <v>505</v>
      </c>
      <c r="D1445" s="25">
        <v>42528</v>
      </c>
      <c r="E1445" s="1">
        <f t="shared" si="86"/>
        <v>2016</v>
      </c>
      <c r="F1445" s="1">
        <f t="shared" si="85"/>
        <v>6</v>
      </c>
      <c r="G1445" s="4">
        <f t="shared" si="87"/>
        <v>7</v>
      </c>
      <c r="H1445" s="8">
        <v>0.34861111111111115</v>
      </c>
      <c r="I1445" s="22">
        <v>128.41566666666668</v>
      </c>
      <c r="J1445" s="22">
        <v>33.549833333333332</v>
      </c>
      <c r="K1445" s="27">
        <v>5</v>
      </c>
      <c r="L1445" s="27">
        <v>5</v>
      </c>
      <c r="M1445" s="9">
        <v>0</v>
      </c>
      <c r="N1445" s="21">
        <v>21.230217460317434</v>
      </c>
      <c r="O1445" s="24">
        <v>33.250230952380953</v>
      </c>
      <c r="P1445" s="31">
        <v>-2.5196988235294482E-2</v>
      </c>
      <c r="Q1445" s="31">
        <v>-0.37476164705882375</v>
      </c>
      <c r="R1445" s="26" t="s">
        <v>280</v>
      </c>
      <c r="S1445" s="26"/>
      <c r="T1445" s="71" t="s">
        <v>626</v>
      </c>
    </row>
    <row r="1446" spans="1:20" ht="12.75" customHeight="1">
      <c r="A1446" s="26" t="s">
        <v>139</v>
      </c>
      <c r="B1446" s="26" t="s">
        <v>206</v>
      </c>
      <c r="C1446" s="1" t="s">
        <v>505</v>
      </c>
      <c r="D1446" s="25">
        <v>42528</v>
      </c>
      <c r="E1446" s="1">
        <f t="shared" si="86"/>
        <v>2016</v>
      </c>
      <c r="F1446" s="1">
        <f t="shared" si="85"/>
        <v>6</v>
      </c>
      <c r="G1446" s="4">
        <f t="shared" si="87"/>
        <v>7</v>
      </c>
      <c r="H1446" s="8">
        <v>0.46319444444444446</v>
      </c>
      <c r="I1446" s="22">
        <v>128.31550000000001</v>
      </c>
      <c r="J1446" s="22">
        <v>33.477999999999994</v>
      </c>
      <c r="K1446" s="27">
        <v>5</v>
      </c>
      <c r="L1446" s="27">
        <v>5</v>
      </c>
      <c r="M1446" s="9">
        <v>0</v>
      </c>
      <c r="N1446" s="21">
        <v>21.133646031746032</v>
      </c>
      <c r="O1446" s="24">
        <v>33.086630952380951</v>
      </c>
      <c r="P1446" s="31">
        <v>-2.7309327058823385E-2</v>
      </c>
      <c r="Q1446" s="31">
        <v>-0.51990541176470551</v>
      </c>
      <c r="R1446" s="26" t="s">
        <v>280</v>
      </c>
      <c r="S1446" s="26"/>
      <c r="T1446" s="71" t="s">
        <v>626</v>
      </c>
    </row>
    <row r="1447" spans="1:20" ht="12.75" customHeight="1">
      <c r="A1447" s="26" t="s">
        <v>139</v>
      </c>
      <c r="B1447" s="26" t="s">
        <v>207</v>
      </c>
      <c r="C1447" s="1" t="s">
        <v>505</v>
      </c>
      <c r="D1447" s="25">
        <v>42528</v>
      </c>
      <c r="E1447" s="1">
        <f t="shared" si="86"/>
        <v>2016</v>
      </c>
      <c r="F1447" s="1">
        <f t="shared" si="85"/>
        <v>6</v>
      </c>
      <c r="G1447" s="4">
        <f t="shared" si="87"/>
        <v>7</v>
      </c>
      <c r="H1447" s="8">
        <v>0.53333333333333333</v>
      </c>
      <c r="I1447" s="22">
        <v>128.46016666666668</v>
      </c>
      <c r="J1447" s="22">
        <v>33.268833333333333</v>
      </c>
      <c r="K1447" s="27">
        <v>5</v>
      </c>
      <c r="L1447" s="27">
        <v>5</v>
      </c>
      <c r="M1447" s="9">
        <v>0</v>
      </c>
      <c r="N1447" s="21">
        <v>21.689646031746033</v>
      </c>
      <c r="O1447" s="24">
        <v>33.848230952380952</v>
      </c>
      <c r="P1447" s="31">
        <v>9.449027764705864E-2</v>
      </c>
      <c r="Q1447" s="31">
        <v>0.40499552941176553</v>
      </c>
      <c r="R1447" s="26" t="s">
        <v>280</v>
      </c>
      <c r="S1447" s="26"/>
      <c r="T1447" s="71" t="s">
        <v>626</v>
      </c>
    </row>
    <row r="1448" spans="1:20" ht="12.75" customHeight="1">
      <c r="A1448" s="26" t="s">
        <v>139</v>
      </c>
      <c r="B1448" s="26" t="s">
        <v>208</v>
      </c>
      <c r="C1448" s="1" t="s">
        <v>505</v>
      </c>
      <c r="D1448" s="25">
        <v>42528</v>
      </c>
      <c r="E1448" s="1">
        <f t="shared" si="86"/>
        <v>2016</v>
      </c>
      <c r="F1448" s="1">
        <f t="shared" si="85"/>
        <v>6</v>
      </c>
      <c r="G1448" s="4">
        <f t="shared" si="87"/>
        <v>7</v>
      </c>
      <c r="H1448" s="8">
        <v>0.72083333333333333</v>
      </c>
      <c r="I1448" s="22">
        <v>128.60133333333334</v>
      </c>
      <c r="J1448" s="22">
        <v>33.067500000000003</v>
      </c>
      <c r="K1448" s="27">
        <v>5</v>
      </c>
      <c r="L1448" s="27">
        <v>5</v>
      </c>
      <c r="M1448" s="9">
        <v>0</v>
      </c>
      <c r="N1448" s="21">
        <v>21.948788888888831</v>
      </c>
      <c r="O1448" s="24">
        <v>33.707088095238056</v>
      </c>
      <c r="P1448" s="31">
        <v>7.8784978823529306E-2</v>
      </c>
      <c r="Q1448" s="31">
        <v>0.38156776470588305</v>
      </c>
      <c r="R1448" s="26" t="s">
        <v>280</v>
      </c>
      <c r="S1448" s="26"/>
      <c r="T1448" s="71" t="s">
        <v>626</v>
      </c>
    </row>
    <row r="1449" spans="1:20" ht="12.75" customHeight="1">
      <c r="A1449" s="26" t="s">
        <v>139</v>
      </c>
      <c r="B1449" s="26" t="s">
        <v>209</v>
      </c>
      <c r="C1449" s="1" t="s">
        <v>505</v>
      </c>
      <c r="D1449" s="25">
        <v>42529</v>
      </c>
      <c r="E1449" s="1">
        <f t="shared" si="86"/>
        <v>2016</v>
      </c>
      <c r="F1449" s="1">
        <f t="shared" si="85"/>
        <v>6</v>
      </c>
      <c r="G1449" s="4">
        <f t="shared" si="87"/>
        <v>8</v>
      </c>
      <c r="H1449" s="8">
        <v>0.35000000000000003</v>
      </c>
      <c r="I1449" s="22">
        <v>127.99033333333334</v>
      </c>
      <c r="J1449" s="22">
        <v>32.744</v>
      </c>
      <c r="K1449" s="27">
        <v>5</v>
      </c>
      <c r="L1449" s="27">
        <v>5</v>
      </c>
      <c r="M1449" s="9">
        <v>0</v>
      </c>
      <c r="N1449" s="21">
        <v>22.824979365079333</v>
      </c>
      <c r="O1449" s="24">
        <v>34.246064285714255</v>
      </c>
      <c r="P1449" s="31">
        <v>0.18217023999999959</v>
      </c>
      <c r="Q1449" s="31">
        <v>0.98730000000000295</v>
      </c>
      <c r="R1449" s="26" t="s">
        <v>280</v>
      </c>
      <c r="S1449" s="26"/>
      <c r="T1449" s="71" t="s">
        <v>626</v>
      </c>
    </row>
    <row r="1450" spans="1:20" ht="12.75" customHeight="1">
      <c r="A1450" s="26" t="s">
        <v>139</v>
      </c>
      <c r="B1450" s="26" t="s">
        <v>210</v>
      </c>
      <c r="C1450" s="1" t="s">
        <v>505</v>
      </c>
      <c r="D1450" s="25">
        <v>42529</v>
      </c>
      <c r="E1450" s="1">
        <f t="shared" si="86"/>
        <v>2016</v>
      </c>
      <c r="F1450" s="1">
        <f t="shared" si="85"/>
        <v>6</v>
      </c>
      <c r="G1450" s="4">
        <f t="shared" si="87"/>
        <v>8</v>
      </c>
      <c r="H1450" s="8">
        <v>0.46527777777777773</v>
      </c>
      <c r="I1450" s="22">
        <v>128.02083333333334</v>
      </c>
      <c r="J1450" s="22">
        <v>32.682000000000002</v>
      </c>
      <c r="K1450" s="27">
        <v>5</v>
      </c>
      <c r="L1450" s="27">
        <v>5</v>
      </c>
      <c r="M1450" s="9">
        <v>0</v>
      </c>
      <c r="N1450" s="21">
        <v>22.69497936507933</v>
      </c>
      <c r="O1450" s="24">
        <v>34.188397619047556</v>
      </c>
      <c r="P1450" s="31">
        <v>0.36873630117647038</v>
      </c>
      <c r="Q1450" s="31">
        <v>1.3405842352941164</v>
      </c>
      <c r="R1450" s="26" t="s">
        <v>280</v>
      </c>
      <c r="S1450" s="26"/>
      <c r="T1450" s="71" t="s">
        <v>626</v>
      </c>
    </row>
    <row r="1451" spans="1:20" ht="12.75" customHeight="1">
      <c r="A1451" s="26" t="s">
        <v>139</v>
      </c>
      <c r="B1451" s="26" t="s">
        <v>211</v>
      </c>
      <c r="C1451" s="1" t="s">
        <v>505</v>
      </c>
      <c r="D1451" s="25">
        <v>42529</v>
      </c>
      <c r="E1451" s="1">
        <f t="shared" si="86"/>
        <v>2016</v>
      </c>
      <c r="F1451" s="1">
        <f t="shared" si="85"/>
        <v>6</v>
      </c>
      <c r="G1451" s="4">
        <f t="shared" si="87"/>
        <v>8</v>
      </c>
      <c r="H1451" s="8">
        <v>0.53749999999999998</v>
      </c>
      <c r="I1451" s="22">
        <v>128.27000000000001</v>
      </c>
      <c r="J1451" s="22">
        <v>32.67</v>
      </c>
      <c r="K1451" s="27">
        <v>5</v>
      </c>
      <c r="L1451" s="27">
        <v>5</v>
      </c>
      <c r="M1451" s="9">
        <v>0</v>
      </c>
      <c r="N1451" s="21">
        <v>22.038312698412632</v>
      </c>
      <c r="O1451" s="24">
        <v>34.130730952380951</v>
      </c>
      <c r="P1451" s="31">
        <v>0.28202300235294087</v>
      </c>
      <c r="Q1451" s="31">
        <v>1.022372470588234</v>
      </c>
      <c r="R1451" s="26" t="s">
        <v>280</v>
      </c>
      <c r="S1451" s="26"/>
      <c r="T1451" s="71" t="s">
        <v>626</v>
      </c>
    </row>
    <row r="1452" spans="1:20" ht="12.75" customHeight="1">
      <c r="A1452" s="26" t="s">
        <v>139</v>
      </c>
      <c r="B1452" s="26" t="s">
        <v>212</v>
      </c>
      <c r="C1452" s="1" t="s">
        <v>505</v>
      </c>
      <c r="D1452" s="25">
        <v>42529</v>
      </c>
      <c r="E1452" s="1">
        <f t="shared" si="86"/>
        <v>2016</v>
      </c>
      <c r="F1452" s="1">
        <f t="shared" si="85"/>
        <v>6</v>
      </c>
      <c r="G1452" s="4">
        <f t="shared" si="87"/>
        <v>8</v>
      </c>
      <c r="H1452" s="8">
        <v>0.6645833333333333</v>
      </c>
      <c r="I1452" s="22">
        <v>128.55000000000001</v>
      </c>
      <c r="J1452" s="22">
        <v>32.67</v>
      </c>
      <c r="K1452" s="27">
        <v>5</v>
      </c>
      <c r="L1452" s="27">
        <v>5</v>
      </c>
      <c r="M1452" s="9">
        <v>0</v>
      </c>
      <c r="N1452" s="21">
        <v>21.629979365079333</v>
      </c>
      <c r="O1452" s="24">
        <v>34.063230952380856</v>
      </c>
      <c r="P1452" s="31">
        <v>0.17806490352941218</v>
      </c>
      <c r="Q1452" s="31">
        <v>0.97640470588235218</v>
      </c>
      <c r="R1452" s="26" t="s">
        <v>280</v>
      </c>
      <c r="S1452" s="26"/>
      <c r="T1452" s="71" t="s">
        <v>626</v>
      </c>
    </row>
    <row r="1453" spans="1:20" ht="12.75" customHeight="1">
      <c r="A1453" s="26" t="s">
        <v>141</v>
      </c>
      <c r="B1453" s="26" t="s">
        <v>228</v>
      </c>
      <c r="C1453" s="26" t="s">
        <v>505</v>
      </c>
      <c r="D1453" s="25">
        <v>42618</v>
      </c>
      <c r="E1453" s="1">
        <f t="shared" si="86"/>
        <v>2016</v>
      </c>
      <c r="F1453" s="1">
        <f t="shared" si="85"/>
        <v>9</v>
      </c>
      <c r="G1453" s="4">
        <f t="shared" si="87"/>
        <v>5</v>
      </c>
      <c r="H1453" s="6">
        <v>0.7003935185185185</v>
      </c>
      <c r="I1453" s="22">
        <v>130.17683333333332</v>
      </c>
      <c r="J1453" s="22">
        <v>34.5</v>
      </c>
      <c r="K1453" s="27">
        <v>0</v>
      </c>
      <c r="L1453" s="27">
        <v>0</v>
      </c>
      <c r="M1453" s="27">
        <v>0</v>
      </c>
      <c r="N1453" s="21">
        <v>25.1</v>
      </c>
      <c r="O1453" s="24">
        <v>32.213365801636783</v>
      </c>
      <c r="P1453" s="31">
        <v>-0.2851459317647056</v>
      </c>
      <c r="Q1453" s="31">
        <v>-1.9723491588235298</v>
      </c>
      <c r="R1453" s="26" t="s">
        <v>280</v>
      </c>
      <c r="S1453" s="26">
        <v>1</v>
      </c>
      <c r="T1453" s="71" t="s">
        <v>626</v>
      </c>
    </row>
    <row r="1454" spans="1:20" ht="12.75" customHeight="1">
      <c r="A1454" s="26" t="s">
        <v>141</v>
      </c>
      <c r="B1454" s="26" t="s">
        <v>228</v>
      </c>
      <c r="C1454" s="26" t="s">
        <v>504</v>
      </c>
      <c r="D1454" s="25">
        <v>42618</v>
      </c>
      <c r="E1454" s="1">
        <f t="shared" si="86"/>
        <v>2016</v>
      </c>
      <c r="F1454" s="1">
        <f t="shared" si="85"/>
        <v>9</v>
      </c>
      <c r="G1454" s="4">
        <f t="shared" si="87"/>
        <v>5</v>
      </c>
      <c r="H1454" s="6">
        <v>0.7003935185185185</v>
      </c>
      <c r="I1454" s="22">
        <v>130.17683333333332</v>
      </c>
      <c r="J1454" s="22">
        <v>34.5</v>
      </c>
      <c r="K1454" s="27">
        <v>10.009</v>
      </c>
      <c r="L1454" s="27">
        <v>10</v>
      </c>
      <c r="M1454" s="27">
        <v>0</v>
      </c>
      <c r="N1454" s="21">
        <v>25.540199999999999</v>
      </c>
      <c r="O1454" s="24">
        <v>32.236499999999999</v>
      </c>
      <c r="P1454" s="31">
        <v>-0.22579658352941201</v>
      </c>
      <c r="Q1454" s="31">
        <v>-1.708291017647058</v>
      </c>
      <c r="R1454" s="26" t="s">
        <v>280</v>
      </c>
      <c r="S1454" s="26">
        <v>1</v>
      </c>
      <c r="T1454" s="71" t="s">
        <v>626</v>
      </c>
    </row>
    <row r="1455" spans="1:20" ht="12.75" customHeight="1">
      <c r="A1455" s="26" t="s">
        <v>141</v>
      </c>
      <c r="B1455" s="26" t="s">
        <v>228</v>
      </c>
      <c r="C1455" s="26" t="s">
        <v>504</v>
      </c>
      <c r="D1455" s="25">
        <v>42618</v>
      </c>
      <c r="E1455" s="1">
        <f t="shared" si="86"/>
        <v>2016</v>
      </c>
      <c r="F1455" s="1">
        <f t="shared" si="85"/>
        <v>9</v>
      </c>
      <c r="G1455" s="4">
        <f t="shared" si="87"/>
        <v>5</v>
      </c>
      <c r="H1455" s="6">
        <v>0.7003935185185185</v>
      </c>
      <c r="I1455" s="22">
        <v>130.17683333333332</v>
      </c>
      <c r="J1455" s="22">
        <v>34.5</v>
      </c>
      <c r="K1455" s="27">
        <v>20.206</v>
      </c>
      <c r="L1455" s="27">
        <v>20</v>
      </c>
      <c r="M1455" s="27">
        <v>0</v>
      </c>
      <c r="N1455" s="21">
        <v>25.502199999999998</v>
      </c>
      <c r="O1455" s="24">
        <v>32.380800000000001</v>
      </c>
      <c r="P1455" s="31">
        <v>-0.17747835529411748</v>
      </c>
      <c r="Q1455" s="31">
        <v>-1.4214620764705881</v>
      </c>
      <c r="R1455" s="26" t="s">
        <v>280</v>
      </c>
      <c r="S1455" s="26">
        <v>1</v>
      </c>
      <c r="T1455" s="71" t="s">
        <v>626</v>
      </c>
    </row>
    <row r="1456" spans="1:20" ht="12.75" customHeight="1">
      <c r="A1456" s="26" t="s">
        <v>141</v>
      </c>
      <c r="B1456" s="26" t="s">
        <v>228</v>
      </c>
      <c r="C1456" s="26" t="s">
        <v>504</v>
      </c>
      <c r="D1456" s="25">
        <v>42618</v>
      </c>
      <c r="E1456" s="1">
        <f t="shared" si="86"/>
        <v>2016</v>
      </c>
      <c r="F1456" s="1">
        <f t="shared" si="85"/>
        <v>9</v>
      </c>
      <c r="G1456" s="4">
        <f t="shared" si="87"/>
        <v>5</v>
      </c>
      <c r="H1456" s="6">
        <v>0.7003935185185185</v>
      </c>
      <c r="I1456" s="22">
        <v>130.17683333333332</v>
      </c>
      <c r="J1456" s="22">
        <v>34.5</v>
      </c>
      <c r="K1456" s="27">
        <v>30.285</v>
      </c>
      <c r="L1456" s="27">
        <v>30</v>
      </c>
      <c r="M1456" s="27">
        <v>0</v>
      </c>
      <c r="N1456" s="21">
        <v>22.8779</v>
      </c>
      <c r="O1456" s="24">
        <v>33.145699999999998</v>
      </c>
      <c r="P1456" s="31">
        <v>3.6919512941176791E-2</v>
      </c>
      <c r="Q1456" s="31">
        <v>2.4125764705882347E-2</v>
      </c>
      <c r="R1456" s="26" t="s">
        <v>280</v>
      </c>
      <c r="S1456" s="26">
        <v>1</v>
      </c>
      <c r="T1456" s="71" t="s">
        <v>626</v>
      </c>
    </row>
    <row r="1457" spans="1:20" ht="12.75" customHeight="1">
      <c r="A1457" s="26" t="s">
        <v>141</v>
      </c>
      <c r="B1457" s="26" t="s">
        <v>228</v>
      </c>
      <c r="C1457" s="26" t="s">
        <v>504</v>
      </c>
      <c r="D1457" s="25">
        <v>42618</v>
      </c>
      <c r="E1457" s="1">
        <f t="shared" si="86"/>
        <v>2016</v>
      </c>
      <c r="F1457" s="1">
        <f t="shared" si="85"/>
        <v>9</v>
      </c>
      <c r="G1457" s="4">
        <f t="shared" si="87"/>
        <v>5</v>
      </c>
      <c r="H1457" s="6">
        <v>0.7003935185185185</v>
      </c>
      <c r="I1457" s="22">
        <v>130.17683333333332</v>
      </c>
      <c r="J1457" s="22">
        <v>34.5</v>
      </c>
      <c r="K1457" s="27">
        <v>50.45</v>
      </c>
      <c r="L1457" s="27">
        <v>50</v>
      </c>
      <c r="M1457" s="27">
        <v>0</v>
      </c>
      <c r="N1457" s="21">
        <v>20.2499</v>
      </c>
      <c r="O1457" s="24">
        <v>34.289400000000001</v>
      </c>
      <c r="P1457" s="31">
        <v>0.22843802117647094</v>
      </c>
      <c r="Q1457" s="31">
        <v>1.1676079058823525</v>
      </c>
      <c r="R1457" s="26" t="s">
        <v>280</v>
      </c>
      <c r="S1457" s="26">
        <v>1</v>
      </c>
      <c r="T1457" s="71" t="s">
        <v>626</v>
      </c>
    </row>
    <row r="1458" spans="1:20" ht="12.75" customHeight="1">
      <c r="A1458" s="26" t="s">
        <v>141</v>
      </c>
      <c r="B1458" s="26" t="s">
        <v>228</v>
      </c>
      <c r="C1458" s="26" t="s">
        <v>504</v>
      </c>
      <c r="D1458" s="25">
        <v>42618</v>
      </c>
      <c r="E1458" s="1">
        <f t="shared" si="86"/>
        <v>2016</v>
      </c>
      <c r="F1458" s="1">
        <f t="shared" si="85"/>
        <v>9</v>
      </c>
      <c r="G1458" s="4">
        <f t="shared" si="87"/>
        <v>5</v>
      </c>
      <c r="H1458" s="6">
        <v>0.7003935185185185</v>
      </c>
      <c r="I1458" s="22">
        <v>130.17683333333332</v>
      </c>
      <c r="J1458" s="22">
        <v>34.5</v>
      </c>
      <c r="K1458" s="27">
        <v>75.156000000000006</v>
      </c>
      <c r="L1458" s="27">
        <v>75</v>
      </c>
      <c r="M1458" s="27">
        <v>0</v>
      </c>
      <c r="N1458" s="21">
        <v>17.309699999999999</v>
      </c>
      <c r="O1458" s="24">
        <v>34.240200000000002</v>
      </c>
      <c r="P1458" s="31">
        <v>0.20101803294117659</v>
      </c>
      <c r="Q1458" s="31">
        <v>0.99701317647058829</v>
      </c>
      <c r="R1458" s="26" t="s">
        <v>280</v>
      </c>
      <c r="S1458" s="26">
        <v>1</v>
      </c>
      <c r="T1458" s="71" t="s">
        <v>626</v>
      </c>
    </row>
    <row r="1459" spans="1:20" ht="12.75" customHeight="1">
      <c r="A1459" s="26" t="s">
        <v>141</v>
      </c>
      <c r="B1459" s="26" t="s">
        <v>228</v>
      </c>
      <c r="C1459" s="26" t="s">
        <v>504</v>
      </c>
      <c r="D1459" s="25">
        <v>42618</v>
      </c>
      <c r="E1459" s="1">
        <f t="shared" si="86"/>
        <v>2016</v>
      </c>
      <c r="F1459" s="1">
        <f t="shared" si="85"/>
        <v>9</v>
      </c>
      <c r="G1459" s="4">
        <f t="shared" si="87"/>
        <v>5</v>
      </c>
      <c r="H1459" s="6">
        <v>0.7003935185185185</v>
      </c>
      <c r="I1459" s="22">
        <v>130.17683333333332</v>
      </c>
      <c r="J1459" s="22">
        <v>34.5</v>
      </c>
      <c r="K1459" s="27">
        <v>100.054</v>
      </c>
      <c r="L1459" s="27">
        <v>100</v>
      </c>
      <c r="M1459" s="27">
        <v>0</v>
      </c>
      <c r="N1459" s="21">
        <v>16.476800000000001</v>
      </c>
      <c r="O1459" s="24">
        <v>34.342300000000002</v>
      </c>
      <c r="P1459" s="31">
        <v>0.18390270352941185</v>
      </c>
      <c r="Q1459" s="31">
        <v>1.1005934117647076</v>
      </c>
      <c r="R1459" s="26" t="s">
        <v>280</v>
      </c>
      <c r="S1459" s="26">
        <v>1</v>
      </c>
      <c r="T1459" s="71" t="s">
        <v>626</v>
      </c>
    </row>
    <row r="1460" spans="1:20" ht="12.75" customHeight="1">
      <c r="A1460" s="26" t="s">
        <v>141</v>
      </c>
      <c r="B1460" s="26" t="s">
        <v>228</v>
      </c>
      <c r="C1460" s="26" t="s">
        <v>504</v>
      </c>
      <c r="D1460" s="25">
        <v>42618</v>
      </c>
      <c r="E1460" s="1">
        <f t="shared" si="86"/>
        <v>2016</v>
      </c>
      <c r="F1460" s="1">
        <f t="shared" si="85"/>
        <v>9</v>
      </c>
      <c r="G1460" s="4">
        <f t="shared" si="87"/>
        <v>5</v>
      </c>
      <c r="H1460" s="6">
        <v>0.7003935185185185</v>
      </c>
      <c r="I1460" s="22">
        <v>130.17683333333332</v>
      </c>
      <c r="J1460" s="22">
        <v>34.5</v>
      </c>
      <c r="K1460" s="27">
        <v>108.684</v>
      </c>
      <c r="L1460" s="27">
        <v>109</v>
      </c>
      <c r="M1460" s="27">
        <v>0</v>
      </c>
      <c r="N1460" s="21">
        <v>16.478400000000001</v>
      </c>
      <c r="O1460" s="24">
        <v>34.343000000000004</v>
      </c>
      <c r="P1460" s="31">
        <v>0.20693385411764686</v>
      </c>
      <c r="Q1460" s="31">
        <v>1.1843776470588221</v>
      </c>
      <c r="R1460" s="26" t="s">
        <v>280</v>
      </c>
      <c r="S1460" s="26">
        <v>1</v>
      </c>
      <c r="T1460" s="71" t="s">
        <v>626</v>
      </c>
    </row>
    <row r="1461" spans="1:20" ht="12.75" customHeight="1">
      <c r="A1461" s="26" t="s">
        <v>141</v>
      </c>
      <c r="B1461" s="26" t="s">
        <v>115</v>
      </c>
      <c r="C1461" s="26" t="s">
        <v>504</v>
      </c>
      <c r="D1461" s="25">
        <v>42618</v>
      </c>
      <c r="E1461" s="1">
        <f t="shared" si="86"/>
        <v>2016</v>
      </c>
      <c r="F1461" s="1">
        <f t="shared" si="85"/>
        <v>9</v>
      </c>
      <c r="G1461" s="4">
        <f t="shared" si="87"/>
        <v>5</v>
      </c>
      <c r="H1461" s="6">
        <v>0.7794444444444445</v>
      </c>
      <c r="I1461" s="22">
        <v>130.07833333333335</v>
      </c>
      <c r="J1461" s="22">
        <v>34.667833333333334</v>
      </c>
      <c r="K1461" s="27">
        <v>0</v>
      </c>
      <c r="L1461" s="27">
        <v>0</v>
      </c>
      <c r="M1461" s="27">
        <v>0</v>
      </c>
      <c r="N1461" s="21">
        <v>26.7</v>
      </c>
      <c r="O1461" s="24">
        <v>31.869091242164835</v>
      </c>
      <c r="P1461" s="31">
        <v>-0.30369931529411764</v>
      </c>
      <c r="Q1461" s="31">
        <v>-2.2165221176470586</v>
      </c>
      <c r="R1461" s="26" t="s">
        <v>280</v>
      </c>
      <c r="S1461" s="26">
        <v>1</v>
      </c>
      <c r="T1461" s="71" t="s">
        <v>626</v>
      </c>
    </row>
    <row r="1462" spans="1:20" ht="12.75" customHeight="1">
      <c r="A1462" s="26" t="s">
        <v>141</v>
      </c>
      <c r="B1462" s="26" t="s">
        <v>115</v>
      </c>
      <c r="C1462" s="26" t="s">
        <v>504</v>
      </c>
      <c r="D1462" s="25">
        <v>42618</v>
      </c>
      <c r="E1462" s="1">
        <f t="shared" si="86"/>
        <v>2016</v>
      </c>
      <c r="F1462" s="1">
        <f t="shared" si="85"/>
        <v>9</v>
      </c>
      <c r="G1462" s="4">
        <f t="shared" si="87"/>
        <v>5</v>
      </c>
      <c r="H1462" s="6">
        <v>0.7794444444444445</v>
      </c>
      <c r="I1462" s="22">
        <v>130.07833333333335</v>
      </c>
      <c r="J1462" s="22">
        <v>34.667833333333334</v>
      </c>
      <c r="K1462" s="27">
        <v>10.419</v>
      </c>
      <c r="L1462" s="27">
        <v>10</v>
      </c>
      <c r="M1462" s="27">
        <v>0</v>
      </c>
      <c r="N1462" s="21">
        <v>25.088799999999999</v>
      </c>
      <c r="O1462" s="24">
        <v>31.917400000000001</v>
      </c>
      <c r="P1462" s="31">
        <v>-0.23768304470588242</v>
      </c>
      <c r="Q1462" s="31">
        <v>-1.8506938823529415</v>
      </c>
      <c r="R1462" s="26" t="s">
        <v>280</v>
      </c>
      <c r="S1462" s="26">
        <v>1</v>
      </c>
      <c r="T1462" s="71" t="s">
        <v>626</v>
      </c>
    </row>
    <row r="1463" spans="1:20" ht="12.75" customHeight="1">
      <c r="A1463" s="26" t="s">
        <v>141</v>
      </c>
      <c r="B1463" s="26" t="s">
        <v>115</v>
      </c>
      <c r="C1463" s="26" t="s">
        <v>504</v>
      </c>
      <c r="D1463" s="25">
        <v>42618</v>
      </c>
      <c r="E1463" s="1">
        <f t="shared" si="86"/>
        <v>2016</v>
      </c>
      <c r="F1463" s="1">
        <f t="shared" si="85"/>
        <v>9</v>
      </c>
      <c r="G1463" s="4">
        <f t="shared" si="87"/>
        <v>5</v>
      </c>
      <c r="H1463" s="6">
        <v>0.7794444444444445</v>
      </c>
      <c r="I1463" s="22">
        <v>130.07833333333335</v>
      </c>
      <c r="J1463" s="22">
        <v>34.667833333333334</v>
      </c>
      <c r="K1463" s="27">
        <v>20.437999999999999</v>
      </c>
      <c r="L1463" s="27">
        <v>20</v>
      </c>
      <c r="M1463" s="27">
        <v>0</v>
      </c>
      <c r="N1463" s="21">
        <v>24.706700000000001</v>
      </c>
      <c r="O1463" s="24">
        <v>32.246400000000001</v>
      </c>
      <c r="P1463" s="31">
        <v>-0.24101069411764708</v>
      </c>
      <c r="Q1463" s="31">
        <v>-1.7782776470588244</v>
      </c>
      <c r="R1463" s="26" t="s">
        <v>280</v>
      </c>
      <c r="S1463" s="26">
        <v>1</v>
      </c>
      <c r="T1463" s="71" t="s">
        <v>626</v>
      </c>
    </row>
    <row r="1464" spans="1:20" ht="12.75" customHeight="1">
      <c r="A1464" s="26" t="s">
        <v>141</v>
      </c>
      <c r="B1464" s="26" t="s">
        <v>115</v>
      </c>
      <c r="C1464" s="26" t="s">
        <v>504</v>
      </c>
      <c r="D1464" s="25">
        <v>42618</v>
      </c>
      <c r="E1464" s="1">
        <f t="shared" si="86"/>
        <v>2016</v>
      </c>
      <c r="F1464" s="1">
        <f t="shared" si="85"/>
        <v>9</v>
      </c>
      <c r="G1464" s="4">
        <f t="shared" si="87"/>
        <v>5</v>
      </c>
      <c r="H1464" s="6">
        <v>0.7794444444444445</v>
      </c>
      <c r="I1464" s="22">
        <v>130.07833333333335</v>
      </c>
      <c r="J1464" s="22">
        <v>34.667833333333334</v>
      </c>
      <c r="K1464" s="27">
        <v>30.050999999999998</v>
      </c>
      <c r="L1464" s="27">
        <v>30</v>
      </c>
      <c r="M1464" s="27">
        <v>0</v>
      </c>
      <c r="N1464" s="21">
        <v>21.524899999999999</v>
      </c>
      <c r="O1464" s="24">
        <v>33.215800000000002</v>
      </c>
      <c r="P1464" s="31">
        <v>7.9849647058849449E-4</v>
      </c>
      <c r="Q1464" s="31">
        <v>3.4030588235292925E-2</v>
      </c>
      <c r="R1464" s="26" t="s">
        <v>280</v>
      </c>
      <c r="S1464" s="26">
        <v>1</v>
      </c>
      <c r="T1464" s="71" t="s">
        <v>626</v>
      </c>
    </row>
    <row r="1465" spans="1:20" ht="12.75" customHeight="1">
      <c r="A1465" s="26" t="s">
        <v>141</v>
      </c>
      <c r="B1465" s="26" t="s">
        <v>115</v>
      </c>
      <c r="C1465" s="26" t="s">
        <v>504</v>
      </c>
      <c r="D1465" s="25">
        <v>42618</v>
      </c>
      <c r="E1465" s="1">
        <f t="shared" si="86"/>
        <v>2016</v>
      </c>
      <c r="F1465" s="1">
        <f t="shared" si="85"/>
        <v>9</v>
      </c>
      <c r="G1465" s="4">
        <f t="shared" si="87"/>
        <v>5</v>
      </c>
      <c r="H1465" s="6">
        <v>0.7794444444444445</v>
      </c>
      <c r="I1465" s="22">
        <v>130.07833333333335</v>
      </c>
      <c r="J1465" s="22">
        <v>34.667833333333334</v>
      </c>
      <c r="K1465" s="27">
        <v>50.027999999999999</v>
      </c>
      <c r="L1465" s="27">
        <v>50</v>
      </c>
      <c r="M1465" s="27">
        <v>0</v>
      </c>
      <c r="N1465" s="21">
        <v>19.593</v>
      </c>
      <c r="O1465" s="24">
        <v>34.4069</v>
      </c>
      <c r="P1465" s="31">
        <v>0.23404405882352997</v>
      </c>
      <c r="Q1465" s="31">
        <v>1.2735115294117652</v>
      </c>
      <c r="R1465" s="26" t="s">
        <v>280</v>
      </c>
      <c r="S1465" s="26">
        <v>1</v>
      </c>
      <c r="T1465" s="71" t="s">
        <v>626</v>
      </c>
    </row>
    <row r="1466" spans="1:20" ht="12.75" customHeight="1">
      <c r="A1466" s="26" t="s">
        <v>141</v>
      </c>
      <c r="B1466" s="26" t="s">
        <v>115</v>
      </c>
      <c r="C1466" s="26" t="s">
        <v>504</v>
      </c>
      <c r="D1466" s="25">
        <v>42618</v>
      </c>
      <c r="E1466" s="1">
        <f t="shared" si="86"/>
        <v>2016</v>
      </c>
      <c r="F1466" s="1">
        <f t="shared" si="85"/>
        <v>9</v>
      </c>
      <c r="G1466" s="4">
        <f t="shared" si="87"/>
        <v>5</v>
      </c>
      <c r="H1466" s="6">
        <v>0.7794444444444445</v>
      </c>
      <c r="I1466" s="22">
        <v>130.07833333333335</v>
      </c>
      <c r="J1466" s="22">
        <v>34.667833333333334</v>
      </c>
      <c r="K1466" s="27">
        <v>99.840999999999994</v>
      </c>
      <c r="L1466" s="27">
        <v>100</v>
      </c>
      <c r="M1466" s="27">
        <v>0</v>
      </c>
      <c r="N1466" s="21">
        <v>16.510000000000002</v>
      </c>
      <c r="O1466" s="24">
        <v>34.438299999999998</v>
      </c>
      <c r="P1466" s="31">
        <v>0.19210852000000012</v>
      </c>
      <c r="Q1466" s="31">
        <v>1.2276360000000004</v>
      </c>
      <c r="R1466" s="26" t="s">
        <v>280</v>
      </c>
      <c r="S1466" s="26">
        <v>1</v>
      </c>
      <c r="T1466" s="71" t="s">
        <v>626</v>
      </c>
    </row>
    <row r="1467" spans="1:20" ht="12.75" customHeight="1">
      <c r="A1467" s="26" t="s">
        <v>141</v>
      </c>
      <c r="B1467" s="26" t="s">
        <v>115</v>
      </c>
      <c r="C1467" s="26" t="s">
        <v>504</v>
      </c>
      <c r="D1467" s="25">
        <v>42618</v>
      </c>
      <c r="E1467" s="1">
        <f t="shared" si="86"/>
        <v>2016</v>
      </c>
      <c r="F1467" s="1">
        <f t="shared" si="85"/>
        <v>9</v>
      </c>
      <c r="G1467" s="4">
        <f t="shared" si="87"/>
        <v>5</v>
      </c>
      <c r="H1467" s="6">
        <v>0.7794444444444445</v>
      </c>
      <c r="I1467" s="22">
        <v>130.07833333333335</v>
      </c>
      <c r="J1467" s="22">
        <v>34.667833333333334</v>
      </c>
      <c r="K1467" s="27">
        <v>113.55500000000001</v>
      </c>
      <c r="L1467" s="27">
        <v>114</v>
      </c>
      <c r="M1467" s="27">
        <v>0</v>
      </c>
      <c r="N1467" s="21">
        <v>16.458300000000001</v>
      </c>
      <c r="O1467" s="24">
        <v>34.434399999999997</v>
      </c>
      <c r="P1467" s="31">
        <v>-2.3508849411764565E-2</v>
      </c>
      <c r="Q1467" s="31">
        <v>-0.93199576470588053</v>
      </c>
      <c r="R1467" s="26" t="s">
        <v>280</v>
      </c>
      <c r="S1467" s="26">
        <v>1</v>
      </c>
      <c r="T1467" s="71" t="s">
        <v>626</v>
      </c>
    </row>
    <row r="1468" spans="1:20" ht="12.75" customHeight="1">
      <c r="A1468" s="26" t="s">
        <v>141</v>
      </c>
      <c r="B1468" s="26" t="s">
        <v>229</v>
      </c>
      <c r="C1468" s="26" t="s">
        <v>504</v>
      </c>
      <c r="D1468" s="25">
        <v>42619</v>
      </c>
      <c r="E1468" s="1">
        <f t="shared" si="86"/>
        <v>2016</v>
      </c>
      <c r="F1468" s="1">
        <f t="shared" si="85"/>
        <v>9</v>
      </c>
      <c r="G1468" s="4">
        <f t="shared" si="87"/>
        <v>6</v>
      </c>
      <c r="H1468" s="6">
        <v>2.0520833333333332E-2</v>
      </c>
      <c r="I1468" s="22">
        <v>130.41266666666667</v>
      </c>
      <c r="J1468" s="22">
        <v>34.704833333333333</v>
      </c>
      <c r="K1468" s="27">
        <v>10.298999999999999</v>
      </c>
      <c r="L1468" s="27">
        <v>10</v>
      </c>
      <c r="M1468" s="27">
        <v>0</v>
      </c>
      <c r="N1468" s="21">
        <v>25.0124</v>
      </c>
      <c r="O1468" s="24">
        <v>31.648800000000001</v>
      </c>
      <c r="P1468" s="31">
        <v>-0.4692588188235296</v>
      </c>
      <c r="Q1468" s="31">
        <v>-2.9009195294117642</v>
      </c>
      <c r="R1468" s="26" t="s">
        <v>280</v>
      </c>
      <c r="S1468" s="26">
        <v>1</v>
      </c>
      <c r="T1468" s="71" t="s">
        <v>626</v>
      </c>
    </row>
    <row r="1469" spans="1:20" ht="12.75" customHeight="1">
      <c r="A1469" s="26" t="s">
        <v>141</v>
      </c>
      <c r="B1469" s="26" t="s">
        <v>229</v>
      </c>
      <c r="C1469" s="26" t="s">
        <v>504</v>
      </c>
      <c r="D1469" s="25">
        <v>42619</v>
      </c>
      <c r="E1469" s="1">
        <f t="shared" si="86"/>
        <v>2016</v>
      </c>
      <c r="F1469" s="1">
        <f t="shared" si="85"/>
        <v>9</v>
      </c>
      <c r="G1469" s="4">
        <f t="shared" si="87"/>
        <v>6</v>
      </c>
      <c r="H1469" s="6">
        <v>2.0520833333333332E-2</v>
      </c>
      <c r="I1469" s="22">
        <v>130.41266666666667</v>
      </c>
      <c r="J1469" s="22">
        <v>34.704833333333333</v>
      </c>
      <c r="K1469" s="27">
        <v>20.245000000000001</v>
      </c>
      <c r="L1469" s="27">
        <v>20</v>
      </c>
      <c r="M1469" s="27">
        <v>0</v>
      </c>
      <c r="N1469" s="21">
        <v>24.954899999999999</v>
      </c>
      <c r="O1469" s="24">
        <v>31.795300000000001</v>
      </c>
      <c r="P1469" s="31">
        <v>-0.29456318823529415</v>
      </c>
      <c r="Q1469" s="31">
        <v>-2.4047512941176468</v>
      </c>
      <c r="R1469" s="26" t="s">
        <v>280</v>
      </c>
      <c r="S1469" s="26">
        <v>1</v>
      </c>
      <c r="T1469" s="71" t="s">
        <v>626</v>
      </c>
    </row>
    <row r="1470" spans="1:20" ht="12.75" customHeight="1">
      <c r="A1470" s="26" t="s">
        <v>141</v>
      </c>
      <c r="B1470" s="26" t="s">
        <v>229</v>
      </c>
      <c r="C1470" s="26" t="s">
        <v>504</v>
      </c>
      <c r="D1470" s="25">
        <v>42619</v>
      </c>
      <c r="E1470" s="1">
        <f t="shared" si="86"/>
        <v>2016</v>
      </c>
      <c r="F1470" s="1">
        <f t="shared" ref="F1470:F1533" si="88">MONTH(D1470)</f>
        <v>9</v>
      </c>
      <c r="G1470" s="4">
        <f t="shared" si="87"/>
        <v>6</v>
      </c>
      <c r="H1470" s="6">
        <v>2.0520833333333332E-2</v>
      </c>
      <c r="I1470" s="22">
        <v>130.41266666666667</v>
      </c>
      <c r="J1470" s="22">
        <v>34.704833333333333</v>
      </c>
      <c r="K1470" s="27">
        <v>30.51</v>
      </c>
      <c r="L1470" s="27">
        <v>30</v>
      </c>
      <c r="M1470" s="27">
        <v>0</v>
      </c>
      <c r="N1470" s="21">
        <v>25.352</v>
      </c>
      <c r="O1470" s="24">
        <v>32.721600000000002</v>
      </c>
      <c r="P1470" s="31">
        <v>1.2129202352941126E-2</v>
      </c>
      <c r="Q1470" s="31">
        <v>-4.2271058823528662E-2</v>
      </c>
      <c r="R1470" s="26" t="s">
        <v>280</v>
      </c>
      <c r="S1470" s="26">
        <v>1</v>
      </c>
      <c r="T1470" s="71" t="s">
        <v>626</v>
      </c>
    </row>
    <row r="1471" spans="1:20" ht="12.75" customHeight="1">
      <c r="A1471" s="26" t="s">
        <v>141</v>
      </c>
      <c r="B1471" s="26" t="s">
        <v>229</v>
      </c>
      <c r="C1471" s="26" t="s">
        <v>504</v>
      </c>
      <c r="D1471" s="25">
        <v>42619</v>
      </c>
      <c r="E1471" s="1">
        <f t="shared" si="86"/>
        <v>2016</v>
      </c>
      <c r="F1471" s="1">
        <f t="shared" si="88"/>
        <v>9</v>
      </c>
      <c r="G1471" s="4">
        <f t="shared" si="87"/>
        <v>6</v>
      </c>
      <c r="H1471" s="6">
        <v>2.0520833333333332E-2</v>
      </c>
      <c r="I1471" s="22">
        <v>130.41266666666667</v>
      </c>
      <c r="J1471" s="22">
        <v>34.704833333333333</v>
      </c>
      <c r="K1471" s="27">
        <v>49.8</v>
      </c>
      <c r="L1471" s="27">
        <v>50</v>
      </c>
      <c r="M1471" s="27">
        <v>0</v>
      </c>
      <c r="N1471" s="21">
        <v>21.714400000000001</v>
      </c>
      <c r="O1471" s="24">
        <v>34.165300000000002</v>
      </c>
      <c r="P1471" s="31">
        <v>0.15620807294117633</v>
      </c>
      <c r="Q1471" s="31">
        <v>0.77396517647058793</v>
      </c>
      <c r="R1471" s="26" t="s">
        <v>280</v>
      </c>
      <c r="S1471" s="26">
        <v>1</v>
      </c>
      <c r="T1471" s="71" t="s">
        <v>626</v>
      </c>
    </row>
    <row r="1472" spans="1:20" ht="12.75" customHeight="1">
      <c r="A1472" s="26" t="s">
        <v>141</v>
      </c>
      <c r="B1472" s="26" t="s">
        <v>229</v>
      </c>
      <c r="C1472" s="26" t="s">
        <v>504</v>
      </c>
      <c r="D1472" s="25">
        <v>42619</v>
      </c>
      <c r="E1472" s="1">
        <f t="shared" si="86"/>
        <v>2016</v>
      </c>
      <c r="F1472" s="1">
        <f t="shared" si="88"/>
        <v>9</v>
      </c>
      <c r="G1472" s="4">
        <f t="shared" si="87"/>
        <v>6</v>
      </c>
      <c r="H1472" s="6">
        <v>2.0520833333333332E-2</v>
      </c>
      <c r="I1472" s="22">
        <v>130.41266666666667</v>
      </c>
      <c r="J1472" s="22">
        <v>34.704833333333333</v>
      </c>
      <c r="K1472" s="27">
        <v>99.745000000000005</v>
      </c>
      <c r="L1472" s="27">
        <v>100</v>
      </c>
      <c r="M1472" s="27">
        <v>0</v>
      </c>
      <c r="N1472" s="21">
        <v>16.158000000000001</v>
      </c>
      <c r="O1472" s="24">
        <v>34.277900000000002</v>
      </c>
      <c r="P1472" s="31">
        <v>0.17900374705882371</v>
      </c>
      <c r="Q1472" s="31">
        <v>1.0391225200000012</v>
      </c>
      <c r="R1472" s="26" t="s">
        <v>280</v>
      </c>
      <c r="S1472" s="26">
        <v>1</v>
      </c>
      <c r="T1472" s="71" t="s">
        <v>626</v>
      </c>
    </row>
    <row r="1473" spans="1:20" ht="12.75" customHeight="1">
      <c r="A1473" s="26" t="s">
        <v>141</v>
      </c>
      <c r="B1473" s="26" t="s">
        <v>229</v>
      </c>
      <c r="C1473" s="26" t="s">
        <v>504</v>
      </c>
      <c r="D1473" s="25">
        <v>42619</v>
      </c>
      <c r="E1473" s="1">
        <f t="shared" si="86"/>
        <v>2016</v>
      </c>
      <c r="F1473" s="1">
        <f t="shared" si="88"/>
        <v>9</v>
      </c>
      <c r="G1473" s="4">
        <f t="shared" si="87"/>
        <v>6</v>
      </c>
      <c r="H1473" s="6">
        <v>2.0520833333333332E-2</v>
      </c>
      <c r="I1473" s="22">
        <v>130.41266666666667</v>
      </c>
      <c r="J1473" s="22">
        <v>34.704833333333333</v>
      </c>
      <c r="K1473" s="27">
        <v>119.322</v>
      </c>
      <c r="L1473" s="27">
        <v>119</v>
      </c>
      <c r="M1473" s="27">
        <v>0</v>
      </c>
      <c r="N1473" s="21">
        <v>15.534700000000001</v>
      </c>
      <c r="O1473" s="24">
        <v>34.315100000000001</v>
      </c>
      <c r="P1473" s="31">
        <v>0.17966497647058821</v>
      </c>
      <c r="Q1473" s="31">
        <v>0.99236247999999883</v>
      </c>
      <c r="R1473" s="26" t="s">
        <v>280</v>
      </c>
      <c r="S1473" s="26">
        <v>1</v>
      </c>
      <c r="T1473" s="71" t="s">
        <v>626</v>
      </c>
    </row>
    <row r="1474" spans="1:20" ht="12.75" customHeight="1">
      <c r="A1474" s="26" t="s">
        <v>141</v>
      </c>
      <c r="B1474" s="26" t="s">
        <v>230</v>
      </c>
      <c r="C1474" s="26" t="s">
        <v>504</v>
      </c>
      <c r="D1474" s="25">
        <v>42619</v>
      </c>
      <c r="E1474" s="1">
        <f t="shared" si="86"/>
        <v>2016</v>
      </c>
      <c r="F1474" s="1">
        <f t="shared" si="88"/>
        <v>9</v>
      </c>
      <c r="G1474" s="4">
        <f t="shared" si="87"/>
        <v>6</v>
      </c>
      <c r="H1474" s="6">
        <v>0.65913194444444445</v>
      </c>
      <c r="I1474" s="22">
        <v>130.49066666666667</v>
      </c>
      <c r="J1474" s="22">
        <v>34.836500000000001</v>
      </c>
      <c r="K1474" s="27">
        <v>0</v>
      </c>
      <c r="L1474" s="27">
        <v>0</v>
      </c>
      <c r="M1474" s="27">
        <v>0</v>
      </c>
      <c r="N1474" s="21">
        <v>25</v>
      </c>
      <c r="O1474" s="24">
        <v>31.76742570913742</v>
      </c>
      <c r="P1474" s="31">
        <v>-0.37967499411764716</v>
      </c>
      <c r="Q1474" s="31">
        <v>-2.5925623399999989</v>
      </c>
      <c r="R1474" s="26" t="s">
        <v>280</v>
      </c>
      <c r="S1474" s="26">
        <v>1</v>
      </c>
      <c r="T1474" s="71" t="s">
        <v>626</v>
      </c>
    </row>
    <row r="1475" spans="1:20" ht="12.75" customHeight="1">
      <c r="A1475" s="26" t="s">
        <v>141</v>
      </c>
      <c r="B1475" s="26" t="s">
        <v>230</v>
      </c>
      <c r="C1475" s="26" t="s">
        <v>504</v>
      </c>
      <c r="D1475" s="25">
        <v>42619</v>
      </c>
      <c r="E1475" s="1">
        <f t="shared" si="86"/>
        <v>2016</v>
      </c>
      <c r="F1475" s="1">
        <f t="shared" si="88"/>
        <v>9</v>
      </c>
      <c r="G1475" s="4">
        <f t="shared" si="87"/>
        <v>6</v>
      </c>
      <c r="H1475" s="6">
        <v>0.65913194444444445</v>
      </c>
      <c r="I1475" s="22">
        <v>130.49066666666667</v>
      </c>
      <c r="J1475" s="22">
        <v>34.836500000000001</v>
      </c>
      <c r="K1475" s="27">
        <v>9.9469999999999992</v>
      </c>
      <c r="L1475" s="27">
        <v>10</v>
      </c>
      <c r="M1475" s="27">
        <v>0</v>
      </c>
      <c r="N1475" s="21">
        <v>25.106000000000002</v>
      </c>
      <c r="O1475" s="24">
        <v>31.750900000000001</v>
      </c>
      <c r="P1475" s="31">
        <v>-0.30645886470588213</v>
      </c>
      <c r="Q1475" s="31">
        <v>-2.2457992399999993</v>
      </c>
      <c r="R1475" s="26" t="s">
        <v>280</v>
      </c>
      <c r="S1475" s="26">
        <v>1</v>
      </c>
      <c r="T1475" s="71" t="s">
        <v>626</v>
      </c>
    </row>
    <row r="1476" spans="1:20" ht="12.75" customHeight="1">
      <c r="A1476" s="26" t="s">
        <v>141</v>
      </c>
      <c r="B1476" s="26" t="s">
        <v>230</v>
      </c>
      <c r="C1476" s="26" t="s">
        <v>504</v>
      </c>
      <c r="D1476" s="25">
        <v>42619</v>
      </c>
      <c r="E1476" s="1">
        <f t="shared" si="86"/>
        <v>2016</v>
      </c>
      <c r="F1476" s="1">
        <f t="shared" si="88"/>
        <v>9</v>
      </c>
      <c r="G1476" s="4">
        <f t="shared" si="87"/>
        <v>6</v>
      </c>
      <c r="H1476" s="6">
        <v>0.65913194444444445</v>
      </c>
      <c r="I1476" s="22">
        <v>130.49066666666667</v>
      </c>
      <c r="J1476" s="22">
        <v>34.836500000000001</v>
      </c>
      <c r="K1476" s="27">
        <v>19.957000000000001</v>
      </c>
      <c r="L1476" s="27">
        <v>20</v>
      </c>
      <c r="M1476" s="27">
        <v>0</v>
      </c>
      <c r="N1476" s="21">
        <v>24.657599999999999</v>
      </c>
      <c r="O1476" s="24">
        <v>32.046599999999998</v>
      </c>
      <c r="P1476" s="31">
        <v>-0.23651281529411761</v>
      </c>
      <c r="Q1476" s="31">
        <v>-1.9149818000000005</v>
      </c>
      <c r="R1476" s="26" t="s">
        <v>280</v>
      </c>
      <c r="S1476" s="26">
        <v>1</v>
      </c>
      <c r="T1476" s="71" t="s">
        <v>626</v>
      </c>
    </row>
    <row r="1477" spans="1:20" ht="12.75" customHeight="1">
      <c r="A1477" s="26" t="s">
        <v>141</v>
      </c>
      <c r="B1477" s="26" t="s">
        <v>230</v>
      </c>
      <c r="C1477" s="26" t="s">
        <v>504</v>
      </c>
      <c r="D1477" s="25">
        <v>42619</v>
      </c>
      <c r="E1477" s="1">
        <f t="shared" si="86"/>
        <v>2016</v>
      </c>
      <c r="F1477" s="1">
        <f t="shared" si="88"/>
        <v>9</v>
      </c>
      <c r="G1477" s="4">
        <f t="shared" si="87"/>
        <v>6</v>
      </c>
      <c r="H1477" s="6">
        <v>0.65913194444444445</v>
      </c>
      <c r="I1477" s="22">
        <v>130.49066666666667</v>
      </c>
      <c r="J1477" s="22">
        <v>34.836500000000001</v>
      </c>
      <c r="K1477" s="27">
        <v>30.565000000000001</v>
      </c>
      <c r="L1477" s="27">
        <v>30</v>
      </c>
      <c r="M1477" s="27">
        <v>0</v>
      </c>
      <c r="N1477" s="21">
        <v>23.932300000000001</v>
      </c>
      <c r="O1477" s="24">
        <v>32.492600000000003</v>
      </c>
      <c r="P1477" s="31">
        <v>-0.15696090588235312</v>
      </c>
      <c r="Q1477" s="31">
        <v>-1.5298310000000006</v>
      </c>
      <c r="R1477" s="26" t="s">
        <v>280</v>
      </c>
      <c r="S1477" s="26">
        <v>1</v>
      </c>
      <c r="T1477" s="71" t="s">
        <v>626</v>
      </c>
    </row>
    <row r="1478" spans="1:20" ht="12.75" customHeight="1">
      <c r="A1478" s="26" t="s">
        <v>141</v>
      </c>
      <c r="B1478" s="26" t="s">
        <v>230</v>
      </c>
      <c r="C1478" s="26" t="s">
        <v>504</v>
      </c>
      <c r="D1478" s="25">
        <v>42619</v>
      </c>
      <c r="E1478" s="1">
        <f t="shared" si="86"/>
        <v>2016</v>
      </c>
      <c r="F1478" s="1">
        <f t="shared" si="88"/>
        <v>9</v>
      </c>
      <c r="G1478" s="4">
        <f t="shared" si="87"/>
        <v>6</v>
      </c>
      <c r="H1478" s="6">
        <v>0.65913194444444445</v>
      </c>
      <c r="I1478" s="22">
        <v>130.49066666666667</v>
      </c>
      <c r="J1478" s="22">
        <v>34.836500000000001</v>
      </c>
      <c r="K1478" s="27">
        <v>50.228000000000002</v>
      </c>
      <c r="L1478" s="27">
        <v>50</v>
      </c>
      <c r="M1478" s="27">
        <v>0</v>
      </c>
      <c r="N1478" s="21">
        <v>20.679300000000001</v>
      </c>
      <c r="O1478" s="24">
        <v>34.444200000000002</v>
      </c>
      <c r="P1478" s="31">
        <v>0.21751134352941159</v>
      </c>
      <c r="Q1478" s="31">
        <v>1.1678342199999996</v>
      </c>
      <c r="R1478" s="26" t="s">
        <v>280</v>
      </c>
      <c r="S1478" s="26">
        <v>1</v>
      </c>
      <c r="T1478" s="71" t="s">
        <v>626</v>
      </c>
    </row>
    <row r="1479" spans="1:20" ht="12.75" customHeight="1">
      <c r="A1479" s="26" t="s">
        <v>141</v>
      </c>
      <c r="B1479" s="26" t="s">
        <v>230</v>
      </c>
      <c r="C1479" s="26" t="s">
        <v>504</v>
      </c>
      <c r="D1479" s="25">
        <v>42619</v>
      </c>
      <c r="E1479" s="1">
        <f t="shared" si="86"/>
        <v>2016</v>
      </c>
      <c r="F1479" s="1">
        <f t="shared" si="88"/>
        <v>9</v>
      </c>
      <c r="G1479" s="4">
        <f t="shared" si="87"/>
        <v>6</v>
      </c>
      <c r="H1479" s="6">
        <v>0.65913194444444445</v>
      </c>
      <c r="I1479" s="22">
        <v>130.49066666666667</v>
      </c>
      <c r="J1479" s="22">
        <v>34.836500000000001</v>
      </c>
      <c r="K1479" s="27">
        <v>75.173000000000002</v>
      </c>
      <c r="L1479" s="27">
        <v>75</v>
      </c>
      <c r="M1479" s="27">
        <v>0</v>
      </c>
      <c r="N1479" s="21">
        <v>18.095600000000001</v>
      </c>
      <c r="O1479" s="24">
        <v>34.4422</v>
      </c>
      <c r="P1479" s="31">
        <v>0.25101764117647063</v>
      </c>
      <c r="Q1479" s="31">
        <v>1.4688099999999995</v>
      </c>
      <c r="R1479" s="26" t="s">
        <v>280</v>
      </c>
      <c r="S1479" s="26">
        <v>1</v>
      </c>
      <c r="T1479" s="71" t="s">
        <v>626</v>
      </c>
    </row>
    <row r="1480" spans="1:20" ht="12.75" customHeight="1">
      <c r="A1480" s="26" t="s">
        <v>141</v>
      </c>
      <c r="B1480" s="26" t="s">
        <v>230</v>
      </c>
      <c r="C1480" s="26" t="s">
        <v>504</v>
      </c>
      <c r="D1480" s="25">
        <v>42619</v>
      </c>
      <c r="E1480" s="1">
        <f t="shared" si="86"/>
        <v>2016</v>
      </c>
      <c r="F1480" s="1">
        <f t="shared" si="88"/>
        <v>9</v>
      </c>
      <c r="G1480" s="4">
        <f t="shared" si="87"/>
        <v>6</v>
      </c>
      <c r="H1480" s="6">
        <v>0.65913194444444445</v>
      </c>
      <c r="I1480" s="22">
        <v>130.49066666666667</v>
      </c>
      <c r="J1480" s="22">
        <v>34.836500000000001</v>
      </c>
      <c r="K1480" s="27">
        <v>100.133</v>
      </c>
      <c r="L1480" s="27">
        <v>100</v>
      </c>
      <c r="M1480" s="27">
        <v>0</v>
      </c>
      <c r="N1480" s="21">
        <v>16.704999999999998</v>
      </c>
      <c r="O1480" s="24">
        <v>34.373199999999997</v>
      </c>
      <c r="P1480" s="31">
        <v>0.26843803058823523</v>
      </c>
      <c r="Q1480" s="31">
        <v>1.4407516600000001</v>
      </c>
      <c r="R1480" s="26" t="s">
        <v>280</v>
      </c>
      <c r="S1480" s="26">
        <v>1</v>
      </c>
      <c r="T1480" s="71" t="s">
        <v>626</v>
      </c>
    </row>
    <row r="1481" spans="1:20" ht="12.75" customHeight="1">
      <c r="A1481" s="26" t="s">
        <v>141</v>
      </c>
      <c r="B1481" s="26" t="s">
        <v>230</v>
      </c>
      <c r="C1481" s="26" t="s">
        <v>504</v>
      </c>
      <c r="D1481" s="25">
        <v>42619</v>
      </c>
      <c r="E1481" s="1">
        <f t="shared" si="86"/>
        <v>2016</v>
      </c>
      <c r="F1481" s="1">
        <f t="shared" si="88"/>
        <v>9</v>
      </c>
      <c r="G1481" s="4">
        <f t="shared" si="87"/>
        <v>6</v>
      </c>
      <c r="H1481" s="6">
        <v>0.65913194444444445</v>
      </c>
      <c r="I1481" s="22">
        <v>130.49066666666667</v>
      </c>
      <c r="J1481" s="22">
        <v>34.836500000000001</v>
      </c>
      <c r="K1481" s="27">
        <v>124.583</v>
      </c>
      <c r="L1481" s="27">
        <v>125</v>
      </c>
      <c r="M1481" s="27">
        <v>0</v>
      </c>
      <c r="N1481" s="21">
        <v>15.6396</v>
      </c>
      <c r="O1481" s="24">
        <v>34.404499999999999</v>
      </c>
      <c r="P1481" s="31">
        <v>0.18857353999999993</v>
      </c>
      <c r="Q1481" s="31">
        <v>1.3156413400000009</v>
      </c>
      <c r="R1481" s="26" t="s">
        <v>280</v>
      </c>
      <c r="S1481" s="26">
        <v>1</v>
      </c>
      <c r="T1481" s="71" t="s">
        <v>626</v>
      </c>
    </row>
    <row r="1482" spans="1:20" ht="12.75" customHeight="1">
      <c r="A1482" s="26" t="s">
        <v>141</v>
      </c>
      <c r="B1482" s="26" t="s">
        <v>127</v>
      </c>
      <c r="C1482" s="26" t="s">
        <v>504</v>
      </c>
      <c r="D1482" s="25">
        <v>42619</v>
      </c>
      <c r="E1482" s="1">
        <f t="shared" si="86"/>
        <v>2016</v>
      </c>
      <c r="F1482" s="1">
        <f t="shared" si="88"/>
        <v>9</v>
      </c>
      <c r="G1482" s="4">
        <f t="shared" si="87"/>
        <v>6</v>
      </c>
      <c r="H1482" s="6">
        <v>0.91251157407407402</v>
      </c>
      <c r="I1482" s="22">
        <v>130.55083333333334</v>
      </c>
      <c r="J1482" s="22">
        <v>34.50033333333333</v>
      </c>
      <c r="K1482" s="27">
        <v>0</v>
      </c>
      <c r="L1482" s="27">
        <v>0</v>
      </c>
      <c r="M1482" s="27">
        <v>0</v>
      </c>
      <c r="N1482" s="21">
        <v>26.2</v>
      </c>
      <c r="O1482" s="24">
        <v>32.41152946391535</v>
      </c>
      <c r="P1482" s="31">
        <v>-0.18089741058823505</v>
      </c>
      <c r="Q1482" s="31">
        <v>-1.3578216800000007</v>
      </c>
      <c r="R1482" s="26" t="s">
        <v>280</v>
      </c>
      <c r="S1482" s="26">
        <v>1</v>
      </c>
      <c r="T1482" s="71" t="s">
        <v>626</v>
      </c>
    </row>
    <row r="1483" spans="1:20" ht="12.75" customHeight="1">
      <c r="A1483" s="26" t="s">
        <v>141</v>
      </c>
      <c r="B1483" s="26" t="s">
        <v>127</v>
      </c>
      <c r="C1483" s="26" t="s">
        <v>504</v>
      </c>
      <c r="D1483" s="25">
        <v>42619</v>
      </c>
      <c r="E1483" s="1">
        <f t="shared" si="86"/>
        <v>2016</v>
      </c>
      <c r="F1483" s="1">
        <f t="shared" si="88"/>
        <v>9</v>
      </c>
      <c r="G1483" s="4">
        <f t="shared" si="87"/>
        <v>6</v>
      </c>
      <c r="H1483" s="6">
        <v>0.91251157407407402</v>
      </c>
      <c r="I1483" s="22">
        <v>130.55083333333334</v>
      </c>
      <c r="J1483" s="22">
        <v>34.50033333333333</v>
      </c>
      <c r="K1483" s="27">
        <v>9.9760000000000009</v>
      </c>
      <c r="L1483" s="27">
        <v>10</v>
      </c>
      <c r="M1483" s="27">
        <v>0</v>
      </c>
      <c r="N1483" s="21">
        <v>26.166699999999999</v>
      </c>
      <c r="O1483" s="24">
        <v>32.406300000000002</v>
      </c>
      <c r="P1483" s="31">
        <v>-0.21845524117647064</v>
      </c>
      <c r="Q1483" s="31">
        <v>-1.3224911000000006</v>
      </c>
      <c r="R1483" s="26" t="s">
        <v>280</v>
      </c>
      <c r="S1483" s="26">
        <v>1</v>
      </c>
      <c r="T1483" s="71" t="s">
        <v>626</v>
      </c>
    </row>
    <row r="1484" spans="1:20" ht="12.75" customHeight="1">
      <c r="A1484" s="26" t="s">
        <v>141</v>
      </c>
      <c r="B1484" s="26" t="s">
        <v>127</v>
      </c>
      <c r="C1484" s="26" t="s">
        <v>504</v>
      </c>
      <c r="D1484" s="25">
        <v>42619</v>
      </c>
      <c r="E1484" s="1">
        <f t="shared" si="86"/>
        <v>2016</v>
      </c>
      <c r="F1484" s="1">
        <f t="shared" si="88"/>
        <v>9</v>
      </c>
      <c r="G1484" s="4">
        <f t="shared" si="87"/>
        <v>6</v>
      </c>
      <c r="H1484" s="6">
        <v>0.91251157407407402</v>
      </c>
      <c r="I1484" s="22">
        <v>130.55083333333334</v>
      </c>
      <c r="J1484" s="22">
        <v>34.50033333333333</v>
      </c>
      <c r="K1484" s="27">
        <v>20.248999999999999</v>
      </c>
      <c r="L1484" s="27">
        <v>20</v>
      </c>
      <c r="M1484" s="27">
        <v>0</v>
      </c>
      <c r="N1484" s="21">
        <v>25.419499999999999</v>
      </c>
      <c r="O1484" s="24">
        <v>32.418100000000003</v>
      </c>
      <c r="P1484" s="31">
        <v>-0.17283041176470548</v>
      </c>
      <c r="Q1484" s="31">
        <v>-1.1944394599999999</v>
      </c>
      <c r="R1484" s="26" t="s">
        <v>280</v>
      </c>
      <c r="S1484" s="26">
        <v>1</v>
      </c>
      <c r="T1484" s="71" t="s">
        <v>626</v>
      </c>
    </row>
    <row r="1485" spans="1:20" ht="12.75" customHeight="1">
      <c r="A1485" s="26" t="s">
        <v>141</v>
      </c>
      <c r="B1485" s="26" t="s">
        <v>127</v>
      </c>
      <c r="C1485" s="26" t="s">
        <v>504</v>
      </c>
      <c r="D1485" s="25">
        <v>42619</v>
      </c>
      <c r="E1485" s="1">
        <f t="shared" si="86"/>
        <v>2016</v>
      </c>
      <c r="F1485" s="1">
        <f t="shared" si="88"/>
        <v>9</v>
      </c>
      <c r="G1485" s="4">
        <f t="shared" si="87"/>
        <v>6</v>
      </c>
      <c r="H1485" s="6">
        <v>0.91251157407407402</v>
      </c>
      <c r="I1485" s="22">
        <v>130.55083333333334</v>
      </c>
      <c r="J1485" s="22">
        <v>34.50033333333333</v>
      </c>
      <c r="K1485" s="27">
        <v>30.244</v>
      </c>
      <c r="L1485" s="27">
        <v>30</v>
      </c>
      <c r="M1485" s="27">
        <v>0</v>
      </c>
      <c r="N1485" s="21">
        <v>24.428000000000001</v>
      </c>
      <c r="O1485" s="24">
        <v>32.965499999999999</v>
      </c>
      <c r="P1485" s="31">
        <v>0.10313067764705908</v>
      </c>
      <c r="Q1485" s="31">
        <v>0.60948136000000197</v>
      </c>
      <c r="R1485" s="26" t="s">
        <v>280</v>
      </c>
      <c r="S1485" s="26">
        <v>1</v>
      </c>
      <c r="T1485" s="71" t="s">
        <v>626</v>
      </c>
    </row>
    <row r="1486" spans="1:20" ht="12.75" customHeight="1">
      <c r="A1486" s="26" t="s">
        <v>141</v>
      </c>
      <c r="B1486" s="26" t="s">
        <v>127</v>
      </c>
      <c r="C1486" s="26" t="s">
        <v>504</v>
      </c>
      <c r="D1486" s="25">
        <v>42619</v>
      </c>
      <c r="E1486" s="1">
        <f t="shared" si="86"/>
        <v>2016</v>
      </c>
      <c r="F1486" s="1">
        <f t="shared" si="88"/>
        <v>9</v>
      </c>
      <c r="G1486" s="4">
        <f t="shared" si="87"/>
        <v>6</v>
      </c>
      <c r="H1486" s="6">
        <v>0.91251157407407402</v>
      </c>
      <c r="I1486" s="22">
        <v>130.55083333333334</v>
      </c>
      <c r="J1486" s="22">
        <v>34.50033333333333</v>
      </c>
      <c r="K1486" s="27">
        <v>49.76</v>
      </c>
      <c r="L1486" s="27">
        <v>50</v>
      </c>
      <c r="M1486" s="27">
        <v>0</v>
      </c>
      <c r="N1486" s="21">
        <v>21.706499999999998</v>
      </c>
      <c r="O1486" s="24">
        <v>34.243000000000002</v>
      </c>
      <c r="P1486" s="31">
        <v>0.20046364705882325</v>
      </c>
      <c r="Q1486" s="31">
        <v>1.2544873599999971</v>
      </c>
      <c r="R1486" s="26" t="s">
        <v>280</v>
      </c>
      <c r="S1486" s="26">
        <v>1</v>
      </c>
      <c r="T1486" s="71" t="s">
        <v>626</v>
      </c>
    </row>
    <row r="1487" spans="1:20" ht="12.75" customHeight="1">
      <c r="A1487" s="26" t="s">
        <v>141</v>
      </c>
      <c r="B1487" s="26" t="s">
        <v>127</v>
      </c>
      <c r="C1487" s="26" t="s">
        <v>504</v>
      </c>
      <c r="D1487" s="25">
        <v>42619</v>
      </c>
      <c r="E1487" s="1">
        <f t="shared" si="86"/>
        <v>2016</v>
      </c>
      <c r="F1487" s="1">
        <f t="shared" si="88"/>
        <v>9</v>
      </c>
      <c r="G1487" s="4">
        <f t="shared" si="87"/>
        <v>6</v>
      </c>
      <c r="H1487" s="6">
        <v>0.91251157407407402</v>
      </c>
      <c r="I1487" s="22">
        <v>130.55083333333334</v>
      </c>
      <c r="J1487" s="22">
        <v>34.50033333333333</v>
      </c>
      <c r="K1487" s="27">
        <v>99.959000000000003</v>
      </c>
      <c r="L1487" s="27">
        <v>100</v>
      </c>
      <c r="M1487" s="27">
        <v>0</v>
      </c>
      <c r="N1487" s="21">
        <v>18.7441</v>
      </c>
      <c r="O1487" s="24">
        <v>34.434399999999997</v>
      </c>
      <c r="P1487" s="31">
        <v>0.29997594588235321</v>
      </c>
      <c r="Q1487" s="31">
        <v>1.4364768141176469</v>
      </c>
      <c r="R1487" s="26" t="s">
        <v>280</v>
      </c>
      <c r="S1487" s="26">
        <v>1</v>
      </c>
      <c r="T1487" s="71" t="s">
        <v>626</v>
      </c>
    </row>
    <row r="1488" spans="1:20" ht="12.75" customHeight="1">
      <c r="A1488" s="26" t="s">
        <v>141</v>
      </c>
      <c r="B1488" s="26" t="s">
        <v>127</v>
      </c>
      <c r="C1488" s="26" t="s">
        <v>504</v>
      </c>
      <c r="D1488" s="25">
        <v>42619</v>
      </c>
      <c r="E1488" s="1">
        <f t="shared" si="86"/>
        <v>2016</v>
      </c>
      <c r="F1488" s="1">
        <f t="shared" si="88"/>
        <v>9</v>
      </c>
      <c r="G1488" s="4">
        <f t="shared" si="87"/>
        <v>6</v>
      </c>
      <c r="H1488" s="6">
        <v>0.91251157407407402</v>
      </c>
      <c r="I1488" s="22">
        <v>130.55083333333334</v>
      </c>
      <c r="J1488" s="22">
        <v>34.50033333333333</v>
      </c>
      <c r="K1488" s="27">
        <v>112.89700000000001</v>
      </c>
      <c r="L1488" s="27">
        <v>113</v>
      </c>
      <c r="M1488" s="27">
        <v>0</v>
      </c>
      <c r="N1488" s="21">
        <v>18.375299999999999</v>
      </c>
      <c r="O1488" s="24">
        <v>34.433500000000002</v>
      </c>
      <c r="P1488" s="31">
        <v>0.217431027058824</v>
      </c>
      <c r="Q1488" s="31">
        <v>1.4090413729411786</v>
      </c>
      <c r="R1488" s="26" t="s">
        <v>280</v>
      </c>
      <c r="S1488" s="26">
        <v>1</v>
      </c>
      <c r="T1488" s="71" t="s">
        <v>626</v>
      </c>
    </row>
    <row r="1489" spans="1:20" ht="12.75" customHeight="1">
      <c r="A1489" s="26" t="s">
        <v>141</v>
      </c>
      <c r="B1489" s="26" t="s">
        <v>231</v>
      </c>
      <c r="C1489" s="26" t="s">
        <v>504</v>
      </c>
      <c r="D1489" s="25">
        <v>42620</v>
      </c>
      <c r="E1489" s="1">
        <f t="shared" si="86"/>
        <v>2016</v>
      </c>
      <c r="F1489" s="1">
        <f t="shared" si="88"/>
        <v>9</v>
      </c>
      <c r="G1489" s="4">
        <f t="shared" si="87"/>
        <v>7</v>
      </c>
      <c r="H1489" s="6">
        <v>0.6534375</v>
      </c>
      <c r="I1489" s="22">
        <v>129.98916666666668</v>
      </c>
      <c r="J1489" s="22">
        <v>34.000833333333333</v>
      </c>
      <c r="K1489" s="27">
        <v>0</v>
      </c>
      <c r="L1489" s="27">
        <v>0</v>
      </c>
      <c r="M1489" s="27">
        <v>0</v>
      </c>
      <c r="N1489" s="21">
        <v>26.4</v>
      </c>
      <c r="O1489" s="24">
        <v>32.049002885611699</v>
      </c>
      <c r="P1489" s="31">
        <v>-0.31252243176470573</v>
      </c>
      <c r="Q1489" s="31">
        <v>-2.0234268882352948</v>
      </c>
      <c r="R1489" s="26" t="s">
        <v>280</v>
      </c>
      <c r="S1489" s="26">
        <v>1</v>
      </c>
      <c r="T1489" s="71" t="s">
        <v>626</v>
      </c>
    </row>
    <row r="1490" spans="1:20" ht="12.75" customHeight="1">
      <c r="A1490" s="26" t="s">
        <v>141</v>
      </c>
      <c r="B1490" s="26" t="s">
        <v>231</v>
      </c>
      <c r="C1490" s="26" t="s">
        <v>504</v>
      </c>
      <c r="D1490" s="25">
        <v>42620</v>
      </c>
      <c r="E1490" s="1">
        <f t="shared" si="86"/>
        <v>2016</v>
      </c>
      <c r="F1490" s="1">
        <f t="shared" si="88"/>
        <v>9</v>
      </c>
      <c r="G1490" s="4">
        <f t="shared" si="87"/>
        <v>7</v>
      </c>
      <c r="H1490" s="6">
        <v>0.6534375</v>
      </c>
      <c r="I1490" s="22">
        <v>129.98916666666668</v>
      </c>
      <c r="J1490" s="22">
        <v>34.000833333333333</v>
      </c>
      <c r="K1490" s="27">
        <v>10.468999999999999</v>
      </c>
      <c r="L1490" s="27">
        <v>10</v>
      </c>
      <c r="M1490" s="27">
        <v>0</v>
      </c>
      <c r="N1490" s="21">
        <v>26.012799999999999</v>
      </c>
      <c r="O1490" s="24">
        <v>32.127200000000002</v>
      </c>
      <c r="P1490" s="31">
        <v>-0.28275743058823521</v>
      </c>
      <c r="Q1490" s="31">
        <v>-1.8650868494117647</v>
      </c>
      <c r="R1490" s="26" t="s">
        <v>280</v>
      </c>
      <c r="S1490" s="26">
        <v>1</v>
      </c>
      <c r="T1490" s="71" t="s">
        <v>626</v>
      </c>
    </row>
    <row r="1491" spans="1:20" ht="12.75" customHeight="1">
      <c r="A1491" s="26" t="s">
        <v>141</v>
      </c>
      <c r="B1491" s="26" t="s">
        <v>231</v>
      </c>
      <c r="C1491" s="26" t="s">
        <v>504</v>
      </c>
      <c r="D1491" s="25">
        <v>42620</v>
      </c>
      <c r="E1491" s="1">
        <f t="shared" si="86"/>
        <v>2016</v>
      </c>
      <c r="F1491" s="1">
        <f t="shared" si="88"/>
        <v>9</v>
      </c>
      <c r="G1491" s="4">
        <f t="shared" si="87"/>
        <v>7</v>
      </c>
      <c r="H1491" s="6">
        <v>0.6534375</v>
      </c>
      <c r="I1491" s="22">
        <v>129.98916666666668</v>
      </c>
      <c r="J1491" s="22">
        <v>34.000833333333333</v>
      </c>
      <c r="K1491" s="27">
        <v>19.873000000000001</v>
      </c>
      <c r="L1491" s="27">
        <v>20</v>
      </c>
      <c r="M1491" s="27">
        <v>0</v>
      </c>
      <c r="N1491" s="21">
        <v>25.482299999999999</v>
      </c>
      <c r="O1491" s="24">
        <v>32.508200000000002</v>
      </c>
      <c r="P1491" s="31">
        <v>-0.18930944941176442</v>
      </c>
      <c r="Q1491" s="31">
        <v>-1.3222347705882349</v>
      </c>
      <c r="R1491" s="26" t="s">
        <v>280</v>
      </c>
      <c r="S1491" s="26">
        <v>1</v>
      </c>
      <c r="T1491" s="71" t="s">
        <v>626</v>
      </c>
    </row>
    <row r="1492" spans="1:20" ht="12.75" customHeight="1">
      <c r="A1492" s="26" t="s">
        <v>141</v>
      </c>
      <c r="B1492" s="26" t="s">
        <v>231</v>
      </c>
      <c r="C1492" s="26" t="s">
        <v>504</v>
      </c>
      <c r="D1492" s="25">
        <v>42620</v>
      </c>
      <c r="E1492" s="1">
        <f t="shared" si="86"/>
        <v>2016</v>
      </c>
      <c r="F1492" s="1">
        <f t="shared" si="88"/>
        <v>9</v>
      </c>
      <c r="G1492" s="4">
        <f t="shared" si="87"/>
        <v>7</v>
      </c>
      <c r="H1492" s="6">
        <v>0.6534375</v>
      </c>
      <c r="I1492" s="22">
        <v>129.98916666666668</v>
      </c>
      <c r="J1492" s="22">
        <v>34.000833333333333</v>
      </c>
      <c r="K1492" s="27">
        <v>30.471</v>
      </c>
      <c r="L1492" s="27">
        <v>30</v>
      </c>
      <c r="M1492" s="27">
        <v>0</v>
      </c>
      <c r="N1492" s="21">
        <v>24.7333</v>
      </c>
      <c r="O1492" s="24">
        <v>32.903300000000002</v>
      </c>
      <c r="P1492" s="31">
        <v>-9.1181888235293718E-2</v>
      </c>
      <c r="Q1492" s="31">
        <v>-0.73107321176470563</v>
      </c>
      <c r="R1492" s="26" t="s">
        <v>280</v>
      </c>
      <c r="S1492" s="26">
        <v>1</v>
      </c>
      <c r="T1492" s="71" t="s">
        <v>626</v>
      </c>
    </row>
    <row r="1493" spans="1:20" ht="12.75" customHeight="1">
      <c r="A1493" s="26" t="s">
        <v>141</v>
      </c>
      <c r="B1493" s="26" t="s">
        <v>231</v>
      </c>
      <c r="C1493" s="26" t="s">
        <v>504</v>
      </c>
      <c r="D1493" s="25">
        <v>42620</v>
      </c>
      <c r="E1493" s="1">
        <f t="shared" si="86"/>
        <v>2016</v>
      </c>
      <c r="F1493" s="1">
        <f t="shared" si="88"/>
        <v>9</v>
      </c>
      <c r="G1493" s="4">
        <f t="shared" si="87"/>
        <v>7</v>
      </c>
      <c r="H1493" s="6">
        <v>0.6534375</v>
      </c>
      <c r="I1493" s="22">
        <v>129.98916666666668</v>
      </c>
      <c r="J1493" s="22">
        <v>34.000833333333333</v>
      </c>
      <c r="K1493" s="27">
        <v>50.161000000000001</v>
      </c>
      <c r="L1493" s="27">
        <v>50</v>
      </c>
      <c r="M1493" s="27">
        <v>0</v>
      </c>
      <c r="N1493" s="21">
        <v>22.7834</v>
      </c>
      <c r="O1493" s="24">
        <v>34.319499999999998</v>
      </c>
      <c r="P1493" s="31">
        <v>0.22057867294117672</v>
      </c>
      <c r="Q1493" s="31">
        <v>1.2634198270588239</v>
      </c>
      <c r="R1493" s="26" t="s">
        <v>280</v>
      </c>
      <c r="S1493" s="26">
        <v>1</v>
      </c>
      <c r="T1493" s="71" t="s">
        <v>626</v>
      </c>
    </row>
    <row r="1494" spans="1:20" ht="12.75" customHeight="1">
      <c r="A1494" s="26" t="s">
        <v>141</v>
      </c>
      <c r="B1494" s="26" t="s">
        <v>231</v>
      </c>
      <c r="C1494" s="26" t="s">
        <v>504</v>
      </c>
      <c r="D1494" s="25">
        <v>42620</v>
      </c>
      <c r="E1494" s="1">
        <f t="shared" si="86"/>
        <v>2016</v>
      </c>
      <c r="F1494" s="1">
        <f t="shared" si="88"/>
        <v>9</v>
      </c>
      <c r="G1494" s="4">
        <f t="shared" si="87"/>
        <v>7</v>
      </c>
      <c r="H1494" s="6">
        <v>0.6534375</v>
      </c>
      <c r="I1494" s="22">
        <v>129.98916666666668</v>
      </c>
      <c r="J1494" s="22">
        <v>34.000833333333333</v>
      </c>
      <c r="K1494" s="27">
        <v>75.036000000000001</v>
      </c>
      <c r="L1494" s="27">
        <v>75</v>
      </c>
      <c r="M1494" s="27">
        <v>0</v>
      </c>
      <c r="N1494" s="21">
        <v>20.292899999999999</v>
      </c>
      <c r="O1494" s="24">
        <v>34.409199999999998</v>
      </c>
      <c r="P1494" s="31">
        <v>0.22631145764705884</v>
      </c>
      <c r="Q1494" s="31">
        <v>1.4484444423529403</v>
      </c>
      <c r="R1494" s="26" t="s">
        <v>280</v>
      </c>
      <c r="S1494" s="26">
        <v>1</v>
      </c>
      <c r="T1494" s="71" t="s">
        <v>626</v>
      </c>
    </row>
    <row r="1495" spans="1:20" ht="12.75" customHeight="1">
      <c r="A1495" s="26" t="s">
        <v>141</v>
      </c>
      <c r="B1495" s="26" t="s">
        <v>128</v>
      </c>
      <c r="C1495" s="26" t="s">
        <v>504</v>
      </c>
      <c r="D1495" s="25">
        <v>42620</v>
      </c>
      <c r="E1495" s="1">
        <f t="shared" si="86"/>
        <v>2016</v>
      </c>
      <c r="F1495" s="1">
        <f t="shared" si="88"/>
        <v>9</v>
      </c>
      <c r="G1495" s="4">
        <f t="shared" si="87"/>
        <v>7</v>
      </c>
      <c r="H1495" s="6">
        <v>0.73434027777777777</v>
      </c>
      <c r="I1495" s="22">
        <v>130.14083333333335</v>
      </c>
      <c r="J1495" s="22">
        <v>34.165999999999997</v>
      </c>
      <c r="K1495" s="27">
        <v>0</v>
      </c>
      <c r="L1495" s="27">
        <v>0</v>
      </c>
      <c r="M1495" s="27">
        <v>0</v>
      </c>
      <c r="N1495" s="21">
        <v>26.2</v>
      </c>
      <c r="O1495" s="24">
        <v>32.214034594342117</v>
      </c>
      <c r="P1495" s="31">
        <v>-0.25725312117647059</v>
      </c>
      <c r="Q1495" s="31">
        <v>-1.9245206788235301</v>
      </c>
      <c r="R1495" s="26" t="s">
        <v>280</v>
      </c>
      <c r="S1495" s="26">
        <v>1</v>
      </c>
      <c r="T1495" s="71" t="s">
        <v>626</v>
      </c>
    </row>
    <row r="1496" spans="1:20" ht="12.75" customHeight="1">
      <c r="A1496" s="26" t="s">
        <v>141</v>
      </c>
      <c r="B1496" s="26" t="s">
        <v>128</v>
      </c>
      <c r="C1496" s="26" t="s">
        <v>504</v>
      </c>
      <c r="D1496" s="25">
        <v>42620</v>
      </c>
      <c r="E1496" s="1">
        <f t="shared" si="86"/>
        <v>2016</v>
      </c>
      <c r="F1496" s="1">
        <f t="shared" si="88"/>
        <v>9</v>
      </c>
      <c r="G1496" s="4">
        <f t="shared" si="87"/>
        <v>7</v>
      </c>
      <c r="H1496" s="6">
        <v>0.73434027777777777</v>
      </c>
      <c r="I1496" s="22">
        <v>130.14083333333335</v>
      </c>
      <c r="J1496" s="22">
        <v>34.165999999999997</v>
      </c>
      <c r="K1496" s="27">
        <v>10.105</v>
      </c>
      <c r="L1496" s="27">
        <v>10</v>
      </c>
      <c r="M1496" s="27">
        <v>0</v>
      </c>
      <c r="N1496" s="21">
        <v>25.664000000000001</v>
      </c>
      <c r="O1496" s="24">
        <v>32.271500000000003</v>
      </c>
      <c r="P1496" s="31">
        <v>-0.24396837999999987</v>
      </c>
      <c r="Q1496" s="31">
        <v>-1.7176747799999994</v>
      </c>
      <c r="R1496" s="26" t="s">
        <v>280</v>
      </c>
      <c r="S1496" s="26">
        <v>1</v>
      </c>
      <c r="T1496" s="71" t="s">
        <v>626</v>
      </c>
    </row>
    <row r="1497" spans="1:20" ht="12.75" customHeight="1">
      <c r="A1497" s="26" t="s">
        <v>141</v>
      </c>
      <c r="B1497" s="26" t="s">
        <v>128</v>
      </c>
      <c r="C1497" s="26" t="s">
        <v>504</v>
      </c>
      <c r="D1497" s="25">
        <v>42620</v>
      </c>
      <c r="E1497" s="1">
        <f t="shared" si="86"/>
        <v>2016</v>
      </c>
      <c r="F1497" s="1">
        <f t="shared" si="88"/>
        <v>9</v>
      </c>
      <c r="G1497" s="4">
        <f t="shared" si="87"/>
        <v>7</v>
      </c>
      <c r="H1497" s="6">
        <v>0.73434027777777777</v>
      </c>
      <c r="I1497" s="22">
        <v>130.14083333333335</v>
      </c>
      <c r="J1497" s="22">
        <v>34.165999999999997</v>
      </c>
      <c r="K1497" s="27">
        <v>20.074000000000002</v>
      </c>
      <c r="L1497" s="27">
        <v>20</v>
      </c>
      <c r="M1497" s="27">
        <v>0</v>
      </c>
      <c r="N1497" s="21">
        <v>25.3399</v>
      </c>
      <c r="O1497" s="24">
        <v>32.595300000000002</v>
      </c>
      <c r="P1497" s="31">
        <v>-0.11308375882352917</v>
      </c>
      <c r="Q1497" s="31">
        <v>-1.0336254811764691</v>
      </c>
      <c r="R1497" s="26" t="s">
        <v>280</v>
      </c>
      <c r="S1497" s="26">
        <v>1</v>
      </c>
      <c r="T1497" s="71" t="s">
        <v>626</v>
      </c>
    </row>
    <row r="1498" spans="1:20" ht="12.75" customHeight="1">
      <c r="A1498" s="26" t="s">
        <v>141</v>
      </c>
      <c r="B1498" s="26" t="s">
        <v>128</v>
      </c>
      <c r="C1498" s="26" t="s">
        <v>504</v>
      </c>
      <c r="D1498" s="25">
        <v>42620</v>
      </c>
      <c r="E1498" s="1">
        <f t="shared" si="86"/>
        <v>2016</v>
      </c>
      <c r="F1498" s="1">
        <f t="shared" si="88"/>
        <v>9</v>
      </c>
      <c r="G1498" s="4">
        <f t="shared" si="87"/>
        <v>7</v>
      </c>
      <c r="H1498" s="6">
        <v>0.73434027777777777</v>
      </c>
      <c r="I1498" s="22">
        <v>130.14083333333335</v>
      </c>
      <c r="J1498" s="22">
        <v>34.165999999999997</v>
      </c>
      <c r="K1498" s="27">
        <v>30.213999999999999</v>
      </c>
      <c r="L1498" s="27">
        <v>30</v>
      </c>
      <c r="M1498" s="27">
        <v>0</v>
      </c>
      <c r="N1498" s="21">
        <v>24.917400000000001</v>
      </c>
      <c r="O1498" s="24">
        <v>33.277099999999997</v>
      </c>
      <c r="P1498" s="31">
        <v>-2.1873837647058858E-2</v>
      </c>
      <c r="Q1498" s="31">
        <v>-0.178921962352943</v>
      </c>
      <c r="R1498" s="26" t="s">
        <v>280</v>
      </c>
      <c r="S1498" s="26">
        <v>1</v>
      </c>
      <c r="T1498" s="71" t="s">
        <v>626</v>
      </c>
    </row>
    <row r="1499" spans="1:20" ht="12.75" customHeight="1">
      <c r="A1499" s="26" t="s">
        <v>141</v>
      </c>
      <c r="B1499" s="26" t="s">
        <v>128</v>
      </c>
      <c r="C1499" s="26" t="s">
        <v>504</v>
      </c>
      <c r="D1499" s="25">
        <v>42620</v>
      </c>
      <c r="E1499" s="1">
        <f t="shared" si="86"/>
        <v>2016</v>
      </c>
      <c r="F1499" s="1">
        <f t="shared" si="88"/>
        <v>9</v>
      </c>
      <c r="G1499" s="4">
        <f t="shared" si="87"/>
        <v>7</v>
      </c>
      <c r="H1499" s="6">
        <v>0.73434027777777777</v>
      </c>
      <c r="I1499" s="22">
        <v>130.14083333333335</v>
      </c>
      <c r="J1499" s="22">
        <v>34.165999999999997</v>
      </c>
      <c r="K1499" s="27">
        <v>50.146999999999998</v>
      </c>
      <c r="L1499" s="27">
        <v>50</v>
      </c>
      <c r="M1499" s="27">
        <v>0</v>
      </c>
      <c r="N1499" s="21">
        <v>23.423400000000001</v>
      </c>
      <c r="O1499" s="24">
        <v>34.474899999999998</v>
      </c>
      <c r="P1499" s="31">
        <v>0.20158508352941196</v>
      </c>
      <c r="Q1499" s="31">
        <v>1.3360111164705888</v>
      </c>
      <c r="R1499" s="26" t="s">
        <v>280</v>
      </c>
      <c r="S1499" s="26">
        <v>1</v>
      </c>
      <c r="T1499" s="71" t="s">
        <v>626</v>
      </c>
    </row>
    <row r="1500" spans="1:20" ht="12.75" customHeight="1">
      <c r="A1500" s="26" t="s">
        <v>141</v>
      </c>
      <c r="B1500" s="26" t="s">
        <v>128</v>
      </c>
      <c r="C1500" s="26" t="s">
        <v>504</v>
      </c>
      <c r="D1500" s="25">
        <v>42620</v>
      </c>
      <c r="E1500" s="1">
        <f t="shared" si="86"/>
        <v>2016</v>
      </c>
      <c r="F1500" s="1">
        <f t="shared" si="88"/>
        <v>9</v>
      </c>
      <c r="G1500" s="4">
        <f t="shared" si="87"/>
        <v>7</v>
      </c>
      <c r="H1500" s="6">
        <v>0.73434027777777777</v>
      </c>
      <c r="I1500" s="22">
        <v>130.14083333333335</v>
      </c>
      <c r="J1500" s="22">
        <v>34.165999999999997</v>
      </c>
      <c r="K1500" s="27">
        <v>79.516000000000005</v>
      </c>
      <c r="L1500" s="27">
        <v>80</v>
      </c>
      <c r="M1500" s="27">
        <v>0</v>
      </c>
      <c r="N1500" s="21">
        <v>18.218599999999999</v>
      </c>
      <c r="O1500" s="24">
        <v>34.382399999999997</v>
      </c>
      <c r="P1500" s="31">
        <v>0.24335422470588242</v>
      </c>
      <c r="Q1500" s="31">
        <v>1.2602661952941165</v>
      </c>
      <c r="R1500" s="26" t="s">
        <v>280</v>
      </c>
      <c r="S1500" s="26">
        <v>1</v>
      </c>
      <c r="T1500" s="71" t="s">
        <v>626</v>
      </c>
    </row>
    <row r="1501" spans="1:20" ht="12.75" customHeight="1">
      <c r="A1501" s="26" t="s">
        <v>141</v>
      </c>
      <c r="B1501" s="26" t="s">
        <v>232</v>
      </c>
      <c r="C1501" s="26" t="s">
        <v>504</v>
      </c>
      <c r="D1501" s="25">
        <v>42620</v>
      </c>
      <c r="E1501" s="1">
        <f t="shared" si="86"/>
        <v>2016</v>
      </c>
      <c r="F1501" s="1">
        <f t="shared" si="88"/>
        <v>9</v>
      </c>
      <c r="G1501" s="4">
        <f t="shared" si="87"/>
        <v>7</v>
      </c>
      <c r="H1501" s="6">
        <v>0.89474537037037039</v>
      </c>
      <c r="I1501" s="22">
        <v>130.221</v>
      </c>
      <c r="J1501" s="22">
        <v>34.334833333333336</v>
      </c>
      <c r="K1501" s="27">
        <v>0</v>
      </c>
      <c r="L1501" s="27">
        <v>0</v>
      </c>
      <c r="M1501" s="27">
        <v>0</v>
      </c>
      <c r="N1501" s="21">
        <v>25.6</v>
      </c>
      <c r="O1501" s="24">
        <v>31.901432562573962</v>
      </c>
      <c r="P1501" s="31">
        <v>-0.3486545341176468</v>
      </c>
      <c r="Q1501" s="31">
        <v>-2.4139458458823517</v>
      </c>
      <c r="R1501" s="26" t="s">
        <v>280</v>
      </c>
      <c r="S1501" s="26">
        <v>1</v>
      </c>
      <c r="T1501" s="71" t="s">
        <v>626</v>
      </c>
    </row>
    <row r="1502" spans="1:20" ht="12.75" customHeight="1">
      <c r="A1502" s="26" t="s">
        <v>141</v>
      </c>
      <c r="B1502" s="26" t="s">
        <v>232</v>
      </c>
      <c r="C1502" s="26" t="s">
        <v>504</v>
      </c>
      <c r="D1502" s="25">
        <v>42620</v>
      </c>
      <c r="E1502" s="1">
        <f t="shared" si="86"/>
        <v>2016</v>
      </c>
      <c r="F1502" s="1">
        <f t="shared" si="88"/>
        <v>9</v>
      </c>
      <c r="G1502" s="4">
        <f t="shared" si="87"/>
        <v>7</v>
      </c>
      <c r="H1502" s="6">
        <v>0.89474537037037039</v>
      </c>
      <c r="I1502" s="22">
        <v>130.221</v>
      </c>
      <c r="J1502" s="22">
        <v>34.334833333333336</v>
      </c>
      <c r="K1502" s="27">
        <v>10.37</v>
      </c>
      <c r="L1502" s="27">
        <v>10</v>
      </c>
      <c r="M1502" s="27">
        <v>0</v>
      </c>
      <c r="N1502" s="21">
        <v>24.802099999999999</v>
      </c>
      <c r="O1502" s="24">
        <v>32.142600000000002</v>
      </c>
      <c r="P1502" s="31">
        <v>-0.28747398000000013</v>
      </c>
      <c r="Q1502" s="31">
        <v>-1.8315370705882339</v>
      </c>
      <c r="R1502" s="26" t="s">
        <v>280</v>
      </c>
      <c r="S1502" s="26">
        <v>1</v>
      </c>
      <c r="T1502" s="71" t="s">
        <v>626</v>
      </c>
    </row>
    <row r="1503" spans="1:20" ht="12.75" customHeight="1">
      <c r="A1503" s="26" t="s">
        <v>141</v>
      </c>
      <c r="B1503" s="26" t="s">
        <v>232</v>
      </c>
      <c r="C1503" s="26" t="s">
        <v>504</v>
      </c>
      <c r="D1503" s="25">
        <v>42620</v>
      </c>
      <c r="E1503" s="1">
        <f t="shared" si="86"/>
        <v>2016</v>
      </c>
      <c r="F1503" s="1">
        <f t="shared" si="88"/>
        <v>9</v>
      </c>
      <c r="G1503" s="4">
        <f t="shared" si="87"/>
        <v>7</v>
      </c>
      <c r="H1503" s="6">
        <v>0.89474537037037039</v>
      </c>
      <c r="I1503" s="22">
        <v>130.221</v>
      </c>
      <c r="J1503" s="22">
        <v>34.334833333333336</v>
      </c>
      <c r="K1503" s="27">
        <v>20.134</v>
      </c>
      <c r="L1503" s="27">
        <v>20</v>
      </c>
      <c r="M1503" s="27">
        <v>0</v>
      </c>
      <c r="N1503" s="21">
        <v>24.636099999999999</v>
      </c>
      <c r="O1503" s="24">
        <v>32.445500000000003</v>
      </c>
      <c r="P1503" s="31">
        <v>-0.17853600000000025</v>
      </c>
      <c r="Q1503" s="31">
        <v>-0.8959751247058847</v>
      </c>
      <c r="R1503" s="26" t="s">
        <v>280</v>
      </c>
      <c r="S1503" s="26">
        <v>1</v>
      </c>
      <c r="T1503" s="71" t="s">
        <v>626</v>
      </c>
    </row>
    <row r="1504" spans="1:20" ht="12.75" customHeight="1">
      <c r="A1504" s="26" t="s">
        <v>141</v>
      </c>
      <c r="B1504" s="26" t="s">
        <v>232</v>
      </c>
      <c r="C1504" s="26" t="s">
        <v>504</v>
      </c>
      <c r="D1504" s="25">
        <v>42620</v>
      </c>
      <c r="E1504" s="1">
        <f t="shared" si="86"/>
        <v>2016</v>
      </c>
      <c r="F1504" s="1">
        <f t="shared" si="88"/>
        <v>9</v>
      </c>
      <c r="G1504" s="4">
        <f t="shared" si="87"/>
        <v>7</v>
      </c>
      <c r="H1504" s="6">
        <v>0.89474537037037039</v>
      </c>
      <c r="I1504" s="22">
        <v>130.221</v>
      </c>
      <c r="J1504" s="22">
        <v>34.334833333333336</v>
      </c>
      <c r="K1504" s="27">
        <v>30.341999999999999</v>
      </c>
      <c r="L1504" s="27">
        <v>30</v>
      </c>
      <c r="M1504" s="27">
        <v>0</v>
      </c>
      <c r="N1504" s="21">
        <v>22.037500000000001</v>
      </c>
      <c r="O1504" s="24">
        <v>33.47</v>
      </c>
      <c r="P1504" s="31">
        <v>9.7288260000000015E-2</v>
      </c>
      <c r="Q1504" s="31">
        <v>0.62944726117647143</v>
      </c>
      <c r="R1504" s="26" t="s">
        <v>280</v>
      </c>
      <c r="S1504" s="26">
        <v>1</v>
      </c>
      <c r="T1504" s="71" t="s">
        <v>626</v>
      </c>
    </row>
    <row r="1505" spans="1:20" ht="12.75" customHeight="1">
      <c r="A1505" s="26" t="s">
        <v>141</v>
      </c>
      <c r="B1505" s="26" t="s">
        <v>232</v>
      </c>
      <c r="C1505" s="26" t="s">
        <v>504</v>
      </c>
      <c r="D1505" s="25">
        <v>42620</v>
      </c>
      <c r="E1505" s="1">
        <f t="shared" si="86"/>
        <v>2016</v>
      </c>
      <c r="F1505" s="1">
        <f t="shared" si="88"/>
        <v>9</v>
      </c>
      <c r="G1505" s="4">
        <f t="shared" si="87"/>
        <v>7</v>
      </c>
      <c r="H1505" s="6">
        <v>0.89474537037037039</v>
      </c>
      <c r="I1505" s="22">
        <v>130.221</v>
      </c>
      <c r="J1505" s="22">
        <v>34.334833333333336</v>
      </c>
      <c r="K1505" s="27">
        <v>50.61</v>
      </c>
      <c r="L1505" s="27">
        <v>50</v>
      </c>
      <c r="M1505" s="27">
        <v>0</v>
      </c>
      <c r="N1505" s="21">
        <v>20.382200000000001</v>
      </c>
      <c r="O1505" s="24">
        <v>34.251100000000001</v>
      </c>
      <c r="P1505" s="31">
        <v>0.16030175999999985</v>
      </c>
      <c r="Q1505" s="31">
        <v>1.0695500870588237</v>
      </c>
      <c r="R1505" s="26" t="s">
        <v>280</v>
      </c>
      <c r="S1505" s="26">
        <v>1</v>
      </c>
      <c r="T1505" s="71" t="s">
        <v>626</v>
      </c>
    </row>
    <row r="1506" spans="1:20" ht="12.75" customHeight="1">
      <c r="A1506" s="26" t="s">
        <v>141</v>
      </c>
      <c r="B1506" s="26" t="s">
        <v>232</v>
      </c>
      <c r="C1506" s="26" t="s">
        <v>504</v>
      </c>
      <c r="D1506" s="25">
        <v>42620</v>
      </c>
      <c r="E1506" s="1">
        <f t="shared" si="86"/>
        <v>2016</v>
      </c>
      <c r="F1506" s="1">
        <f t="shared" si="88"/>
        <v>9</v>
      </c>
      <c r="G1506" s="4">
        <f t="shared" si="87"/>
        <v>7</v>
      </c>
      <c r="H1506" s="6">
        <v>0.89474537037037039</v>
      </c>
      <c r="I1506" s="22">
        <v>130.221</v>
      </c>
      <c r="J1506" s="22">
        <v>34.334833333333336</v>
      </c>
      <c r="K1506" s="27">
        <v>99.605000000000004</v>
      </c>
      <c r="L1506" s="27">
        <v>100</v>
      </c>
      <c r="M1506" s="27">
        <v>0</v>
      </c>
      <c r="N1506" s="21">
        <v>17.527000000000001</v>
      </c>
      <c r="O1506" s="24">
        <v>34.4465</v>
      </c>
      <c r="P1506" s="31">
        <v>0.19522751999999954</v>
      </c>
      <c r="Q1506" s="31">
        <v>1.1363833929411786</v>
      </c>
      <c r="R1506" s="26" t="s">
        <v>280</v>
      </c>
      <c r="S1506" s="26">
        <v>1</v>
      </c>
      <c r="T1506" s="71" t="s">
        <v>626</v>
      </c>
    </row>
    <row r="1507" spans="1:20" ht="12.75" customHeight="1">
      <c r="A1507" s="26" t="s">
        <v>141</v>
      </c>
      <c r="B1507" s="26" t="s">
        <v>233</v>
      </c>
      <c r="C1507" s="26" t="s">
        <v>504</v>
      </c>
      <c r="D1507" s="25">
        <v>42621</v>
      </c>
      <c r="E1507" s="1">
        <f t="shared" si="86"/>
        <v>2016</v>
      </c>
      <c r="F1507" s="1">
        <f t="shared" si="88"/>
        <v>9</v>
      </c>
      <c r="G1507" s="4">
        <f t="shared" si="87"/>
        <v>8</v>
      </c>
      <c r="H1507" s="6">
        <v>0.77430555555555547</v>
      </c>
      <c r="I1507" s="22">
        <v>129.58016666666666</v>
      </c>
      <c r="J1507" s="22">
        <v>34.014333333333333</v>
      </c>
      <c r="K1507" s="27">
        <v>0</v>
      </c>
      <c r="L1507" s="27">
        <v>0</v>
      </c>
      <c r="M1507" s="27">
        <v>0</v>
      </c>
      <c r="N1507" s="21">
        <v>26.747762333333302</v>
      </c>
      <c r="O1507" s="24">
        <v>32.655693333333303</v>
      </c>
      <c r="P1507" s="31">
        <v>-0.15302910000000014</v>
      </c>
      <c r="Q1507" s="31">
        <v>-1.1195681811764686</v>
      </c>
      <c r="R1507" s="26" t="s">
        <v>280</v>
      </c>
      <c r="S1507" s="26"/>
      <c r="T1507" s="71" t="s">
        <v>626</v>
      </c>
    </row>
    <row r="1508" spans="1:20" ht="12.75" customHeight="1">
      <c r="A1508" s="26" t="s">
        <v>141</v>
      </c>
      <c r="B1508" s="26" t="s">
        <v>234</v>
      </c>
      <c r="C1508" s="26" t="s">
        <v>504</v>
      </c>
      <c r="D1508" s="25">
        <v>42621</v>
      </c>
      <c r="E1508" s="1">
        <f t="shared" ref="E1508:E1571" si="89">YEAR(D1508)</f>
        <v>2016</v>
      </c>
      <c r="F1508" s="1">
        <f t="shared" si="88"/>
        <v>9</v>
      </c>
      <c r="G1508" s="4">
        <f t="shared" ref="G1508:G1571" si="90">DAY(D1508)</f>
        <v>8</v>
      </c>
      <c r="H1508" s="6">
        <v>0.84630787037037036</v>
      </c>
      <c r="I1508" s="22">
        <v>129.75416666666666</v>
      </c>
      <c r="J1508" s="22">
        <v>34.167499999999997</v>
      </c>
      <c r="K1508" s="27">
        <v>0</v>
      </c>
      <c r="L1508" s="27">
        <v>0</v>
      </c>
      <c r="M1508" s="27">
        <v>0</v>
      </c>
      <c r="N1508" s="21">
        <v>27.0777623333333</v>
      </c>
      <c r="O1508" s="24">
        <v>33.056526666666606</v>
      </c>
      <c r="P1508" s="31">
        <v>-6.0287700000000166E-2</v>
      </c>
      <c r="Q1508" s="31">
        <v>-0.48612987529411456</v>
      </c>
      <c r="R1508" s="26" t="s">
        <v>280</v>
      </c>
      <c r="S1508" s="26"/>
      <c r="T1508" s="71" t="s">
        <v>626</v>
      </c>
    </row>
    <row r="1509" spans="1:20" ht="12.75" customHeight="1">
      <c r="A1509" s="26" t="s">
        <v>141</v>
      </c>
      <c r="B1509" s="26" t="s">
        <v>131</v>
      </c>
      <c r="C1509" s="26" t="s">
        <v>504</v>
      </c>
      <c r="D1509" s="25">
        <v>42622</v>
      </c>
      <c r="E1509" s="1">
        <f t="shared" si="89"/>
        <v>2016</v>
      </c>
      <c r="F1509" s="1">
        <f t="shared" si="88"/>
        <v>9</v>
      </c>
      <c r="G1509" s="4">
        <f t="shared" si="90"/>
        <v>9</v>
      </c>
      <c r="H1509" s="6">
        <v>0.64120370370370372</v>
      </c>
      <c r="I1509" s="22">
        <v>128.48766666666666</v>
      </c>
      <c r="J1509" s="22">
        <v>33.500500000000002</v>
      </c>
      <c r="K1509" s="27">
        <v>0</v>
      </c>
      <c r="L1509" s="27">
        <v>0</v>
      </c>
      <c r="M1509" s="27">
        <v>0</v>
      </c>
      <c r="N1509" s="21">
        <v>27.674429</v>
      </c>
      <c r="O1509" s="24">
        <v>33.3825266666666</v>
      </c>
      <c r="P1509" s="31">
        <v>-3.207720000000025E-3</v>
      </c>
      <c r="Q1509" s="31">
        <v>-3.965093176470269E-2</v>
      </c>
      <c r="R1509" s="26" t="s">
        <v>280</v>
      </c>
      <c r="S1509" s="26"/>
      <c r="T1509" s="71" t="s">
        <v>626</v>
      </c>
    </row>
    <row r="1510" spans="1:20" ht="12.75" customHeight="1">
      <c r="A1510" s="26" t="s">
        <v>141</v>
      </c>
      <c r="B1510" s="26" t="s">
        <v>134</v>
      </c>
      <c r="C1510" s="26" t="s">
        <v>504</v>
      </c>
      <c r="D1510" s="25">
        <v>42622</v>
      </c>
      <c r="E1510" s="1">
        <f t="shared" si="89"/>
        <v>2016</v>
      </c>
      <c r="F1510" s="1">
        <f t="shared" si="88"/>
        <v>9</v>
      </c>
      <c r="G1510" s="4">
        <f t="shared" si="90"/>
        <v>9</v>
      </c>
      <c r="H1510" s="6">
        <v>0.74806712962962962</v>
      </c>
      <c r="I1510" s="22">
        <v>128.58533333333332</v>
      </c>
      <c r="J1510" s="22">
        <v>33.666499999999999</v>
      </c>
      <c r="K1510" s="27">
        <v>0</v>
      </c>
      <c r="L1510" s="27">
        <v>0</v>
      </c>
      <c r="M1510" s="27">
        <v>0</v>
      </c>
      <c r="N1510" s="21">
        <v>27.487762333333301</v>
      </c>
      <c r="O1510" s="24">
        <v>33.2456933333333</v>
      </c>
      <c r="P1510" s="31">
        <v>-5.2955220000000303E-2</v>
      </c>
      <c r="Q1510" s="31">
        <v>-0.39535714588235216</v>
      </c>
      <c r="R1510" s="26" t="s">
        <v>280</v>
      </c>
      <c r="S1510" s="26"/>
      <c r="T1510" s="71" t="s">
        <v>626</v>
      </c>
    </row>
    <row r="1511" spans="1:20" ht="12.75" customHeight="1">
      <c r="A1511" s="26" t="s">
        <v>141</v>
      </c>
      <c r="B1511" s="26" t="s">
        <v>235</v>
      </c>
      <c r="C1511" s="26" t="s">
        <v>504</v>
      </c>
      <c r="D1511" s="25">
        <v>42626</v>
      </c>
      <c r="E1511" s="1">
        <f t="shared" si="89"/>
        <v>2016</v>
      </c>
      <c r="F1511" s="1">
        <f t="shared" si="88"/>
        <v>9</v>
      </c>
      <c r="G1511" s="4">
        <f t="shared" si="90"/>
        <v>13</v>
      </c>
      <c r="H1511" s="6">
        <v>0.65840277777777778</v>
      </c>
      <c r="I1511" s="22">
        <v>128.15733333333333</v>
      </c>
      <c r="J1511" s="22">
        <v>33.000999999999998</v>
      </c>
      <c r="K1511" s="27">
        <v>0</v>
      </c>
      <c r="L1511" s="27">
        <v>0</v>
      </c>
      <c r="M1511" s="27">
        <v>0</v>
      </c>
      <c r="N1511" s="21">
        <v>27.1680004285714</v>
      </c>
      <c r="O1511" s="24">
        <v>33.497145714285701</v>
      </c>
      <c r="P1511" s="31">
        <v>5.1377999999999702E-3</v>
      </c>
      <c r="Q1511" s="31">
        <v>7.0563160000000735E-2</v>
      </c>
      <c r="R1511" s="26" t="s">
        <v>280</v>
      </c>
      <c r="S1511" s="26"/>
      <c r="T1511" s="71" t="s">
        <v>626</v>
      </c>
    </row>
    <row r="1512" spans="1:20" ht="12.75" customHeight="1">
      <c r="A1512" s="26" t="s">
        <v>141</v>
      </c>
      <c r="B1512" s="26" t="s">
        <v>236</v>
      </c>
      <c r="C1512" s="26" t="s">
        <v>504</v>
      </c>
      <c r="D1512" s="25">
        <v>42626</v>
      </c>
      <c r="E1512" s="1">
        <f t="shared" si="89"/>
        <v>2016</v>
      </c>
      <c r="F1512" s="1">
        <f t="shared" si="88"/>
        <v>9</v>
      </c>
      <c r="G1512" s="4">
        <f t="shared" si="90"/>
        <v>13</v>
      </c>
      <c r="H1512" s="6">
        <v>0.76408564814814817</v>
      </c>
      <c r="I1512" s="22">
        <v>128.44733333333335</v>
      </c>
      <c r="J1512" s="22">
        <v>33.000833333333333</v>
      </c>
      <c r="K1512" s="27">
        <v>0</v>
      </c>
      <c r="L1512" s="27">
        <v>0</v>
      </c>
      <c r="M1512" s="27">
        <v>0</v>
      </c>
      <c r="N1512" s="21">
        <v>26.9510956666666</v>
      </c>
      <c r="O1512" s="24">
        <v>33.435860000000005</v>
      </c>
      <c r="P1512" s="31">
        <v>-1.877718000000006E-2</v>
      </c>
      <c r="Q1512" s="31">
        <v>9.0973858823542031E-3</v>
      </c>
      <c r="R1512" s="26" t="s">
        <v>280</v>
      </c>
      <c r="S1512" s="26"/>
      <c r="T1512" s="71" t="s">
        <v>626</v>
      </c>
    </row>
    <row r="1513" spans="1:20" ht="12.75" customHeight="1">
      <c r="A1513" s="26" t="s">
        <v>141</v>
      </c>
      <c r="B1513" s="26" t="s">
        <v>136</v>
      </c>
      <c r="C1513" s="26" t="s">
        <v>504</v>
      </c>
      <c r="D1513" s="25">
        <v>42627</v>
      </c>
      <c r="E1513" s="1">
        <f t="shared" si="89"/>
        <v>2016</v>
      </c>
      <c r="F1513" s="1">
        <f t="shared" si="88"/>
        <v>9</v>
      </c>
      <c r="G1513" s="4">
        <f t="shared" si="90"/>
        <v>14</v>
      </c>
      <c r="H1513" s="6">
        <v>2.568287037037037E-2</v>
      </c>
      <c r="I1513" s="22">
        <v>128.65299999999999</v>
      </c>
      <c r="J1513" s="22">
        <v>33.124333333333333</v>
      </c>
      <c r="K1513" s="27">
        <v>0</v>
      </c>
      <c r="L1513" s="27">
        <v>0</v>
      </c>
      <c r="M1513" s="27">
        <v>0</v>
      </c>
      <c r="N1513" s="21">
        <v>27.195143285714202</v>
      </c>
      <c r="O1513" s="24">
        <v>33.661002857142805</v>
      </c>
      <c r="P1513" s="31">
        <v>3.0294959999999982E-2</v>
      </c>
      <c r="Q1513" s="31">
        <v>0.22374069176470712</v>
      </c>
      <c r="R1513" s="26" t="s">
        <v>280</v>
      </c>
      <c r="S1513" s="26"/>
      <c r="T1513" s="71" t="s">
        <v>626</v>
      </c>
    </row>
    <row r="1514" spans="1:20" ht="12.75" customHeight="1">
      <c r="A1514" s="26" t="s">
        <v>141</v>
      </c>
      <c r="B1514" s="26" t="s">
        <v>237</v>
      </c>
      <c r="C1514" s="26" t="s">
        <v>504</v>
      </c>
      <c r="D1514" s="25">
        <v>42627</v>
      </c>
      <c r="E1514" s="1">
        <f t="shared" si="89"/>
        <v>2016</v>
      </c>
      <c r="F1514" s="1">
        <f t="shared" si="88"/>
        <v>9</v>
      </c>
      <c r="G1514" s="4">
        <f t="shared" si="90"/>
        <v>14</v>
      </c>
      <c r="H1514" s="6">
        <v>0.66609953703703706</v>
      </c>
      <c r="I1514" s="22">
        <v>127.9905</v>
      </c>
      <c r="J1514" s="22">
        <v>32.500999999999998</v>
      </c>
      <c r="K1514" s="27">
        <v>0</v>
      </c>
      <c r="L1514" s="27">
        <v>0</v>
      </c>
      <c r="M1514" s="27">
        <v>0</v>
      </c>
      <c r="N1514" s="21">
        <v>27.689429000000001</v>
      </c>
      <c r="O1514" s="24">
        <v>33.937290870794968</v>
      </c>
      <c r="P1514" s="31">
        <v>7.0551240000000126E-2</v>
      </c>
      <c r="Q1514" s="31">
        <v>0.63073407764705891</v>
      </c>
      <c r="R1514" s="26" t="s">
        <v>280</v>
      </c>
      <c r="S1514" s="26"/>
      <c r="T1514" s="71" t="s">
        <v>626</v>
      </c>
    </row>
    <row r="1515" spans="1:20" ht="12.75" customHeight="1">
      <c r="A1515" s="26" t="s">
        <v>141</v>
      </c>
      <c r="B1515" s="26" t="s">
        <v>238</v>
      </c>
      <c r="C1515" s="26" t="s">
        <v>504</v>
      </c>
      <c r="D1515" s="25">
        <v>42627</v>
      </c>
      <c r="E1515" s="1">
        <f t="shared" si="89"/>
        <v>2016</v>
      </c>
      <c r="F1515" s="1">
        <f t="shared" si="88"/>
        <v>9</v>
      </c>
      <c r="G1515" s="4">
        <f t="shared" si="90"/>
        <v>14</v>
      </c>
      <c r="H1515" s="6">
        <v>0.75393518518518521</v>
      </c>
      <c r="I1515" s="22">
        <v>128.24916666666667</v>
      </c>
      <c r="J1515" s="22">
        <v>32.499166666666667</v>
      </c>
      <c r="K1515" s="27">
        <v>0</v>
      </c>
      <c r="L1515" s="27">
        <v>0</v>
      </c>
      <c r="M1515" s="27">
        <v>0</v>
      </c>
      <c r="N1515" s="21">
        <v>26.589429000000003</v>
      </c>
      <c r="O1515" s="24">
        <v>33.366912756476715</v>
      </c>
      <c r="P1515" s="31">
        <v>-6.4689600000000347E-2</v>
      </c>
      <c r="Q1515" s="31">
        <v>-0.24703705647058705</v>
      </c>
      <c r="R1515" s="26" t="s">
        <v>280</v>
      </c>
      <c r="S1515" s="26"/>
      <c r="T1515" s="71" t="s">
        <v>626</v>
      </c>
    </row>
    <row r="1516" spans="1:20" ht="12.75" customHeight="1">
      <c r="A1516" s="26" t="s">
        <v>141</v>
      </c>
      <c r="B1516" s="26" t="s">
        <v>239</v>
      </c>
      <c r="C1516" s="26" t="s">
        <v>504</v>
      </c>
      <c r="D1516" s="25">
        <v>42627</v>
      </c>
      <c r="E1516" s="1">
        <f t="shared" si="89"/>
        <v>2016</v>
      </c>
      <c r="F1516" s="1">
        <f t="shared" si="88"/>
        <v>9</v>
      </c>
      <c r="G1516" s="4">
        <f t="shared" si="90"/>
        <v>14</v>
      </c>
      <c r="H1516" s="6">
        <v>0.97081018518518514</v>
      </c>
      <c r="I1516" s="22">
        <v>128.04316666666668</v>
      </c>
      <c r="J1516" s="22">
        <v>32.722333333333331</v>
      </c>
      <c r="K1516" s="27">
        <v>0</v>
      </c>
      <c r="L1516" s="27">
        <v>0</v>
      </c>
      <c r="M1516" s="27">
        <v>0</v>
      </c>
      <c r="N1516" s="21">
        <v>27.189429000000001</v>
      </c>
      <c r="O1516" s="24">
        <v>33.828598654239073</v>
      </c>
      <c r="P1516" s="31">
        <v>9.1607999999999912E-2</v>
      </c>
      <c r="Q1516" s="31">
        <v>0.37354177941176658</v>
      </c>
      <c r="R1516" s="26" t="s">
        <v>280</v>
      </c>
      <c r="S1516" s="26"/>
      <c r="T1516" s="71" t="s">
        <v>626</v>
      </c>
    </row>
    <row r="1517" spans="1:20" ht="12.75" customHeight="1">
      <c r="A1517" s="26" t="s">
        <v>141</v>
      </c>
      <c r="B1517" s="26" t="s">
        <v>146</v>
      </c>
      <c r="C1517" s="26" t="s">
        <v>504</v>
      </c>
      <c r="D1517" s="25">
        <v>42628</v>
      </c>
      <c r="E1517" s="1">
        <f t="shared" si="89"/>
        <v>2016</v>
      </c>
      <c r="F1517" s="1">
        <f t="shared" si="88"/>
        <v>9</v>
      </c>
      <c r="G1517" s="4">
        <f t="shared" si="90"/>
        <v>15</v>
      </c>
      <c r="H1517" s="6">
        <v>0.65157407407407408</v>
      </c>
      <c r="I1517" s="22">
        <v>127.97466666666666</v>
      </c>
      <c r="J1517" s="22">
        <v>32.00183333333333</v>
      </c>
      <c r="K1517" s="27">
        <v>0</v>
      </c>
      <c r="L1517" s="27">
        <v>0</v>
      </c>
      <c r="M1517" s="27">
        <v>0</v>
      </c>
      <c r="N1517" s="21">
        <v>27.189429000000001</v>
      </c>
      <c r="O1517" s="24">
        <v>33.575342294378522</v>
      </c>
      <c r="P1517" s="31">
        <v>7.4320000000001052E-3</v>
      </c>
      <c r="Q1517" s="31">
        <v>-0.13316185411764714</v>
      </c>
      <c r="R1517" s="26" t="s">
        <v>280</v>
      </c>
      <c r="S1517" s="26"/>
      <c r="T1517" s="71" t="s">
        <v>626</v>
      </c>
    </row>
    <row r="1518" spans="1:20" ht="12.75" customHeight="1">
      <c r="A1518" s="26" t="s">
        <v>141</v>
      </c>
      <c r="B1518" s="26" t="s">
        <v>240</v>
      </c>
      <c r="C1518" s="26" t="s">
        <v>504</v>
      </c>
      <c r="D1518" s="25">
        <v>42628</v>
      </c>
      <c r="E1518" s="1">
        <f t="shared" si="89"/>
        <v>2016</v>
      </c>
      <c r="F1518" s="1">
        <f t="shared" si="88"/>
        <v>9</v>
      </c>
      <c r="G1518" s="4">
        <f t="shared" si="90"/>
        <v>15</v>
      </c>
      <c r="H1518" s="6">
        <v>0.75813657407407409</v>
      </c>
      <c r="I1518" s="22">
        <v>128.35</v>
      </c>
      <c r="J1518" s="22">
        <v>32.167000000000002</v>
      </c>
      <c r="K1518" s="27">
        <v>0</v>
      </c>
      <c r="L1518" s="27">
        <v>0</v>
      </c>
      <c r="M1518" s="27">
        <v>0</v>
      </c>
      <c r="N1518" s="21">
        <v>27.589429000000003</v>
      </c>
      <c r="O1518" s="24">
        <v>34.015993934626081</v>
      </c>
      <c r="P1518" s="31">
        <v>8.7723999999999913E-2</v>
      </c>
      <c r="Q1518" s="31">
        <v>0.39309012705882473</v>
      </c>
      <c r="R1518" s="26" t="s">
        <v>280</v>
      </c>
      <c r="S1518" s="26"/>
      <c r="T1518" s="71" t="s">
        <v>626</v>
      </c>
    </row>
    <row r="1519" spans="1:20" ht="12.75" customHeight="1">
      <c r="A1519" s="26" t="s">
        <v>141</v>
      </c>
      <c r="B1519" s="26" t="s">
        <v>241</v>
      </c>
      <c r="C1519" s="26" t="s">
        <v>504</v>
      </c>
      <c r="D1519" s="25">
        <v>42628</v>
      </c>
      <c r="E1519" s="1">
        <f t="shared" si="89"/>
        <v>2016</v>
      </c>
      <c r="F1519" s="1">
        <f t="shared" si="88"/>
        <v>9</v>
      </c>
      <c r="G1519" s="4">
        <f t="shared" si="90"/>
        <v>15</v>
      </c>
      <c r="H1519" s="6">
        <v>0.98488425925925915</v>
      </c>
      <c r="I1519" s="22">
        <v>128.25783333333334</v>
      </c>
      <c r="J1519" s="22">
        <v>31.943166666666666</v>
      </c>
      <c r="K1519" s="27">
        <v>0</v>
      </c>
      <c r="L1519" s="27">
        <v>0</v>
      </c>
      <c r="M1519" s="27">
        <v>0</v>
      </c>
      <c r="N1519" s="21">
        <v>26.289429000000002</v>
      </c>
      <c r="O1519" s="24">
        <v>34.069978468636414</v>
      </c>
      <c r="P1519" s="31">
        <v>0.11783199999999994</v>
      </c>
      <c r="Q1519" s="31">
        <v>0.59291726823529345</v>
      </c>
      <c r="R1519" s="26" t="s">
        <v>280</v>
      </c>
      <c r="S1519" s="26"/>
      <c r="T1519" s="71" t="s">
        <v>626</v>
      </c>
    </row>
    <row r="1520" spans="1:20" ht="12.75" customHeight="1">
      <c r="A1520" s="26" t="s">
        <v>141</v>
      </c>
      <c r="B1520" s="26" t="s">
        <v>242</v>
      </c>
      <c r="C1520" s="26" t="s">
        <v>504</v>
      </c>
      <c r="D1520" s="25">
        <v>42629</v>
      </c>
      <c r="E1520" s="1">
        <f t="shared" si="89"/>
        <v>2016</v>
      </c>
      <c r="F1520" s="1">
        <f t="shared" si="88"/>
        <v>9</v>
      </c>
      <c r="G1520" s="4">
        <f t="shared" si="90"/>
        <v>16</v>
      </c>
      <c r="H1520" s="6">
        <v>0.66018518518518521</v>
      </c>
      <c r="I1520" s="22">
        <v>127.99250000000001</v>
      </c>
      <c r="J1520" s="22">
        <v>31.500833333333333</v>
      </c>
      <c r="K1520" s="27">
        <v>0</v>
      </c>
      <c r="L1520" s="27">
        <v>0</v>
      </c>
      <c r="M1520" s="27">
        <v>0</v>
      </c>
      <c r="N1520" s="21">
        <v>27.489429000000001</v>
      </c>
      <c r="O1520" s="24">
        <v>33.724297080567084</v>
      </c>
      <c r="P1520" s="31">
        <v>8.2251999999999548E-2</v>
      </c>
      <c r="Q1520" s="31">
        <v>0.28156192941176705</v>
      </c>
      <c r="R1520" s="26" t="s">
        <v>280</v>
      </c>
      <c r="S1520" s="26"/>
      <c r="T1520" s="71" t="s">
        <v>626</v>
      </c>
    </row>
    <row r="1521" spans="1:20" ht="12.75" customHeight="1">
      <c r="A1521" s="26" t="s">
        <v>141</v>
      </c>
      <c r="B1521" s="26" t="s">
        <v>243</v>
      </c>
      <c r="C1521" s="26" t="s">
        <v>504</v>
      </c>
      <c r="D1521" s="25">
        <v>42630</v>
      </c>
      <c r="E1521" s="1">
        <f t="shared" si="89"/>
        <v>2016</v>
      </c>
      <c r="F1521" s="1">
        <f t="shared" si="88"/>
        <v>9</v>
      </c>
      <c r="G1521" s="4">
        <f t="shared" si="90"/>
        <v>17</v>
      </c>
      <c r="H1521" s="6">
        <v>2.7511574074074074E-2</v>
      </c>
      <c r="I1521" s="22">
        <v>128.41816666666668</v>
      </c>
      <c r="J1521" s="22">
        <v>31.574833333333334</v>
      </c>
      <c r="K1521" s="27">
        <v>0</v>
      </c>
      <c r="L1521" s="27">
        <v>0</v>
      </c>
      <c r="M1521" s="27">
        <v>0</v>
      </c>
      <c r="N1521" s="21">
        <v>27.389429</v>
      </c>
      <c r="O1521" s="24">
        <v>33.637986466424429</v>
      </c>
      <c r="P1521" s="31">
        <v>4.238799999999987E-2</v>
      </c>
      <c r="Q1521" s="31">
        <v>7.055419058823631E-2</v>
      </c>
      <c r="R1521" s="26" t="s">
        <v>280</v>
      </c>
      <c r="S1521" s="26"/>
      <c r="T1521" s="71" t="s">
        <v>626</v>
      </c>
    </row>
    <row r="1522" spans="1:20" ht="12.75" customHeight="1">
      <c r="A1522" s="26" t="s">
        <v>141</v>
      </c>
      <c r="B1522" s="26" t="s">
        <v>244</v>
      </c>
      <c r="C1522" s="26" t="s">
        <v>504</v>
      </c>
      <c r="D1522" s="25">
        <v>42630</v>
      </c>
      <c r="E1522" s="1">
        <f t="shared" si="89"/>
        <v>2016</v>
      </c>
      <c r="F1522" s="1">
        <f t="shared" si="88"/>
        <v>9</v>
      </c>
      <c r="G1522" s="4">
        <f t="shared" si="90"/>
        <v>17</v>
      </c>
      <c r="H1522" s="6">
        <v>0.64422453703703708</v>
      </c>
      <c r="I1522" s="22">
        <v>129.83033333333333</v>
      </c>
      <c r="J1522" s="22">
        <v>32.182833333333335</v>
      </c>
      <c r="K1522" s="27">
        <v>0</v>
      </c>
      <c r="L1522" s="27">
        <v>0</v>
      </c>
      <c r="M1522" s="27">
        <v>0</v>
      </c>
      <c r="N1522" s="21">
        <v>27.689429000000001</v>
      </c>
      <c r="O1522" s="24">
        <v>33.736699711628233</v>
      </c>
      <c r="P1522" s="31">
        <v>9.3304000000000054E-2</v>
      </c>
      <c r="Q1522" s="31">
        <v>5.4732371764707466E-2</v>
      </c>
      <c r="R1522" s="26" t="s">
        <v>280</v>
      </c>
      <c r="S1522" s="26"/>
      <c r="T1522" s="71" t="s">
        <v>626</v>
      </c>
    </row>
    <row r="1523" spans="1:20" ht="12.75" customHeight="1">
      <c r="A1523" s="26" t="s">
        <v>141</v>
      </c>
      <c r="B1523" s="26" t="s">
        <v>245</v>
      </c>
      <c r="C1523" s="26" t="s">
        <v>504</v>
      </c>
      <c r="D1523" s="25">
        <v>42630</v>
      </c>
      <c r="E1523" s="1">
        <f t="shared" si="89"/>
        <v>2016</v>
      </c>
      <c r="F1523" s="1">
        <f t="shared" si="88"/>
        <v>9</v>
      </c>
      <c r="G1523" s="4">
        <f t="shared" si="90"/>
        <v>17</v>
      </c>
      <c r="H1523" s="6">
        <v>0.7518055555555555</v>
      </c>
      <c r="I1523" s="22">
        <v>129.58600000000001</v>
      </c>
      <c r="J1523" s="22">
        <v>32.167499999999997</v>
      </c>
      <c r="K1523" s="27">
        <v>0</v>
      </c>
      <c r="L1523" s="27">
        <v>0</v>
      </c>
      <c r="M1523" s="27">
        <v>0</v>
      </c>
      <c r="N1523" s="21">
        <v>27.489429000000001</v>
      </c>
      <c r="O1523" s="24">
        <v>33.713945817413837</v>
      </c>
      <c r="P1523" s="31">
        <v>6.4251999999999976E-2</v>
      </c>
      <c r="Q1523" s="31">
        <v>0.17014947294117988</v>
      </c>
      <c r="R1523" s="26" t="s">
        <v>280</v>
      </c>
      <c r="S1523" s="26"/>
      <c r="T1523" s="71" t="s">
        <v>626</v>
      </c>
    </row>
    <row r="1524" spans="1:20" ht="12.75" customHeight="1">
      <c r="A1524" s="26" t="s">
        <v>141</v>
      </c>
      <c r="B1524" s="26" t="s">
        <v>246</v>
      </c>
      <c r="C1524" s="26" t="s">
        <v>504</v>
      </c>
      <c r="D1524" s="25">
        <v>42631</v>
      </c>
      <c r="E1524" s="1">
        <f t="shared" si="89"/>
        <v>2016</v>
      </c>
      <c r="F1524" s="1">
        <f t="shared" si="88"/>
        <v>9</v>
      </c>
      <c r="G1524" s="4">
        <f t="shared" si="90"/>
        <v>18</v>
      </c>
      <c r="H1524" s="6">
        <v>0.63510416666666669</v>
      </c>
      <c r="I1524" s="22">
        <v>129.505</v>
      </c>
      <c r="J1524" s="22">
        <v>32.664166666666667</v>
      </c>
      <c r="K1524" s="27">
        <v>0</v>
      </c>
      <c r="L1524" s="27">
        <v>0</v>
      </c>
      <c r="M1524" s="27">
        <v>0</v>
      </c>
      <c r="N1524" s="21">
        <v>26.489429000000001</v>
      </c>
      <c r="O1524" s="24">
        <v>32.997487396368058</v>
      </c>
      <c r="P1524" s="31">
        <v>-0.13641199999999998</v>
      </c>
      <c r="Q1524" s="31">
        <v>-0.90172956235294066</v>
      </c>
      <c r="R1524" s="26" t="s">
        <v>280</v>
      </c>
      <c r="S1524" s="26"/>
      <c r="T1524" s="71" t="s">
        <v>626</v>
      </c>
    </row>
    <row r="1525" spans="1:20" ht="12.75" customHeight="1">
      <c r="A1525" s="26" t="s">
        <v>143</v>
      </c>
      <c r="B1525" s="26" t="s">
        <v>187</v>
      </c>
      <c r="C1525" s="1" t="s">
        <v>505</v>
      </c>
      <c r="D1525" s="25">
        <v>42883</v>
      </c>
      <c r="E1525" s="1">
        <f t="shared" si="89"/>
        <v>2017</v>
      </c>
      <c r="F1525" s="1">
        <f t="shared" si="88"/>
        <v>5</v>
      </c>
      <c r="G1525" s="4">
        <f t="shared" si="90"/>
        <v>28</v>
      </c>
      <c r="H1525" s="6">
        <v>0.37361111111111112</v>
      </c>
      <c r="I1525" s="22">
        <v>130.50800000000001</v>
      </c>
      <c r="J1525" s="22">
        <v>35.146999999999998</v>
      </c>
      <c r="K1525" s="27">
        <v>4.5</v>
      </c>
      <c r="L1525" s="27">
        <v>5</v>
      </c>
      <c r="M1525" s="9">
        <v>0</v>
      </c>
      <c r="N1525" s="21">
        <v>19.541135666666602</v>
      </c>
      <c r="O1525" s="24">
        <v>34.384046666666599</v>
      </c>
      <c r="P1525" s="31">
        <v>0.20902084235294094</v>
      </c>
      <c r="Q1525" s="31">
        <v>1.0703769352941173</v>
      </c>
      <c r="R1525" s="26" t="s">
        <v>280</v>
      </c>
      <c r="S1525" s="26"/>
      <c r="T1525" s="71" t="s">
        <v>626</v>
      </c>
    </row>
    <row r="1526" spans="1:20" ht="12.75" customHeight="1">
      <c r="A1526" s="26" t="s">
        <v>143</v>
      </c>
      <c r="B1526" s="26" t="s">
        <v>188</v>
      </c>
      <c r="C1526" s="1" t="s">
        <v>505</v>
      </c>
      <c r="D1526" s="25">
        <v>42883</v>
      </c>
      <c r="E1526" s="1">
        <f t="shared" si="89"/>
        <v>2017</v>
      </c>
      <c r="F1526" s="1">
        <f t="shared" si="88"/>
        <v>5</v>
      </c>
      <c r="G1526" s="4">
        <f t="shared" si="90"/>
        <v>28</v>
      </c>
      <c r="H1526" s="6">
        <v>0.51388888888888895</v>
      </c>
      <c r="I1526" s="22">
        <v>130.495</v>
      </c>
      <c r="J1526" s="22">
        <v>34.973999999999997</v>
      </c>
      <c r="K1526" s="27">
        <v>4.5</v>
      </c>
      <c r="L1526" s="27">
        <v>5</v>
      </c>
      <c r="M1526" s="9">
        <v>0</v>
      </c>
      <c r="N1526" s="21">
        <v>19.817802333333301</v>
      </c>
      <c r="O1526" s="24">
        <v>34.421880000000002</v>
      </c>
      <c r="P1526" s="31">
        <v>0.23813522941176424</v>
      </c>
      <c r="Q1526" s="31">
        <v>1.2623168341176463</v>
      </c>
      <c r="R1526" s="26" t="s">
        <v>280</v>
      </c>
      <c r="S1526" s="26"/>
      <c r="T1526" s="71" t="s">
        <v>626</v>
      </c>
    </row>
    <row r="1527" spans="1:20" ht="12.75" customHeight="1">
      <c r="A1527" s="26" t="s">
        <v>143</v>
      </c>
      <c r="B1527" s="26" t="s">
        <v>51</v>
      </c>
      <c r="C1527" s="1" t="s">
        <v>505</v>
      </c>
      <c r="D1527" s="25">
        <v>42883</v>
      </c>
      <c r="E1527" s="1">
        <f t="shared" si="89"/>
        <v>2017</v>
      </c>
      <c r="F1527" s="1">
        <f t="shared" si="88"/>
        <v>5</v>
      </c>
      <c r="G1527" s="4">
        <f t="shared" si="90"/>
        <v>28</v>
      </c>
      <c r="H1527" s="6">
        <v>0.58333333333333337</v>
      </c>
      <c r="I1527" s="22">
        <v>130.50800000000001</v>
      </c>
      <c r="J1527" s="22">
        <v>34.835999999999999</v>
      </c>
      <c r="K1527" s="27">
        <v>4.5</v>
      </c>
      <c r="L1527" s="27">
        <v>5</v>
      </c>
      <c r="M1527" s="9">
        <v>0</v>
      </c>
      <c r="N1527" s="21">
        <v>20.111135666666598</v>
      </c>
      <c r="O1527" s="24">
        <v>34.467880000000001</v>
      </c>
      <c r="P1527" s="31">
        <v>0.22771323529411736</v>
      </c>
      <c r="Q1527" s="31">
        <v>1.4095386529411762</v>
      </c>
      <c r="R1527" s="26" t="s">
        <v>280</v>
      </c>
      <c r="S1527" s="26"/>
      <c r="T1527" s="71" t="s">
        <v>626</v>
      </c>
    </row>
    <row r="1528" spans="1:20" ht="12.75" customHeight="1">
      <c r="A1528" s="26" t="s">
        <v>143</v>
      </c>
      <c r="B1528" s="26" t="s">
        <v>259</v>
      </c>
      <c r="C1528" s="1" t="s">
        <v>505</v>
      </c>
      <c r="D1528" s="25">
        <v>42883</v>
      </c>
      <c r="E1528" s="1">
        <f t="shared" si="89"/>
        <v>2017</v>
      </c>
      <c r="F1528" s="1">
        <f t="shared" si="88"/>
        <v>5</v>
      </c>
      <c r="G1528" s="4">
        <f t="shared" si="90"/>
        <v>28</v>
      </c>
      <c r="H1528" s="6">
        <v>0.75</v>
      </c>
      <c r="I1528" s="22">
        <v>130.26300000000001</v>
      </c>
      <c r="J1528" s="22">
        <v>34.915999999999997</v>
      </c>
      <c r="K1528" s="27">
        <v>4.5</v>
      </c>
      <c r="L1528" s="27">
        <v>5</v>
      </c>
      <c r="M1528" s="9">
        <v>0</v>
      </c>
      <c r="N1528" s="21">
        <v>18.344469</v>
      </c>
      <c r="O1528" s="24">
        <v>33.978380000000001</v>
      </c>
      <c r="P1528" s="31">
        <v>0.13168114117647067</v>
      </c>
      <c r="Q1528" s="31">
        <v>0.31229311176470809</v>
      </c>
      <c r="R1528" s="26" t="s">
        <v>280</v>
      </c>
      <c r="S1528" s="26"/>
      <c r="T1528" s="71" t="s">
        <v>626</v>
      </c>
    </row>
    <row r="1529" spans="1:20" ht="12.75" customHeight="1">
      <c r="A1529" s="26" t="s">
        <v>143</v>
      </c>
      <c r="B1529" s="26" t="s">
        <v>260</v>
      </c>
      <c r="C1529" s="1" t="s">
        <v>505</v>
      </c>
      <c r="D1529" s="25">
        <v>42884</v>
      </c>
      <c r="E1529" s="1">
        <f t="shared" si="89"/>
        <v>2017</v>
      </c>
      <c r="F1529" s="1">
        <f t="shared" si="88"/>
        <v>5</v>
      </c>
      <c r="G1529" s="4">
        <f t="shared" si="90"/>
        <v>29</v>
      </c>
      <c r="H1529" s="6">
        <v>0.3125</v>
      </c>
      <c r="I1529" s="22">
        <v>130.29599999999999</v>
      </c>
      <c r="J1529" s="22">
        <v>34.68</v>
      </c>
      <c r="K1529" s="27">
        <v>4.5</v>
      </c>
      <c r="L1529" s="27">
        <v>5</v>
      </c>
      <c r="M1529" s="9">
        <v>0</v>
      </c>
      <c r="N1529" s="21">
        <v>19.091135666666599</v>
      </c>
      <c r="O1529" s="24">
        <v>34.319713333333297</v>
      </c>
      <c r="P1529" s="31">
        <v>0.2623002470588236</v>
      </c>
      <c r="Q1529" s="31">
        <v>0.92994573058823349</v>
      </c>
      <c r="R1529" s="26" t="s">
        <v>280</v>
      </c>
      <c r="S1529" s="26"/>
      <c r="T1529" s="71" t="s">
        <v>626</v>
      </c>
    </row>
    <row r="1530" spans="1:20" ht="12.75" customHeight="1">
      <c r="A1530" s="26" t="s">
        <v>143</v>
      </c>
      <c r="B1530" s="26" t="s">
        <v>261</v>
      </c>
      <c r="C1530" s="1" t="s">
        <v>505</v>
      </c>
      <c r="D1530" s="25">
        <v>42884</v>
      </c>
      <c r="E1530" s="1">
        <f t="shared" si="89"/>
        <v>2017</v>
      </c>
      <c r="F1530" s="1">
        <f t="shared" si="88"/>
        <v>5</v>
      </c>
      <c r="G1530" s="4">
        <f t="shared" si="90"/>
        <v>29</v>
      </c>
      <c r="H1530" s="6">
        <v>0.44097222222222227</v>
      </c>
      <c r="I1530" s="22">
        <v>130.26</v>
      </c>
      <c r="J1530" s="22">
        <v>34.331000000000003</v>
      </c>
      <c r="K1530" s="27">
        <v>4.5</v>
      </c>
      <c r="L1530" s="27">
        <v>5</v>
      </c>
      <c r="M1530" s="9">
        <v>0</v>
      </c>
      <c r="N1530" s="21">
        <v>20.046135666666601</v>
      </c>
      <c r="O1530" s="24">
        <v>34.0882133333333</v>
      </c>
      <c r="P1530" s="31">
        <v>0.15189715294117634</v>
      </c>
      <c r="Q1530" s="31">
        <v>0.97497732941176452</v>
      </c>
      <c r="R1530" s="26" t="s">
        <v>280</v>
      </c>
      <c r="S1530" s="26"/>
      <c r="T1530" s="71" t="s">
        <v>626</v>
      </c>
    </row>
    <row r="1531" spans="1:20" ht="12.75" customHeight="1">
      <c r="A1531" s="26" t="s">
        <v>143</v>
      </c>
      <c r="B1531" s="26" t="s">
        <v>262</v>
      </c>
      <c r="C1531" s="1" t="s">
        <v>505</v>
      </c>
      <c r="D1531" s="25">
        <v>42884</v>
      </c>
      <c r="E1531" s="1">
        <f t="shared" si="89"/>
        <v>2017</v>
      </c>
      <c r="F1531" s="1">
        <f t="shared" si="88"/>
        <v>5</v>
      </c>
      <c r="G1531" s="4">
        <f t="shared" si="90"/>
        <v>29</v>
      </c>
      <c r="H1531" s="6">
        <v>0.59027777777777779</v>
      </c>
      <c r="I1531" s="22">
        <v>130.25899999999999</v>
      </c>
      <c r="J1531" s="22">
        <v>34.003999999999998</v>
      </c>
      <c r="K1531" s="27">
        <v>4.5</v>
      </c>
      <c r="L1531" s="27">
        <v>5</v>
      </c>
      <c r="M1531" s="9">
        <v>0</v>
      </c>
      <c r="N1531" s="21">
        <v>20.4761356666666</v>
      </c>
      <c r="O1531" s="24">
        <v>34.556713333333299</v>
      </c>
      <c r="P1531" s="31">
        <v>0.27081415882352888</v>
      </c>
      <c r="Q1531" s="31">
        <v>1.6127912682352932</v>
      </c>
      <c r="R1531" s="26" t="s">
        <v>280</v>
      </c>
      <c r="S1531" s="26"/>
      <c r="T1531" s="71" t="s">
        <v>626</v>
      </c>
    </row>
    <row r="1532" spans="1:20" ht="12.75" customHeight="1">
      <c r="A1532" s="26" t="s">
        <v>143</v>
      </c>
      <c r="B1532" s="26" t="s">
        <v>200</v>
      </c>
      <c r="C1532" s="1" t="s">
        <v>505</v>
      </c>
      <c r="D1532" s="25">
        <v>42884</v>
      </c>
      <c r="E1532" s="1">
        <f t="shared" si="89"/>
        <v>2017</v>
      </c>
      <c r="F1532" s="1">
        <f t="shared" si="88"/>
        <v>5</v>
      </c>
      <c r="G1532" s="4">
        <f t="shared" si="90"/>
        <v>29</v>
      </c>
      <c r="H1532" s="6">
        <v>0.78472222222222221</v>
      </c>
      <c r="I1532" s="22">
        <v>129.922</v>
      </c>
      <c r="J1532" s="22">
        <v>33.930999999999997</v>
      </c>
      <c r="K1532" s="27">
        <v>4.5</v>
      </c>
      <c r="L1532" s="27">
        <v>5</v>
      </c>
      <c r="M1532" s="9">
        <v>0</v>
      </c>
      <c r="N1532" s="21">
        <v>20.594469</v>
      </c>
      <c r="O1532" s="24">
        <v>34.108546666666598</v>
      </c>
      <c r="P1532" s="31">
        <v>0.19633856470588262</v>
      </c>
      <c r="Q1532" s="31">
        <v>1.0381587670588228</v>
      </c>
      <c r="R1532" s="26" t="s">
        <v>280</v>
      </c>
      <c r="S1532" s="26"/>
      <c r="T1532" s="71" t="s">
        <v>626</v>
      </c>
    </row>
    <row r="1533" spans="1:20" ht="12.75" customHeight="1">
      <c r="A1533" s="26" t="s">
        <v>143</v>
      </c>
      <c r="B1533" s="26" t="s">
        <v>199</v>
      </c>
      <c r="C1533" s="1" t="s">
        <v>505</v>
      </c>
      <c r="D1533" s="25">
        <v>42885</v>
      </c>
      <c r="E1533" s="1">
        <f t="shared" si="89"/>
        <v>2017</v>
      </c>
      <c r="F1533" s="1">
        <f t="shared" si="88"/>
        <v>5</v>
      </c>
      <c r="G1533" s="4">
        <f t="shared" si="90"/>
        <v>30</v>
      </c>
      <c r="H1533" s="6">
        <v>0.28472222222222221</v>
      </c>
      <c r="I1533" s="22">
        <v>130.00800000000001</v>
      </c>
      <c r="J1533" s="22">
        <v>34.177999999999997</v>
      </c>
      <c r="K1533" s="27">
        <v>4.5</v>
      </c>
      <c r="L1533" s="27">
        <v>5</v>
      </c>
      <c r="M1533" s="9">
        <v>0</v>
      </c>
      <c r="N1533" s="21">
        <v>19.830183285714199</v>
      </c>
      <c r="O1533" s="24">
        <v>34.285308571428502</v>
      </c>
      <c r="P1533" s="31">
        <v>0.23677058823529351</v>
      </c>
      <c r="Q1533" s="31">
        <v>1.301104702352939</v>
      </c>
      <c r="R1533" s="26" t="s">
        <v>280</v>
      </c>
      <c r="S1533" s="26"/>
      <c r="T1533" s="71" t="s">
        <v>626</v>
      </c>
    </row>
    <row r="1534" spans="1:20" ht="12.75" customHeight="1">
      <c r="A1534" s="26" t="s">
        <v>143</v>
      </c>
      <c r="B1534" s="26" t="s">
        <v>198</v>
      </c>
      <c r="C1534" s="1" t="s">
        <v>505</v>
      </c>
      <c r="D1534" s="25">
        <v>42885</v>
      </c>
      <c r="E1534" s="1">
        <f t="shared" si="89"/>
        <v>2017</v>
      </c>
      <c r="F1534" s="1">
        <f t="shared" ref="F1534:F1597" si="91">MONTH(D1534)</f>
        <v>5</v>
      </c>
      <c r="G1534" s="4">
        <f t="shared" si="90"/>
        <v>30</v>
      </c>
      <c r="H1534" s="6">
        <v>0.38541666666666669</v>
      </c>
      <c r="I1534" s="22">
        <v>130.005</v>
      </c>
      <c r="J1534" s="22">
        <v>34.335999999999999</v>
      </c>
      <c r="K1534" s="27">
        <v>4.5</v>
      </c>
      <c r="L1534" s="27">
        <v>5</v>
      </c>
      <c r="M1534" s="9">
        <v>0</v>
      </c>
      <c r="N1534" s="21">
        <v>19.6211356666666</v>
      </c>
      <c r="O1534" s="24">
        <v>34.355879999999999</v>
      </c>
      <c r="P1534" s="31">
        <v>0.21669949411764722</v>
      </c>
      <c r="Q1534" s="31">
        <v>1.0630871811764706</v>
      </c>
      <c r="R1534" s="26" t="s">
        <v>280</v>
      </c>
      <c r="S1534" s="26"/>
      <c r="T1534" s="71" t="s">
        <v>626</v>
      </c>
    </row>
    <row r="1535" spans="1:20" ht="12.75" customHeight="1">
      <c r="A1535" s="26" t="s">
        <v>143</v>
      </c>
      <c r="B1535" s="26" t="s">
        <v>197</v>
      </c>
      <c r="C1535" s="1" t="s">
        <v>505</v>
      </c>
      <c r="D1535" s="25">
        <v>42885</v>
      </c>
      <c r="E1535" s="1">
        <f t="shared" si="89"/>
        <v>2017</v>
      </c>
      <c r="F1535" s="1">
        <f t="shared" si="91"/>
        <v>5</v>
      </c>
      <c r="G1535" s="4">
        <f t="shared" si="90"/>
        <v>30</v>
      </c>
      <c r="H1535" s="6">
        <v>0.49305555555555558</v>
      </c>
      <c r="I1535" s="22">
        <v>130.00700000000001</v>
      </c>
      <c r="J1535" s="22">
        <v>34.508000000000003</v>
      </c>
      <c r="K1535" s="27">
        <v>4.5</v>
      </c>
      <c r="L1535" s="27">
        <v>5</v>
      </c>
      <c r="M1535" s="9">
        <v>0</v>
      </c>
      <c r="N1535" s="21">
        <v>19.206135666666601</v>
      </c>
      <c r="O1535" s="24">
        <v>34.133213333333295</v>
      </c>
      <c r="P1535" s="31">
        <v>0.16200000000000001</v>
      </c>
      <c r="Q1535" s="31">
        <v>0.99299999999999999</v>
      </c>
      <c r="R1535" s="26" t="s">
        <v>280</v>
      </c>
      <c r="S1535" s="26"/>
      <c r="T1535" s="71" t="s">
        <v>626</v>
      </c>
    </row>
    <row r="1536" spans="1:20" ht="12.75" customHeight="1">
      <c r="A1536" s="26" t="s">
        <v>143</v>
      </c>
      <c r="B1536" s="26" t="s">
        <v>263</v>
      </c>
      <c r="C1536" s="1" t="s">
        <v>505</v>
      </c>
      <c r="D1536" s="25">
        <v>42885</v>
      </c>
      <c r="E1536" s="1">
        <f t="shared" si="89"/>
        <v>2017</v>
      </c>
      <c r="F1536" s="1">
        <f t="shared" si="91"/>
        <v>5</v>
      </c>
      <c r="G1536" s="4">
        <f t="shared" si="90"/>
        <v>30</v>
      </c>
      <c r="H1536" s="6">
        <v>0.58333333333333337</v>
      </c>
      <c r="I1536" s="22">
        <v>129.999</v>
      </c>
      <c r="J1536" s="22">
        <v>34.665999999999997</v>
      </c>
      <c r="K1536" s="27">
        <v>4.5</v>
      </c>
      <c r="L1536" s="27">
        <v>5</v>
      </c>
      <c r="M1536" s="9">
        <v>0</v>
      </c>
      <c r="N1536" s="21">
        <v>19.311135666666601</v>
      </c>
      <c r="O1536" s="24">
        <v>33.809379999999997</v>
      </c>
      <c r="P1536" s="31">
        <v>0.122</v>
      </c>
      <c r="Q1536" s="31">
        <v>0.16500000000000001</v>
      </c>
      <c r="R1536" s="26" t="s">
        <v>280</v>
      </c>
      <c r="S1536" s="26"/>
      <c r="T1536" s="71" t="s">
        <v>626</v>
      </c>
    </row>
    <row r="1537" spans="1:20" ht="12.75" customHeight="1">
      <c r="A1537" s="26" t="s">
        <v>143</v>
      </c>
      <c r="B1537" s="26" t="s">
        <v>195</v>
      </c>
      <c r="C1537" s="1" t="s">
        <v>505</v>
      </c>
      <c r="D1537" s="25">
        <v>42886</v>
      </c>
      <c r="E1537" s="1">
        <f t="shared" si="89"/>
        <v>2017</v>
      </c>
      <c r="F1537" s="1">
        <f t="shared" si="91"/>
        <v>5</v>
      </c>
      <c r="G1537" s="4">
        <f t="shared" si="90"/>
        <v>31</v>
      </c>
      <c r="H1537" s="6">
        <v>0.28472222222222221</v>
      </c>
      <c r="I1537" s="22">
        <v>130.005</v>
      </c>
      <c r="J1537" s="22">
        <v>34.828000000000003</v>
      </c>
      <c r="K1537" s="27">
        <v>4.5</v>
      </c>
      <c r="L1537" s="27">
        <v>5</v>
      </c>
      <c r="M1537" s="9">
        <v>0</v>
      </c>
      <c r="N1537" s="21">
        <v>18.3378023333333</v>
      </c>
      <c r="O1537" s="24">
        <v>33.445546666666601</v>
      </c>
      <c r="P1537" s="31">
        <v>2.5000000000000001E-2</v>
      </c>
      <c r="Q1537" s="31">
        <v>-0.245</v>
      </c>
      <c r="R1537" s="26" t="s">
        <v>280</v>
      </c>
      <c r="S1537" s="26"/>
      <c r="T1537" s="71" t="s">
        <v>626</v>
      </c>
    </row>
    <row r="1538" spans="1:20" ht="12.75" customHeight="1">
      <c r="A1538" s="26" t="s">
        <v>143</v>
      </c>
      <c r="B1538" s="26" t="s">
        <v>196</v>
      </c>
      <c r="C1538" s="1" t="s">
        <v>505</v>
      </c>
      <c r="D1538" s="25">
        <v>42886</v>
      </c>
      <c r="E1538" s="1">
        <f t="shared" si="89"/>
        <v>2017</v>
      </c>
      <c r="F1538" s="1">
        <f t="shared" si="91"/>
        <v>5</v>
      </c>
      <c r="G1538" s="4">
        <f t="shared" si="90"/>
        <v>31</v>
      </c>
      <c r="H1538" s="6">
        <v>0.39583333333333331</v>
      </c>
      <c r="I1538" s="22">
        <v>130.01</v>
      </c>
      <c r="J1538" s="22">
        <v>34.991</v>
      </c>
      <c r="K1538" s="27">
        <v>4.5</v>
      </c>
      <c r="L1538" s="27">
        <v>5</v>
      </c>
      <c r="M1538" s="9">
        <v>0</v>
      </c>
      <c r="N1538" s="21">
        <v>18.054469000000001</v>
      </c>
      <c r="O1538" s="24">
        <v>33.534379999999999</v>
      </c>
      <c r="P1538" s="31">
        <v>4.5999999999999999E-2</v>
      </c>
      <c r="Q1538" s="31">
        <v>-0.28399999999999997</v>
      </c>
      <c r="R1538" s="26" t="s">
        <v>280</v>
      </c>
      <c r="S1538" s="26"/>
      <c r="T1538" s="71" t="s">
        <v>626</v>
      </c>
    </row>
    <row r="1539" spans="1:20" ht="12.75" customHeight="1">
      <c r="A1539" s="26" t="s">
        <v>143</v>
      </c>
      <c r="B1539" s="26" t="s">
        <v>264</v>
      </c>
      <c r="C1539" s="1" t="s">
        <v>505</v>
      </c>
      <c r="D1539" s="25">
        <v>42886</v>
      </c>
      <c r="E1539" s="1">
        <f t="shared" si="89"/>
        <v>2017</v>
      </c>
      <c r="F1539" s="1">
        <f t="shared" si="91"/>
        <v>5</v>
      </c>
      <c r="G1539" s="4">
        <f t="shared" si="90"/>
        <v>31</v>
      </c>
      <c r="H1539" s="6">
        <v>0.50138888888888888</v>
      </c>
      <c r="I1539" s="22">
        <v>129.64599999999999</v>
      </c>
      <c r="J1539" s="22">
        <v>35.003999999999998</v>
      </c>
      <c r="K1539" s="27">
        <v>4.5</v>
      </c>
      <c r="L1539" s="27">
        <v>5</v>
      </c>
      <c r="M1539" s="9">
        <v>0</v>
      </c>
      <c r="N1539" s="21">
        <v>18.7611356666666</v>
      </c>
      <c r="O1539" s="24">
        <v>33.669046666666596</v>
      </c>
      <c r="P1539" s="31">
        <v>6.8000000000000005E-2</v>
      </c>
      <c r="Q1539" s="31">
        <v>0.18</v>
      </c>
      <c r="R1539" s="26" t="s">
        <v>280</v>
      </c>
      <c r="S1539" s="26"/>
      <c r="T1539" s="71" t="s">
        <v>626</v>
      </c>
    </row>
    <row r="1540" spans="1:20" ht="12.75" customHeight="1">
      <c r="A1540" s="26" t="s">
        <v>143</v>
      </c>
      <c r="B1540" s="26" t="s">
        <v>265</v>
      </c>
      <c r="C1540" s="1" t="s">
        <v>505</v>
      </c>
      <c r="D1540" s="25">
        <v>42886</v>
      </c>
      <c r="E1540" s="1">
        <f t="shared" si="89"/>
        <v>2017</v>
      </c>
      <c r="F1540" s="1">
        <f t="shared" si="91"/>
        <v>5</v>
      </c>
      <c r="G1540" s="4">
        <f t="shared" si="90"/>
        <v>31</v>
      </c>
      <c r="H1540" s="6">
        <v>0.60763888888888895</v>
      </c>
      <c r="I1540" s="22">
        <v>129.666</v>
      </c>
      <c r="J1540" s="22">
        <v>34.661000000000001</v>
      </c>
      <c r="K1540" s="27">
        <v>4.5</v>
      </c>
      <c r="L1540" s="27">
        <v>5</v>
      </c>
      <c r="M1540" s="9">
        <v>0</v>
      </c>
      <c r="N1540" s="21">
        <v>19.329469</v>
      </c>
      <c r="O1540" s="24">
        <v>33.845213333333298</v>
      </c>
      <c r="P1540" s="31">
        <v>0.122</v>
      </c>
      <c r="Q1540" s="31">
        <v>0.58799999999999997</v>
      </c>
      <c r="R1540" s="26" t="s">
        <v>280</v>
      </c>
      <c r="S1540" s="26"/>
      <c r="T1540" s="71" t="s">
        <v>626</v>
      </c>
    </row>
    <row r="1541" spans="1:20" ht="12.75" customHeight="1">
      <c r="A1541" s="26" t="s">
        <v>143</v>
      </c>
      <c r="B1541" s="26" t="s">
        <v>266</v>
      </c>
      <c r="C1541" s="1" t="s">
        <v>505</v>
      </c>
      <c r="D1541" s="25">
        <v>42887</v>
      </c>
      <c r="E1541" s="1">
        <f t="shared" si="89"/>
        <v>2017</v>
      </c>
      <c r="F1541" s="1">
        <f t="shared" si="91"/>
        <v>6</v>
      </c>
      <c r="G1541" s="4">
        <f t="shared" si="90"/>
        <v>1</v>
      </c>
      <c r="H1541" s="6">
        <v>0.28680555555555554</v>
      </c>
      <c r="I1541" s="22">
        <v>129.673</v>
      </c>
      <c r="J1541" s="22">
        <v>34.335000000000001</v>
      </c>
      <c r="K1541" s="27">
        <v>4.5</v>
      </c>
      <c r="L1541" s="27">
        <v>5</v>
      </c>
      <c r="M1541" s="9">
        <v>0</v>
      </c>
      <c r="N1541" s="21">
        <v>19.527802333333302</v>
      </c>
      <c r="O1541" s="24">
        <v>34.075379999999996</v>
      </c>
      <c r="P1541" s="31">
        <v>0.20200000000000001</v>
      </c>
      <c r="Q1541" s="31">
        <v>1.077</v>
      </c>
      <c r="R1541" s="26" t="s">
        <v>280</v>
      </c>
      <c r="S1541" s="26"/>
      <c r="T1541" s="71" t="s">
        <v>626</v>
      </c>
    </row>
    <row r="1542" spans="1:20" ht="12.75" customHeight="1">
      <c r="A1542" s="26" t="s">
        <v>143</v>
      </c>
      <c r="B1542" s="26" t="s">
        <v>267</v>
      </c>
      <c r="C1542" s="1" t="s">
        <v>505</v>
      </c>
      <c r="D1542" s="25">
        <v>42887</v>
      </c>
      <c r="E1542" s="1">
        <f t="shared" si="89"/>
        <v>2017</v>
      </c>
      <c r="F1542" s="1">
        <f t="shared" si="91"/>
        <v>6</v>
      </c>
      <c r="G1542" s="4">
        <f t="shared" si="90"/>
        <v>1</v>
      </c>
      <c r="H1542" s="6">
        <v>0.4236111111111111</v>
      </c>
      <c r="I1542" s="22">
        <v>129.66900000000001</v>
      </c>
      <c r="J1542" s="22">
        <v>34</v>
      </c>
      <c r="K1542" s="27">
        <v>4.5</v>
      </c>
      <c r="L1542" s="27">
        <v>5</v>
      </c>
      <c r="M1542" s="9">
        <v>0</v>
      </c>
      <c r="N1542" s="21">
        <v>20.862802333333299</v>
      </c>
      <c r="O1542" s="24">
        <v>34.042713333333296</v>
      </c>
      <c r="P1542" s="31">
        <v>0.13400000000000001</v>
      </c>
      <c r="Q1542" s="31">
        <v>0.82199999999999995</v>
      </c>
      <c r="R1542" s="26" t="s">
        <v>280</v>
      </c>
      <c r="S1542" s="26"/>
      <c r="T1542" s="71" t="s">
        <v>626</v>
      </c>
    </row>
    <row r="1543" spans="1:20" ht="12.75" customHeight="1">
      <c r="A1543" s="26" t="s">
        <v>143</v>
      </c>
      <c r="B1543" s="26" t="s">
        <v>203</v>
      </c>
      <c r="C1543" s="1" t="s">
        <v>505</v>
      </c>
      <c r="D1543" s="25">
        <v>42887</v>
      </c>
      <c r="E1543" s="1">
        <f t="shared" si="89"/>
        <v>2017</v>
      </c>
      <c r="F1543" s="1">
        <f t="shared" si="91"/>
        <v>6</v>
      </c>
      <c r="G1543" s="4">
        <f t="shared" si="90"/>
        <v>1</v>
      </c>
      <c r="H1543" s="6">
        <v>0.58472222222222225</v>
      </c>
      <c r="I1543" s="22">
        <v>129.33699999999999</v>
      </c>
      <c r="J1543" s="22">
        <v>33.664999999999999</v>
      </c>
      <c r="K1543" s="27">
        <v>4.5</v>
      </c>
      <c r="L1543" s="27">
        <v>5</v>
      </c>
      <c r="M1543" s="9">
        <v>0</v>
      </c>
      <c r="N1543" s="21">
        <v>21.279468999999999</v>
      </c>
      <c r="O1543" s="24">
        <v>34.3217133333333</v>
      </c>
      <c r="P1543" s="31">
        <v>0.19900000000000001</v>
      </c>
      <c r="Q1543" s="31">
        <v>1.288</v>
      </c>
      <c r="R1543" s="26" t="s">
        <v>280</v>
      </c>
      <c r="S1543" s="26"/>
      <c r="T1543" s="71" t="s">
        <v>626</v>
      </c>
    </row>
    <row r="1544" spans="1:20" ht="12.75" customHeight="1">
      <c r="A1544" s="26" t="s">
        <v>143</v>
      </c>
      <c r="B1544" s="26" t="s">
        <v>204</v>
      </c>
      <c r="C1544" s="1" t="s">
        <v>505</v>
      </c>
      <c r="D1544" s="25">
        <v>42887</v>
      </c>
      <c r="E1544" s="1">
        <f t="shared" si="89"/>
        <v>2017</v>
      </c>
      <c r="F1544" s="1">
        <f t="shared" si="91"/>
        <v>6</v>
      </c>
      <c r="G1544" s="4">
        <f t="shared" si="90"/>
        <v>1</v>
      </c>
      <c r="H1544" s="6">
        <v>0.76041666666666663</v>
      </c>
      <c r="I1544" s="22">
        <v>129.17099999999999</v>
      </c>
      <c r="J1544" s="22">
        <v>33.588999999999999</v>
      </c>
      <c r="K1544" s="27">
        <v>4.5</v>
      </c>
      <c r="L1544" s="27">
        <v>5</v>
      </c>
      <c r="M1544" s="9">
        <v>0</v>
      </c>
      <c r="N1544" s="21">
        <v>21.312802333333298</v>
      </c>
      <c r="O1544" s="24">
        <v>33.898713333333298</v>
      </c>
      <c r="P1544" s="31">
        <v>0.14599999999999999</v>
      </c>
      <c r="Q1544" s="31">
        <v>0.80900000000000005</v>
      </c>
      <c r="R1544" s="26" t="s">
        <v>280</v>
      </c>
      <c r="S1544" s="26"/>
      <c r="T1544" s="71" t="s">
        <v>626</v>
      </c>
    </row>
    <row r="1545" spans="1:20" ht="12.75" customHeight="1">
      <c r="A1545" s="26" t="s">
        <v>143</v>
      </c>
      <c r="B1545" s="26" t="s">
        <v>202</v>
      </c>
      <c r="C1545" s="1" t="s">
        <v>505</v>
      </c>
      <c r="D1545" s="25">
        <v>42888</v>
      </c>
      <c r="E1545" s="1">
        <f t="shared" si="89"/>
        <v>2017</v>
      </c>
      <c r="F1545" s="1">
        <f t="shared" si="91"/>
        <v>6</v>
      </c>
      <c r="G1545" s="4">
        <f t="shared" si="90"/>
        <v>2</v>
      </c>
      <c r="H1545" s="6">
        <v>0.28958333333333336</v>
      </c>
      <c r="I1545" s="22">
        <v>129.15700000000001</v>
      </c>
      <c r="J1545" s="22">
        <v>33.838999999999999</v>
      </c>
      <c r="K1545" s="27">
        <v>4.5</v>
      </c>
      <c r="L1545" s="27">
        <v>5</v>
      </c>
      <c r="M1545" s="9">
        <v>0</v>
      </c>
      <c r="N1545" s="21">
        <v>20.307802333333299</v>
      </c>
      <c r="O1545" s="24">
        <v>33.747046666666598</v>
      </c>
      <c r="P1545" s="31">
        <v>9.6000000000000002E-2</v>
      </c>
      <c r="Q1545" s="31">
        <v>0.433</v>
      </c>
      <c r="R1545" s="26" t="s">
        <v>280</v>
      </c>
      <c r="S1545" s="26"/>
      <c r="T1545" s="71" t="s">
        <v>626</v>
      </c>
    </row>
    <row r="1546" spans="1:20" ht="12.75" customHeight="1">
      <c r="A1546" s="26" t="s">
        <v>143</v>
      </c>
      <c r="B1546" s="26" t="s">
        <v>201</v>
      </c>
      <c r="C1546" s="1" t="s">
        <v>505</v>
      </c>
      <c r="D1546" s="25">
        <v>42888</v>
      </c>
      <c r="E1546" s="1">
        <f t="shared" si="89"/>
        <v>2017</v>
      </c>
      <c r="F1546" s="1">
        <f t="shared" si="91"/>
        <v>6</v>
      </c>
      <c r="G1546" s="4">
        <f t="shared" si="90"/>
        <v>2</v>
      </c>
      <c r="H1546" s="6">
        <v>0.47569444444444442</v>
      </c>
      <c r="I1546" s="22">
        <v>129.00299999999999</v>
      </c>
      <c r="J1546" s="22">
        <v>33.957999999999998</v>
      </c>
      <c r="K1546" s="27">
        <v>4.5</v>
      </c>
      <c r="L1546" s="27">
        <v>5</v>
      </c>
      <c r="M1546" s="9">
        <v>0</v>
      </c>
      <c r="N1546" s="21">
        <v>20.5178023333333</v>
      </c>
      <c r="O1546" s="24">
        <v>34.084046666666602</v>
      </c>
      <c r="P1546" s="31">
        <v>0.126</v>
      </c>
      <c r="Q1546" s="31">
        <v>0.9</v>
      </c>
      <c r="R1546" s="26" t="s">
        <v>280</v>
      </c>
      <c r="S1546" s="26"/>
      <c r="T1546" s="71" t="s">
        <v>626</v>
      </c>
    </row>
    <row r="1547" spans="1:20" ht="12.75" customHeight="1">
      <c r="A1547" s="26" t="s">
        <v>143</v>
      </c>
      <c r="B1547" s="26" t="s">
        <v>205</v>
      </c>
      <c r="C1547" s="1" t="s">
        <v>505</v>
      </c>
      <c r="D1547" s="25">
        <v>42888</v>
      </c>
      <c r="E1547" s="1">
        <f t="shared" si="89"/>
        <v>2017</v>
      </c>
      <c r="F1547" s="1">
        <f t="shared" si="91"/>
        <v>6</v>
      </c>
      <c r="G1547" s="4">
        <f t="shared" si="90"/>
        <v>2</v>
      </c>
      <c r="H1547" s="6">
        <v>0.61458333333333337</v>
      </c>
      <c r="I1547" s="22">
        <v>128.499</v>
      </c>
      <c r="J1547" s="22">
        <v>33.590000000000003</v>
      </c>
      <c r="K1547" s="27">
        <v>4.5</v>
      </c>
      <c r="L1547" s="27">
        <v>5</v>
      </c>
      <c r="M1547" s="9">
        <v>0</v>
      </c>
      <c r="N1547" s="21">
        <v>21.112802333333299</v>
      </c>
      <c r="O1547" s="24">
        <v>33.654879999999999</v>
      </c>
      <c r="P1547" s="31">
        <v>4.2000000000000003E-2</v>
      </c>
      <c r="Q1547" s="31">
        <v>0.29299999999999998</v>
      </c>
      <c r="R1547" s="26" t="s">
        <v>280</v>
      </c>
      <c r="S1547" s="26"/>
      <c r="T1547" s="71" t="s">
        <v>626</v>
      </c>
    </row>
    <row r="1548" spans="1:20" ht="12.75" customHeight="1">
      <c r="A1548" s="26" t="s">
        <v>143</v>
      </c>
      <c r="B1548" s="26" t="s">
        <v>206</v>
      </c>
      <c r="C1548" s="1" t="s">
        <v>505</v>
      </c>
      <c r="D1548" s="25">
        <v>42889</v>
      </c>
      <c r="E1548" s="1">
        <f t="shared" si="89"/>
        <v>2017</v>
      </c>
      <c r="F1548" s="1">
        <f t="shared" si="91"/>
        <v>6</v>
      </c>
      <c r="G1548" s="4">
        <f t="shared" si="90"/>
        <v>3</v>
      </c>
      <c r="H1548" s="6">
        <v>0.28611111111111115</v>
      </c>
      <c r="I1548" s="22">
        <v>128.33500000000001</v>
      </c>
      <c r="J1548" s="22">
        <v>33.500999999999998</v>
      </c>
      <c r="K1548" s="27">
        <v>4.5</v>
      </c>
      <c r="L1548" s="27">
        <v>5</v>
      </c>
      <c r="M1548" s="9">
        <v>0</v>
      </c>
      <c r="N1548" s="21">
        <v>20.536135666666599</v>
      </c>
      <c r="O1548" s="24">
        <v>33.297379999999997</v>
      </c>
      <c r="P1548" s="31">
        <v>-4.1000000000000002E-2</v>
      </c>
      <c r="Q1548" s="31">
        <v>-0.50900000000000001</v>
      </c>
      <c r="R1548" s="26" t="s">
        <v>280</v>
      </c>
      <c r="S1548" s="26"/>
      <c r="T1548" s="71" t="s">
        <v>626</v>
      </c>
    </row>
    <row r="1549" spans="1:20" ht="12.75" customHeight="1">
      <c r="A1549" s="26" t="s">
        <v>143</v>
      </c>
      <c r="B1549" s="26" t="s">
        <v>207</v>
      </c>
      <c r="C1549" s="1" t="s">
        <v>505</v>
      </c>
      <c r="D1549" s="25">
        <v>42889</v>
      </c>
      <c r="E1549" s="1">
        <f t="shared" si="89"/>
        <v>2017</v>
      </c>
      <c r="F1549" s="1">
        <f t="shared" si="91"/>
        <v>6</v>
      </c>
      <c r="G1549" s="4">
        <f t="shared" si="90"/>
        <v>3</v>
      </c>
      <c r="H1549" s="6">
        <v>0.39583333333333331</v>
      </c>
      <c r="I1549" s="22">
        <v>128.5</v>
      </c>
      <c r="J1549" s="22">
        <v>33.332999999999998</v>
      </c>
      <c r="K1549" s="27">
        <v>4.5</v>
      </c>
      <c r="L1549" s="27">
        <v>5</v>
      </c>
      <c r="M1549" s="9">
        <v>0</v>
      </c>
      <c r="N1549" s="21">
        <v>20.9128023333333</v>
      </c>
      <c r="O1549" s="24">
        <v>33.910879999999999</v>
      </c>
      <c r="P1549" s="31">
        <v>0.124</v>
      </c>
      <c r="Q1549" s="31">
        <v>0.66600000000000004</v>
      </c>
      <c r="R1549" s="26" t="s">
        <v>280</v>
      </c>
      <c r="S1549" s="26"/>
      <c r="T1549" s="71" t="s">
        <v>626</v>
      </c>
    </row>
    <row r="1550" spans="1:20" ht="12.75" customHeight="1">
      <c r="A1550" s="26" t="s">
        <v>143</v>
      </c>
      <c r="B1550" s="26" t="s">
        <v>208</v>
      </c>
      <c r="C1550" s="1" t="s">
        <v>505</v>
      </c>
      <c r="D1550" s="25">
        <v>42889</v>
      </c>
      <c r="E1550" s="1">
        <f t="shared" si="89"/>
        <v>2017</v>
      </c>
      <c r="F1550" s="1">
        <f t="shared" si="91"/>
        <v>6</v>
      </c>
      <c r="G1550" s="4">
        <f t="shared" si="90"/>
        <v>3</v>
      </c>
      <c r="H1550" s="6">
        <v>0.51736111111111105</v>
      </c>
      <c r="I1550" s="22">
        <v>128.667</v>
      </c>
      <c r="J1550" s="22">
        <v>33.164999999999999</v>
      </c>
      <c r="K1550" s="27">
        <v>4.5</v>
      </c>
      <c r="L1550" s="27">
        <v>5</v>
      </c>
      <c r="M1550" s="9">
        <v>0</v>
      </c>
      <c r="N1550" s="21">
        <v>20.999469000000001</v>
      </c>
      <c r="O1550" s="24">
        <v>34.426879999999997</v>
      </c>
      <c r="P1550" s="31">
        <v>0.29611899176470513</v>
      </c>
      <c r="Q1550" s="31">
        <v>1.4156255552941186</v>
      </c>
      <c r="R1550" s="26" t="s">
        <v>280</v>
      </c>
      <c r="S1550" s="26"/>
      <c r="T1550" s="71" t="s">
        <v>626</v>
      </c>
    </row>
    <row r="1551" spans="1:20" ht="12.75" customHeight="1">
      <c r="A1551" s="26" t="s">
        <v>143</v>
      </c>
      <c r="B1551" s="26" t="s">
        <v>212</v>
      </c>
      <c r="C1551" s="1" t="s">
        <v>505</v>
      </c>
      <c r="D1551" s="25">
        <v>42889</v>
      </c>
      <c r="E1551" s="1">
        <f t="shared" si="89"/>
        <v>2017</v>
      </c>
      <c r="F1551" s="1">
        <f t="shared" si="91"/>
        <v>6</v>
      </c>
      <c r="G1551" s="4">
        <f t="shared" si="90"/>
        <v>3</v>
      </c>
      <c r="H1551" s="6">
        <v>0.70486111111111116</v>
      </c>
      <c r="I1551" s="22">
        <v>128.41399999999999</v>
      </c>
      <c r="J1551" s="22">
        <v>32.662999999999997</v>
      </c>
      <c r="K1551" s="27">
        <v>4.5</v>
      </c>
      <c r="L1551" s="27">
        <v>5</v>
      </c>
      <c r="M1551" s="9">
        <v>0</v>
      </c>
      <c r="N1551" s="21">
        <v>21.8861356666666</v>
      </c>
      <c r="O1551" s="24">
        <v>33.256213333333299</v>
      </c>
      <c r="P1551" s="31">
        <v>2.6241074117646868E-2</v>
      </c>
      <c r="Q1551" s="31">
        <v>-0.27328603764706116</v>
      </c>
      <c r="R1551" s="26" t="s">
        <v>280</v>
      </c>
      <c r="S1551" s="26"/>
      <c r="T1551" s="71" t="s">
        <v>626</v>
      </c>
    </row>
    <row r="1552" spans="1:20" ht="12.75" customHeight="1">
      <c r="A1552" s="26" t="s">
        <v>143</v>
      </c>
      <c r="B1552" s="26" t="s">
        <v>209</v>
      </c>
      <c r="C1552" s="1" t="s">
        <v>505</v>
      </c>
      <c r="D1552" s="25">
        <v>42890</v>
      </c>
      <c r="E1552" s="1">
        <f t="shared" si="89"/>
        <v>2017</v>
      </c>
      <c r="F1552" s="1">
        <f t="shared" si="91"/>
        <v>6</v>
      </c>
      <c r="G1552" s="4">
        <f t="shared" si="90"/>
        <v>4</v>
      </c>
      <c r="H1552" s="6">
        <v>0.28819444444444448</v>
      </c>
      <c r="I1552" s="22">
        <v>127.914</v>
      </c>
      <c r="J1552" s="22">
        <v>32.667000000000002</v>
      </c>
      <c r="K1552" s="27">
        <v>4.5</v>
      </c>
      <c r="L1552" s="27">
        <v>5</v>
      </c>
      <c r="M1552" s="9">
        <v>0</v>
      </c>
      <c r="N1552" s="21">
        <v>20.9828023333333</v>
      </c>
      <c r="O1552" s="24">
        <v>32.862546666666596</v>
      </c>
      <c r="P1552" s="31">
        <v>-7.7842683529411927E-2</v>
      </c>
      <c r="Q1552" s="31">
        <v>-0.98304393058823525</v>
      </c>
      <c r="R1552" s="26" t="s">
        <v>280</v>
      </c>
      <c r="S1552" s="26"/>
      <c r="T1552" s="71" t="s">
        <v>626</v>
      </c>
    </row>
    <row r="1553" spans="1:20" ht="12.75" customHeight="1">
      <c r="A1553" s="26" t="s">
        <v>143</v>
      </c>
      <c r="B1553" s="26" t="s">
        <v>210</v>
      </c>
      <c r="C1553" s="1" t="s">
        <v>505</v>
      </c>
      <c r="D1553" s="25">
        <v>42890</v>
      </c>
      <c r="E1553" s="1">
        <f t="shared" si="89"/>
        <v>2017</v>
      </c>
      <c r="F1553" s="1">
        <f t="shared" si="91"/>
        <v>6</v>
      </c>
      <c r="G1553" s="4">
        <f t="shared" si="90"/>
        <v>4</v>
      </c>
      <c r="H1553" s="6">
        <v>0.39027777777777778</v>
      </c>
      <c r="I1553" s="22">
        <v>128.083</v>
      </c>
      <c r="J1553" s="22">
        <v>32.670999999999999</v>
      </c>
      <c r="K1553" s="27">
        <v>4.5</v>
      </c>
      <c r="L1553" s="27">
        <v>5</v>
      </c>
      <c r="M1553" s="9">
        <v>0</v>
      </c>
      <c r="N1553" s="21">
        <v>21.402802333333302</v>
      </c>
      <c r="O1553" s="24">
        <v>33.162046666666598</v>
      </c>
      <c r="P1553" s="31">
        <v>-5.5149211764706774E-3</v>
      </c>
      <c r="Q1553" s="31">
        <v>-0.70677342352941253</v>
      </c>
      <c r="R1553" s="26" t="s">
        <v>280</v>
      </c>
      <c r="S1553" s="26"/>
      <c r="T1553" s="71" t="s">
        <v>626</v>
      </c>
    </row>
    <row r="1554" spans="1:20" ht="12.75" customHeight="1">
      <c r="A1554" s="26" t="s">
        <v>143</v>
      </c>
      <c r="B1554" s="26" t="s">
        <v>211</v>
      </c>
      <c r="C1554" s="1" t="s">
        <v>505</v>
      </c>
      <c r="D1554" s="25">
        <v>42890</v>
      </c>
      <c r="E1554" s="1">
        <f t="shared" si="89"/>
        <v>2017</v>
      </c>
      <c r="F1554" s="1">
        <f t="shared" si="91"/>
        <v>6</v>
      </c>
      <c r="G1554" s="4">
        <f t="shared" si="90"/>
        <v>4</v>
      </c>
      <c r="H1554" s="6">
        <v>0.50208333333333333</v>
      </c>
      <c r="I1554" s="22">
        <v>128.25399999999999</v>
      </c>
      <c r="J1554" s="22">
        <v>32.668999999999997</v>
      </c>
      <c r="K1554" s="27">
        <v>4.5</v>
      </c>
      <c r="L1554" s="27">
        <v>5</v>
      </c>
      <c r="M1554" s="9">
        <v>0</v>
      </c>
      <c r="N1554" s="21">
        <v>21.6761356666666</v>
      </c>
      <c r="O1554" s="24">
        <v>33.245213333333297</v>
      </c>
      <c r="P1554" s="31">
        <v>1.4134401176470135E-2</v>
      </c>
      <c r="Q1554" s="31">
        <v>-0.30263349647058746</v>
      </c>
      <c r="R1554" s="26" t="s">
        <v>280</v>
      </c>
      <c r="S1554" s="26"/>
      <c r="T1554" s="71" t="s">
        <v>626</v>
      </c>
    </row>
    <row r="1555" spans="1:20" ht="12.75" customHeight="1">
      <c r="A1555" s="26" t="s">
        <v>145</v>
      </c>
      <c r="B1555" s="26" t="s">
        <v>229</v>
      </c>
      <c r="C1555" s="26" t="s">
        <v>505</v>
      </c>
      <c r="D1555" s="25">
        <v>42983</v>
      </c>
      <c r="E1555" s="1">
        <f t="shared" si="89"/>
        <v>2017</v>
      </c>
      <c r="F1555" s="1">
        <f t="shared" si="91"/>
        <v>9</v>
      </c>
      <c r="G1555" s="4">
        <f t="shared" si="90"/>
        <v>5</v>
      </c>
      <c r="H1555" s="6">
        <v>0.72986111111111107</v>
      </c>
      <c r="I1555" s="22">
        <v>130.4025</v>
      </c>
      <c r="J1555" s="22">
        <v>34.464166666666664</v>
      </c>
      <c r="K1555" s="27">
        <v>0</v>
      </c>
      <c r="L1555" s="27">
        <v>0</v>
      </c>
      <c r="M1555" s="27">
        <v>0</v>
      </c>
      <c r="N1555" s="21">
        <v>27.3</v>
      </c>
      <c r="O1555" s="24">
        <v>31.744054708203372</v>
      </c>
      <c r="P1555" s="16">
        <v>-0.43405605764705868</v>
      </c>
      <c r="Q1555" s="16">
        <v>-3.0844408764705875</v>
      </c>
      <c r="R1555" s="26" t="s">
        <v>280</v>
      </c>
      <c r="S1555" s="26"/>
      <c r="T1555" s="71" t="s">
        <v>626</v>
      </c>
    </row>
    <row r="1556" spans="1:20" ht="12.75" customHeight="1">
      <c r="A1556" s="26" t="s">
        <v>145</v>
      </c>
      <c r="B1556" s="26" t="s">
        <v>229</v>
      </c>
      <c r="C1556" s="26" t="s">
        <v>505</v>
      </c>
      <c r="D1556" s="25">
        <v>42983</v>
      </c>
      <c r="E1556" s="1">
        <f t="shared" si="89"/>
        <v>2017</v>
      </c>
      <c r="F1556" s="1">
        <f t="shared" si="91"/>
        <v>9</v>
      </c>
      <c r="G1556" s="4">
        <f t="shared" si="90"/>
        <v>5</v>
      </c>
      <c r="H1556" s="6">
        <v>0.72986111111111107</v>
      </c>
      <c r="I1556" s="22">
        <v>130.4025</v>
      </c>
      <c r="J1556" s="22">
        <v>34.464166666666664</v>
      </c>
      <c r="K1556" s="27">
        <v>20</v>
      </c>
      <c r="L1556" s="27">
        <v>20</v>
      </c>
      <c r="M1556" s="27">
        <v>0</v>
      </c>
      <c r="N1556" s="21">
        <v>26.706</v>
      </c>
      <c r="O1556" s="24">
        <v>31.768000000000001</v>
      </c>
      <c r="P1556" s="16">
        <v>-0.42108278588235293</v>
      </c>
      <c r="Q1556" s="16">
        <v>-3.247199118823529</v>
      </c>
      <c r="R1556" s="26" t="s">
        <v>280</v>
      </c>
      <c r="S1556" s="26"/>
      <c r="T1556" s="71" t="s">
        <v>626</v>
      </c>
    </row>
    <row r="1557" spans="1:20" ht="12.75" customHeight="1">
      <c r="A1557" s="26" t="s">
        <v>145</v>
      </c>
      <c r="B1557" s="26" t="s">
        <v>229</v>
      </c>
      <c r="C1557" s="26" t="s">
        <v>505</v>
      </c>
      <c r="D1557" s="25">
        <v>42983</v>
      </c>
      <c r="E1557" s="1">
        <f t="shared" si="89"/>
        <v>2017</v>
      </c>
      <c r="F1557" s="1">
        <f t="shared" si="91"/>
        <v>9</v>
      </c>
      <c r="G1557" s="4">
        <f t="shared" si="90"/>
        <v>5</v>
      </c>
      <c r="H1557" s="6">
        <v>0.72986111111111107</v>
      </c>
      <c r="I1557" s="22">
        <v>130.4025</v>
      </c>
      <c r="J1557" s="22">
        <v>34.464166666666664</v>
      </c>
      <c r="K1557" s="27">
        <v>50</v>
      </c>
      <c r="L1557" s="27">
        <v>50</v>
      </c>
      <c r="M1557" s="27">
        <v>0</v>
      </c>
      <c r="N1557" s="21">
        <v>20.981999999999999</v>
      </c>
      <c r="O1557" s="24">
        <v>34.582999999999998</v>
      </c>
      <c r="P1557" s="16">
        <v>0.2480188058823527</v>
      </c>
      <c r="Q1557" s="16">
        <v>1.4585349788235309</v>
      </c>
      <c r="R1557" s="26" t="s">
        <v>280</v>
      </c>
      <c r="S1557" s="26"/>
      <c r="T1557" s="71" t="s">
        <v>626</v>
      </c>
    </row>
    <row r="1558" spans="1:20" ht="12.75" customHeight="1">
      <c r="A1558" s="26" t="s">
        <v>145</v>
      </c>
      <c r="B1558" s="26" t="s">
        <v>273</v>
      </c>
      <c r="C1558" s="26" t="s">
        <v>505</v>
      </c>
      <c r="D1558" s="25">
        <v>42984</v>
      </c>
      <c r="E1558" s="1">
        <f t="shared" si="89"/>
        <v>2017</v>
      </c>
      <c r="F1558" s="1">
        <f t="shared" si="91"/>
        <v>9</v>
      </c>
      <c r="G1558" s="4">
        <f t="shared" si="90"/>
        <v>6</v>
      </c>
      <c r="H1558" s="6">
        <v>0.65590277777777783</v>
      </c>
      <c r="I1558" s="22">
        <v>130.52199999999999</v>
      </c>
      <c r="J1558" s="22">
        <v>34.834333333333333</v>
      </c>
      <c r="K1558" s="27">
        <v>0</v>
      </c>
      <c r="L1558" s="27">
        <v>0</v>
      </c>
      <c r="M1558" s="27">
        <v>0</v>
      </c>
      <c r="N1558" s="21">
        <v>26.6</v>
      </c>
      <c r="O1558" s="24">
        <v>32.160837288263878</v>
      </c>
      <c r="P1558" s="16">
        <v>-0.36208500235294139</v>
      </c>
      <c r="Q1558" s="16">
        <v>-2.5697719835294111</v>
      </c>
      <c r="R1558" s="26" t="s">
        <v>280</v>
      </c>
      <c r="S1558" s="26"/>
      <c r="T1558" s="71" t="s">
        <v>626</v>
      </c>
    </row>
    <row r="1559" spans="1:20" ht="12.75" customHeight="1">
      <c r="A1559" s="26" t="s">
        <v>145</v>
      </c>
      <c r="B1559" s="26" t="s">
        <v>273</v>
      </c>
      <c r="C1559" s="26" t="s">
        <v>505</v>
      </c>
      <c r="D1559" s="25">
        <v>42984</v>
      </c>
      <c r="E1559" s="1">
        <f t="shared" si="89"/>
        <v>2017</v>
      </c>
      <c r="F1559" s="1">
        <f t="shared" si="91"/>
        <v>9</v>
      </c>
      <c r="G1559" s="4">
        <f t="shared" si="90"/>
        <v>6</v>
      </c>
      <c r="H1559" s="6">
        <v>0.65590277777777783</v>
      </c>
      <c r="I1559" s="22">
        <v>130.52199999999999</v>
      </c>
      <c r="J1559" s="22">
        <v>34.834333333333333</v>
      </c>
      <c r="K1559" s="27">
        <v>20</v>
      </c>
      <c r="L1559" s="27">
        <v>20</v>
      </c>
      <c r="M1559" s="27">
        <v>0</v>
      </c>
      <c r="N1559" s="21">
        <v>25.922000000000001</v>
      </c>
      <c r="O1559" s="24">
        <v>32.890999999999998</v>
      </c>
      <c r="P1559" s="16">
        <v>-0.27579654352941163</v>
      </c>
      <c r="Q1559" s="16">
        <v>-2.0280268152941181</v>
      </c>
      <c r="R1559" s="26" t="s">
        <v>280</v>
      </c>
      <c r="S1559" s="26"/>
      <c r="T1559" s="71" t="s">
        <v>626</v>
      </c>
    </row>
    <row r="1560" spans="1:20" ht="12.75" customHeight="1">
      <c r="A1560" s="26" t="s">
        <v>145</v>
      </c>
      <c r="B1560" s="26" t="s">
        <v>273</v>
      </c>
      <c r="C1560" s="26" t="s">
        <v>505</v>
      </c>
      <c r="D1560" s="25">
        <v>42984</v>
      </c>
      <c r="E1560" s="1">
        <f t="shared" si="89"/>
        <v>2017</v>
      </c>
      <c r="F1560" s="1">
        <f t="shared" si="91"/>
        <v>9</v>
      </c>
      <c r="G1560" s="4">
        <f t="shared" si="90"/>
        <v>6</v>
      </c>
      <c r="H1560" s="6">
        <v>0.65590277777777783</v>
      </c>
      <c r="I1560" s="22">
        <v>130.52199999999999</v>
      </c>
      <c r="J1560" s="22">
        <v>34.834333333333333</v>
      </c>
      <c r="K1560" s="27">
        <v>50</v>
      </c>
      <c r="L1560" s="27">
        <v>50</v>
      </c>
      <c r="M1560" s="27">
        <v>0</v>
      </c>
      <c r="N1560" s="21">
        <v>17.640999999999998</v>
      </c>
      <c r="O1560" s="24">
        <v>34.209000000000003</v>
      </c>
      <c r="P1560" s="16">
        <v>0.15094128941176477</v>
      </c>
      <c r="Q1560" s="16">
        <v>0.85118013411764615</v>
      </c>
      <c r="R1560" s="26" t="s">
        <v>280</v>
      </c>
      <c r="S1560" s="26"/>
      <c r="T1560" s="71" t="s">
        <v>626</v>
      </c>
    </row>
    <row r="1561" spans="1:20" ht="12.75" customHeight="1">
      <c r="A1561" s="26" t="s">
        <v>145</v>
      </c>
      <c r="B1561" s="26" t="s">
        <v>232</v>
      </c>
      <c r="C1561" s="26" t="s">
        <v>505</v>
      </c>
      <c r="D1561" s="25">
        <v>42985</v>
      </c>
      <c r="E1561" s="1">
        <f t="shared" si="89"/>
        <v>2017</v>
      </c>
      <c r="F1561" s="1">
        <f t="shared" si="91"/>
        <v>9</v>
      </c>
      <c r="G1561" s="4">
        <f t="shared" si="90"/>
        <v>7</v>
      </c>
      <c r="H1561" s="6">
        <v>0.75423611111111111</v>
      </c>
      <c r="I1561" s="22">
        <v>130.148</v>
      </c>
      <c r="J1561" s="22">
        <v>34.129333333333335</v>
      </c>
      <c r="K1561" s="27">
        <v>0</v>
      </c>
      <c r="L1561" s="27">
        <v>0</v>
      </c>
      <c r="M1561" s="27">
        <v>0</v>
      </c>
      <c r="N1561" s="21">
        <v>26.6</v>
      </c>
      <c r="O1561" s="24">
        <v>31.839058396503866</v>
      </c>
      <c r="P1561" s="16">
        <v>-0.47377995176470544</v>
      </c>
      <c r="Q1561" s="16">
        <v>-3.1292635576470573</v>
      </c>
      <c r="R1561" s="26" t="s">
        <v>280</v>
      </c>
      <c r="S1561" s="26"/>
      <c r="T1561" s="71" t="s">
        <v>626</v>
      </c>
    </row>
    <row r="1562" spans="1:20" ht="12.75" customHeight="1">
      <c r="A1562" s="26" t="s">
        <v>145</v>
      </c>
      <c r="B1562" s="26" t="s">
        <v>232</v>
      </c>
      <c r="C1562" s="26" t="s">
        <v>505</v>
      </c>
      <c r="D1562" s="25">
        <v>42985</v>
      </c>
      <c r="E1562" s="1">
        <f t="shared" si="89"/>
        <v>2017</v>
      </c>
      <c r="F1562" s="1">
        <f t="shared" si="91"/>
        <v>9</v>
      </c>
      <c r="G1562" s="4">
        <f t="shared" si="90"/>
        <v>7</v>
      </c>
      <c r="H1562" s="6">
        <v>0.75423611111111111</v>
      </c>
      <c r="I1562" s="22">
        <v>130.148</v>
      </c>
      <c r="J1562" s="22">
        <v>34.129333333333335</v>
      </c>
      <c r="K1562" s="27">
        <v>20</v>
      </c>
      <c r="L1562" s="27">
        <v>20</v>
      </c>
      <c r="M1562" s="27">
        <v>0</v>
      </c>
      <c r="N1562" s="21">
        <v>26.152999999999999</v>
      </c>
      <c r="O1562" s="24">
        <v>33.529000000000003</v>
      </c>
      <c r="P1562" s="16">
        <v>-7.2760640000000043E-2</v>
      </c>
      <c r="Q1562" s="16">
        <v>-0.72835404000000104</v>
      </c>
      <c r="R1562" s="26" t="s">
        <v>280</v>
      </c>
      <c r="S1562" s="26"/>
      <c r="T1562" s="71" t="s">
        <v>626</v>
      </c>
    </row>
    <row r="1563" spans="1:20" ht="12.75" customHeight="1">
      <c r="A1563" s="26" t="s">
        <v>145</v>
      </c>
      <c r="B1563" s="26" t="s">
        <v>232</v>
      </c>
      <c r="C1563" s="26" t="s">
        <v>505</v>
      </c>
      <c r="D1563" s="25">
        <v>42985</v>
      </c>
      <c r="E1563" s="1">
        <f t="shared" si="89"/>
        <v>2017</v>
      </c>
      <c r="F1563" s="1">
        <f t="shared" si="91"/>
        <v>9</v>
      </c>
      <c r="G1563" s="4">
        <f t="shared" si="90"/>
        <v>7</v>
      </c>
      <c r="H1563" s="6">
        <v>0.75423611111111111</v>
      </c>
      <c r="I1563" s="22">
        <v>130.148</v>
      </c>
      <c r="J1563" s="22">
        <v>34.129333333333335</v>
      </c>
      <c r="K1563" s="27">
        <v>50</v>
      </c>
      <c r="L1563" s="27">
        <v>50</v>
      </c>
      <c r="M1563" s="27">
        <v>0</v>
      </c>
      <c r="N1563" s="21">
        <v>23.873000000000001</v>
      </c>
      <c r="O1563" s="24">
        <v>33.969000000000001</v>
      </c>
      <c r="P1563" s="16">
        <v>0.15749393176470572</v>
      </c>
      <c r="Q1563" s="16">
        <v>0.23466883764705848</v>
      </c>
      <c r="R1563" s="26" t="s">
        <v>280</v>
      </c>
      <c r="S1563" s="26"/>
      <c r="T1563" s="71" t="s">
        <v>626</v>
      </c>
    </row>
    <row r="1564" spans="1:20" ht="12.75" customHeight="1">
      <c r="A1564" s="26" t="s">
        <v>145</v>
      </c>
      <c r="B1564" s="26" t="s">
        <v>134</v>
      </c>
      <c r="C1564" s="26" t="s">
        <v>505</v>
      </c>
      <c r="D1564" s="25">
        <v>42986</v>
      </c>
      <c r="E1564" s="1">
        <f t="shared" si="89"/>
        <v>2017</v>
      </c>
      <c r="F1564" s="1">
        <f t="shared" si="91"/>
        <v>9</v>
      </c>
      <c r="G1564" s="4">
        <f t="shared" si="90"/>
        <v>8</v>
      </c>
      <c r="H1564" s="6">
        <v>0.7333912037037037</v>
      </c>
      <c r="I1564" s="22">
        <v>129.79933333333332</v>
      </c>
      <c r="J1564" s="22">
        <v>34.19016666666667</v>
      </c>
      <c r="K1564" s="27">
        <v>0</v>
      </c>
      <c r="L1564" s="27">
        <v>0</v>
      </c>
      <c r="M1564" s="27">
        <v>0</v>
      </c>
      <c r="N1564" s="21">
        <v>27.4</v>
      </c>
      <c r="O1564" s="24">
        <v>31.64267416444628</v>
      </c>
      <c r="P1564" s="16">
        <v>-0.35345615647058826</v>
      </c>
      <c r="Q1564" s="16">
        <v>-2.7354667647058815</v>
      </c>
      <c r="R1564" s="26" t="s">
        <v>280</v>
      </c>
      <c r="S1564" s="26"/>
      <c r="T1564" s="71" t="s">
        <v>626</v>
      </c>
    </row>
    <row r="1565" spans="1:20" ht="12.75" customHeight="1">
      <c r="A1565" s="26" t="s">
        <v>145</v>
      </c>
      <c r="B1565" s="26" t="s">
        <v>134</v>
      </c>
      <c r="C1565" s="26" t="s">
        <v>505</v>
      </c>
      <c r="D1565" s="25">
        <v>42986</v>
      </c>
      <c r="E1565" s="1">
        <f t="shared" si="89"/>
        <v>2017</v>
      </c>
      <c r="F1565" s="1">
        <f t="shared" si="91"/>
        <v>9</v>
      </c>
      <c r="G1565" s="4">
        <f t="shared" si="90"/>
        <v>8</v>
      </c>
      <c r="H1565" s="6">
        <v>0.7333912037037037</v>
      </c>
      <c r="I1565" s="22">
        <v>129.79933333333332</v>
      </c>
      <c r="J1565" s="22">
        <v>34.19016666666667</v>
      </c>
      <c r="K1565" s="27">
        <v>20</v>
      </c>
      <c r="L1565" s="27">
        <v>20</v>
      </c>
      <c r="M1565" s="27">
        <v>0</v>
      </c>
      <c r="N1565" s="21">
        <v>27.486999999999998</v>
      </c>
      <c r="O1565" s="24">
        <v>32.237000000000002</v>
      </c>
      <c r="P1565" s="16">
        <v>-0.37557432470588226</v>
      </c>
      <c r="Q1565" s="16">
        <v>-2.5782578870588226</v>
      </c>
      <c r="R1565" s="26" t="s">
        <v>280</v>
      </c>
      <c r="S1565" s="26"/>
      <c r="T1565" s="71" t="s">
        <v>626</v>
      </c>
    </row>
    <row r="1566" spans="1:20" ht="12.75" customHeight="1">
      <c r="A1566" s="26" t="s">
        <v>145</v>
      </c>
      <c r="B1566" s="26" t="s">
        <v>134</v>
      </c>
      <c r="C1566" s="26" t="s">
        <v>505</v>
      </c>
      <c r="D1566" s="25">
        <v>42986</v>
      </c>
      <c r="E1566" s="1">
        <f t="shared" si="89"/>
        <v>2017</v>
      </c>
      <c r="F1566" s="1">
        <f t="shared" si="91"/>
        <v>9</v>
      </c>
      <c r="G1566" s="4">
        <f t="shared" si="90"/>
        <v>8</v>
      </c>
      <c r="H1566" s="6">
        <v>0.7333912037037037</v>
      </c>
      <c r="I1566" s="22">
        <v>129.79933333333332</v>
      </c>
      <c r="J1566" s="22">
        <v>34.19016666666667</v>
      </c>
      <c r="K1566" s="27">
        <v>50</v>
      </c>
      <c r="L1566" s="27">
        <v>50</v>
      </c>
      <c r="M1566" s="27">
        <v>0</v>
      </c>
      <c r="N1566" s="21">
        <v>19.782</v>
      </c>
      <c r="O1566" s="24">
        <v>33.942999999999998</v>
      </c>
      <c r="P1566" s="16">
        <v>2.0752527058823356E-2</v>
      </c>
      <c r="Q1566" s="16">
        <v>-0.26461212941176449</v>
      </c>
      <c r="R1566" s="26" t="s">
        <v>280</v>
      </c>
      <c r="S1566" s="26"/>
      <c r="T1566" s="71" t="s">
        <v>626</v>
      </c>
    </row>
    <row r="1567" spans="1:20" ht="12.75" customHeight="1">
      <c r="A1567" s="26" t="s">
        <v>145</v>
      </c>
      <c r="B1567" s="26" t="s">
        <v>136</v>
      </c>
      <c r="C1567" s="26" t="s">
        <v>505</v>
      </c>
      <c r="D1567" s="25">
        <v>42987</v>
      </c>
      <c r="E1567" s="1">
        <f t="shared" si="89"/>
        <v>2017</v>
      </c>
      <c r="F1567" s="1">
        <f t="shared" si="91"/>
        <v>9</v>
      </c>
      <c r="G1567" s="4">
        <f t="shared" si="90"/>
        <v>9</v>
      </c>
      <c r="H1567" s="6">
        <v>0.76504629629629628</v>
      </c>
      <c r="I1567" s="22">
        <v>128.3005</v>
      </c>
      <c r="J1567" s="22">
        <v>33.165500000000002</v>
      </c>
      <c r="K1567" s="27">
        <v>0</v>
      </c>
      <c r="L1567" s="27">
        <v>0</v>
      </c>
      <c r="M1567" s="27">
        <v>0</v>
      </c>
      <c r="N1567" s="21">
        <v>27.1</v>
      </c>
      <c r="O1567" s="24">
        <v>32.453827579610547</v>
      </c>
      <c r="P1567" s="16">
        <v>-0.23150020117647063</v>
      </c>
      <c r="Q1567" s="16">
        <v>-1.6182062317647059</v>
      </c>
      <c r="R1567" s="26" t="s">
        <v>280</v>
      </c>
      <c r="S1567" s="26"/>
      <c r="T1567" s="71" t="s">
        <v>626</v>
      </c>
    </row>
    <row r="1568" spans="1:20" ht="12.75" customHeight="1">
      <c r="A1568" s="26" t="s">
        <v>145</v>
      </c>
      <c r="B1568" s="26" t="s">
        <v>136</v>
      </c>
      <c r="C1568" s="26" t="s">
        <v>505</v>
      </c>
      <c r="D1568" s="25">
        <v>42987</v>
      </c>
      <c r="E1568" s="1">
        <f t="shared" si="89"/>
        <v>2017</v>
      </c>
      <c r="F1568" s="1">
        <f t="shared" si="91"/>
        <v>9</v>
      </c>
      <c r="G1568" s="4">
        <f t="shared" si="90"/>
        <v>9</v>
      </c>
      <c r="H1568" s="6">
        <v>0.76504629629629628</v>
      </c>
      <c r="I1568" s="22">
        <v>128.3005</v>
      </c>
      <c r="J1568" s="22">
        <v>33.165500000000002</v>
      </c>
      <c r="K1568" s="27">
        <v>20</v>
      </c>
      <c r="L1568" s="27">
        <v>20</v>
      </c>
      <c r="M1568" s="27">
        <v>0</v>
      </c>
      <c r="N1568" s="21">
        <v>26.855</v>
      </c>
      <c r="O1568" s="24">
        <v>32.859000000000002</v>
      </c>
      <c r="P1568" s="16">
        <v>-0.27660488823529406</v>
      </c>
      <c r="Q1568" s="16">
        <v>-1.6322520470588238</v>
      </c>
      <c r="R1568" s="26" t="s">
        <v>280</v>
      </c>
      <c r="S1568" s="26"/>
      <c r="T1568" s="71" t="s">
        <v>626</v>
      </c>
    </row>
    <row r="1569" spans="1:20" ht="12.75" customHeight="1">
      <c r="A1569" s="26" t="s">
        <v>145</v>
      </c>
      <c r="B1569" s="26" t="s">
        <v>136</v>
      </c>
      <c r="C1569" s="26" t="s">
        <v>505</v>
      </c>
      <c r="D1569" s="25">
        <v>42987</v>
      </c>
      <c r="E1569" s="1">
        <f t="shared" si="89"/>
        <v>2017</v>
      </c>
      <c r="F1569" s="1">
        <f t="shared" si="91"/>
        <v>9</v>
      </c>
      <c r="G1569" s="4">
        <f t="shared" si="90"/>
        <v>9</v>
      </c>
      <c r="H1569" s="6">
        <v>0.76504629629629628</v>
      </c>
      <c r="I1569" s="22">
        <v>128.3005</v>
      </c>
      <c r="J1569" s="22">
        <v>33.165500000000002</v>
      </c>
      <c r="K1569" s="27">
        <v>50</v>
      </c>
      <c r="L1569" s="27">
        <v>50</v>
      </c>
      <c r="M1569" s="27">
        <v>0</v>
      </c>
      <c r="N1569" s="21">
        <v>25.141999999999999</v>
      </c>
      <c r="O1569" s="24">
        <v>34.244999999999997</v>
      </c>
      <c r="P1569" s="16">
        <v>0.35769319411764711</v>
      </c>
      <c r="Q1569" s="16">
        <v>1.297598023529412</v>
      </c>
      <c r="R1569" s="26" t="s">
        <v>280</v>
      </c>
      <c r="S1569" s="26"/>
      <c r="T1569" s="71" t="s">
        <v>626</v>
      </c>
    </row>
    <row r="1570" spans="1:20" ht="12.75" customHeight="1">
      <c r="A1570" s="26" t="s">
        <v>145</v>
      </c>
      <c r="B1570" s="26" t="s">
        <v>239</v>
      </c>
      <c r="C1570" s="26" t="s">
        <v>505</v>
      </c>
      <c r="D1570" s="25">
        <v>42988</v>
      </c>
      <c r="E1570" s="1">
        <f t="shared" si="89"/>
        <v>2017</v>
      </c>
      <c r="F1570" s="1">
        <f t="shared" si="91"/>
        <v>9</v>
      </c>
      <c r="G1570" s="4">
        <f t="shared" si="90"/>
        <v>10</v>
      </c>
      <c r="H1570" s="6">
        <v>0.71875</v>
      </c>
      <c r="I1570" s="22">
        <v>128.66116666666667</v>
      </c>
      <c r="J1570" s="22">
        <v>33.664499999999997</v>
      </c>
      <c r="K1570" s="27">
        <v>0</v>
      </c>
      <c r="L1570" s="27">
        <v>0</v>
      </c>
      <c r="M1570" s="27">
        <v>0</v>
      </c>
      <c r="N1570" s="21">
        <v>28</v>
      </c>
      <c r="O1570" s="24">
        <v>32.474664254174854</v>
      </c>
      <c r="P1570" s="16">
        <v>-0.17614362352941204</v>
      </c>
      <c r="Q1570" s="16">
        <v>-1.1541879058823534</v>
      </c>
      <c r="R1570" s="26" t="s">
        <v>280</v>
      </c>
      <c r="S1570" s="26"/>
      <c r="T1570" s="71" t="s">
        <v>626</v>
      </c>
    </row>
    <row r="1571" spans="1:20" ht="12.75" customHeight="1">
      <c r="A1571" s="26" t="s">
        <v>145</v>
      </c>
      <c r="B1571" s="26" t="s">
        <v>239</v>
      </c>
      <c r="C1571" s="26" t="s">
        <v>505</v>
      </c>
      <c r="D1571" s="25">
        <v>42988</v>
      </c>
      <c r="E1571" s="1">
        <f t="shared" si="89"/>
        <v>2017</v>
      </c>
      <c r="F1571" s="1">
        <f t="shared" si="91"/>
        <v>9</v>
      </c>
      <c r="G1571" s="4">
        <f t="shared" si="90"/>
        <v>10</v>
      </c>
      <c r="H1571" s="6">
        <v>0.71875</v>
      </c>
      <c r="I1571" s="22">
        <v>128.66116666666667</v>
      </c>
      <c r="J1571" s="22">
        <v>33.664499999999997</v>
      </c>
      <c r="K1571" s="27">
        <v>20</v>
      </c>
      <c r="L1571" s="27">
        <v>20</v>
      </c>
      <c r="M1571" s="27">
        <v>0</v>
      </c>
      <c r="N1571" s="21">
        <v>28.387</v>
      </c>
      <c r="O1571" s="24">
        <v>33.267000000000003</v>
      </c>
      <c r="P1571" s="31">
        <v>-0.13290693176470603</v>
      </c>
      <c r="Q1571" s="31">
        <v>-1.1281877929411763</v>
      </c>
      <c r="R1571" s="26" t="s">
        <v>280</v>
      </c>
      <c r="S1571" s="26"/>
      <c r="T1571" s="71" t="s">
        <v>626</v>
      </c>
    </row>
    <row r="1572" spans="1:20" ht="12.75" customHeight="1">
      <c r="A1572" s="26" t="s">
        <v>145</v>
      </c>
      <c r="B1572" s="26" t="s">
        <v>239</v>
      </c>
      <c r="C1572" s="26" t="s">
        <v>505</v>
      </c>
      <c r="D1572" s="25">
        <v>42988</v>
      </c>
      <c r="E1572" s="1">
        <f t="shared" ref="E1572:E1635" si="92">YEAR(D1572)</f>
        <v>2017</v>
      </c>
      <c r="F1572" s="1">
        <f t="shared" si="91"/>
        <v>9</v>
      </c>
      <c r="G1572" s="4">
        <f t="shared" ref="G1572:G1635" si="93">DAY(D1572)</f>
        <v>10</v>
      </c>
      <c r="H1572" s="6">
        <v>0.71875</v>
      </c>
      <c r="I1572" s="22">
        <v>128.66116666666667</v>
      </c>
      <c r="J1572" s="22">
        <v>33.664499999999997</v>
      </c>
      <c r="K1572" s="27">
        <v>50</v>
      </c>
      <c r="L1572" s="27">
        <v>50</v>
      </c>
      <c r="M1572" s="27">
        <v>0</v>
      </c>
      <c r="N1572" s="21">
        <v>24.065000000000001</v>
      </c>
      <c r="O1572" s="24">
        <v>34.417000000000002</v>
      </c>
      <c r="P1572" s="16">
        <v>0.16343594117647053</v>
      </c>
      <c r="Q1572" s="16">
        <v>1.2372370352941182</v>
      </c>
      <c r="R1572" s="26" t="s">
        <v>280</v>
      </c>
      <c r="S1572" s="26"/>
      <c r="T1572" s="71" t="s">
        <v>626</v>
      </c>
    </row>
    <row r="1573" spans="1:20" ht="12.75" customHeight="1">
      <c r="A1573" s="26" t="s">
        <v>145</v>
      </c>
      <c r="B1573" s="26" t="s">
        <v>240</v>
      </c>
      <c r="C1573" s="26" t="s">
        <v>505</v>
      </c>
      <c r="D1573" s="25">
        <v>42996</v>
      </c>
      <c r="E1573" s="1">
        <f t="shared" si="92"/>
        <v>2017</v>
      </c>
      <c r="F1573" s="1">
        <f t="shared" si="91"/>
        <v>9</v>
      </c>
      <c r="G1573" s="4">
        <f t="shared" si="93"/>
        <v>18</v>
      </c>
      <c r="H1573" s="6">
        <v>0.78680555555555554</v>
      </c>
      <c r="I1573" s="22">
        <v>127.9885</v>
      </c>
      <c r="J1573" s="22">
        <v>32.487000000000002</v>
      </c>
      <c r="K1573" s="27">
        <v>0</v>
      </c>
      <c r="L1573" s="27">
        <v>0</v>
      </c>
      <c r="M1573" s="27">
        <v>0</v>
      </c>
      <c r="N1573" s="21">
        <v>27.7</v>
      </c>
      <c r="O1573" s="24">
        <v>33.522965282965409</v>
      </c>
      <c r="P1573" s="16">
        <v>4.6775523529411611E-2</v>
      </c>
      <c r="Q1573" s="16">
        <v>0.32811430588235346</v>
      </c>
      <c r="R1573" s="26" t="s">
        <v>280</v>
      </c>
      <c r="S1573" s="26"/>
      <c r="T1573" s="71" t="s">
        <v>626</v>
      </c>
    </row>
    <row r="1574" spans="1:20" ht="12.75" customHeight="1">
      <c r="A1574" s="26" t="s">
        <v>145</v>
      </c>
      <c r="B1574" s="26" t="s">
        <v>240</v>
      </c>
      <c r="C1574" s="26" t="s">
        <v>505</v>
      </c>
      <c r="D1574" s="25">
        <v>42996</v>
      </c>
      <c r="E1574" s="1">
        <f t="shared" si="92"/>
        <v>2017</v>
      </c>
      <c r="F1574" s="1">
        <f t="shared" si="91"/>
        <v>9</v>
      </c>
      <c r="G1574" s="4">
        <f t="shared" si="93"/>
        <v>18</v>
      </c>
      <c r="H1574" s="6">
        <v>0.78680555555555554</v>
      </c>
      <c r="I1574" s="22">
        <v>127.9885</v>
      </c>
      <c r="J1574" s="22">
        <v>32.487000000000002</v>
      </c>
      <c r="K1574" s="27">
        <v>20</v>
      </c>
      <c r="L1574" s="27">
        <v>20</v>
      </c>
      <c r="M1574" s="27">
        <v>0</v>
      </c>
      <c r="N1574" s="21">
        <v>27.646999999999998</v>
      </c>
      <c r="O1574" s="24">
        <v>34.048999999999999</v>
      </c>
      <c r="P1574" s="16">
        <v>0.13829350588235267</v>
      </c>
      <c r="Q1574" s="16">
        <v>0.46963077647058959</v>
      </c>
      <c r="R1574" s="26" t="s">
        <v>280</v>
      </c>
      <c r="S1574" s="26"/>
      <c r="T1574" s="71" t="s">
        <v>626</v>
      </c>
    </row>
    <row r="1575" spans="1:20" ht="12.75" customHeight="1">
      <c r="A1575" s="26" t="s">
        <v>145</v>
      </c>
      <c r="B1575" s="26" t="s">
        <v>240</v>
      </c>
      <c r="C1575" s="26" t="s">
        <v>505</v>
      </c>
      <c r="D1575" s="25">
        <v>42996</v>
      </c>
      <c r="E1575" s="1">
        <f t="shared" si="92"/>
        <v>2017</v>
      </c>
      <c r="F1575" s="1">
        <f t="shared" si="91"/>
        <v>9</v>
      </c>
      <c r="G1575" s="4">
        <f t="shared" si="93"/>
        <v>18</v>
      </c>
      <c r="H1575" s="6">
        <v>0.78680555555555554</v>
      </c>
      <c r="I1575" s="22">
        <v>127.9885</v>
      </c>
      <c r="J1575" s="22">
        <v>32.487000000000002</v>
      </c>
      <c r="K1575" s="27">
        <v>50</v>
      </c>
      <c r="L1575" s="27">
        <v>50</v>
      </c>
      <c r="M1575" s="27">
        <v>0</v>
      </c>
      <c r="N1575" s="21">
        <v>27.62</v>
      </c>
      <c r="O1575" s="24">
        <v>34.07</v>
      </c>
      <c r="P1575" s="16">
        <v>8.1451835294117592E-2</v>
      </c>
      <c r="Q1575" s="16">
        <v>0.33599505882352965</v>
      </c>
      <c r="R1575" s="26" t="s">
        <v>280</v>
      </c>
      <c r="S1575" s="26"/>
      <c r="T1575" s="71" t="s">
        <v>626</v>
      </c>
    </row>
    <row r="1576" spans="1:20" ht="12.75" customHeight="1">
      <c r="A1576" s="26" t="s">
        <v>145</v>
      </c>
      <c r="B1576" s="26" t="s">
        <v>274</v>
      </c>
      <c r="C1576" s="26" t="s">
        <v>505</v>
      </c>
      <c r="D1576" s="25">
        <v>42997</v>
      </c>
      <c r="E1576" s="1">
        <f t="shared" si="92"/>
        <v>2017</v>
      </c>
      <c r="F1576" s="1">
        <f t="shared" si="91"/>
        <v>9</v>
      </c>
      <c r="G1576" s="4">
        <f t="shared" si="93"/>
        <v>19</v>
      </c>
      <c r="H1576" s="6">
        <v>0.66736111111111107</v>
      </c>
      <c r="I1576" s="22">
        <v>128.49683333333334</v>
      </c>
      <c r="J1576" s="22">
        <v>31.499166666666667</v>
      </c>
      <c r="K1576" s="27">
        <v>0</v>
      </c>
      <c r="L1576" s="27">
        <v>0</v>
      </c>
      <c r="M1576" s="27">
        <v>0</v>
      </c>
      <c r="N1576" s="21">
        <v>28.2</v>
      </c>
      <c r="O1576" s="24">
        <v>32.859969109714243</v>
      </c>
      <c r="P1576" s="16">
        <v>-7.1885682352941238E-2</v>
      </c>
      <c r="Q1576" s="16">
        <v>-0.66362847058823426</v>
      </c>
      <c r="R1576" s="26" t="s">
        <v>280</v>
      </c>
      <c r="S1576" s="26"/>
      <c r="T1576" s="71" t="s">
        <v>626</v>
      </c>
    </row>
    <row r="1577" spans="1:20" ht="12.75" customHeight="1">
      <c r="A1577" s="26" t="s">
        <v>145</v>
      </c>
      <c r="B1577" s="26" t="s">
        <v>274</v>
      </c>
      <c r="C1577" s="26" t="s">
        <v>505</v>
      </c>
      <c r="D1577" s="25">
        <v>42997</v>
      </c>
      <c r="E1577" s="1">
        <f t="shared" si="92"/>
        <v>2017</v>
      </c>
      <c r="F1577" s="1">
        <f t="shared" si="91"/>
        <v>9</v>
      </c>
      <c r="G1577" s="4">
        <f t="shared" si="93"/>
        <v>19</v>
      </c>
      <c r="H1577" s="6">
        <v>0.66736111111111107</v>
      </c>
      <c r="I1577" s="22">
        <v>128.49683333333334</v>
      </c>
      <c r="J1577" s="22">
        <v>31.499166666666667</v>
      </c>
      <c r="K1577" s="27">
        <v>20</v>
      </c>
      <c r="L1577" s="27">
        <v>20</v>
      </c>
      <c r="M1577" s="27">
        <v>0</v>
      </c>
      <c r="N1577" s="21">
        <v>27.893000000000001</v>
      </c>
      <c r="O1577" s="24">
        <v>33.451000000000001</v>
      </c>
      <c r="P1577" s="16">
        <v>-7.4621700000000013E-2</v>
      </c>
      <c r="Q1577" s="16">
        <v>-0.66319839999999886</v>
      </c>
      <c r="R1577" s="26" t="s">
        <v>280</v>
      </c>
      <c r="S1577" s="26"/>
      <c r="T1577" s="71" t="s">
        <v>626</v>
      </c>
    </row>
    <row r="1578" spans="1:20" ht="12.75" customHeight="1">
      <c r="A1578" s="26" t="s">
        <v>145</v>
      </c>
      <c r="B1578" s="26" t="s">
        <v>274</v>
      </c>
      <c r="C1578" s="26" t="s">
        <v>505</v>
      </c>
      <c r="D1578" s="25">
        <v>42997</v>
      </c>
      <c r="E1578" s="1">
        <f t="shared" si="92"/>
        <v>2017</v>
      </c>
      <c r="F1578" s="1">
        <f t="shared" si="91"/>
        <v>9</v>
      </c>
      <c r="G1578" s="4">
        <f t="shared" si="93"/>
        <v>19</v>
      </c>
      <c r="H1578" s="6">
        <v>0.66736111111111107</v>
      </c>
      <c r="I1578" s="22">
        <v>128.49683333333334</v>
      </c>
      <c r="J1578" s="22">
        <v>31.499166666666667</v>
      </c>
      <c r="K1578" s="27">
        <v>50</v>
      </c>
      <c r="L1578" s="27">
        <v>50</v>
      </c>
      <c r="M1578" s="27">
        <v>0</v>
      </c>
      <c r="N1578" s="21">
        <v>27.844999999999999</v>
      </c>
      <c r="O1578" s="24">
        <v>33.460999999999999</v>
      </c>
      <c r="P1578" s="16">
        <v>-1.322401764705905E-2</v>
      </c>
      <c r="Q1578" s="16">
        <v>-0.44600112941176384</v>
      </c>
      <c r="R1578" s="26" t="s">
        <v>280</v>
      </c>
      <c r="S1578" s="26"/>
      <c r="T1578" s="71" t="s">
        <v>626</v>
      </c>
    </row>
    <row r="1579" spans="1:20" ht="12.75" customHeight="1">
      <c r="A1579" s="26" t="s">
        <v>145</v>
      </c>
      <c r="B1579" s="26" t="s">
        <v>245</v>
      </c>
      <c r="C1579" s="26" t="s">
        <v>505</v>
      </c>
      <c r="D1579" s="25">
        <v>42998</v>
      </c>
      <c r="E1579" s="1">
        <f t="shared" si="92"/>
        <v>2017</v>
      </c>
      <c r="F1579" s="1">
        <f t="shared" si="91"/>
        <v>9</v>
      </c>
      <c r="G1579" s="4">
        <f t="shared" si="93"/>
        <v>20</v>
      </c>
      <c r="H1579" s="6">
        <v>0.71300925925925929</v>
      </c>
      <c r="I1579" s="22">
        <v>129.52783333333332</v>
      </c>
      <c r="J1579" s="22">
        <v>32.160833333333336</v>
      </c>
      <c r="K1579" s="27">
        <v>0</v>
      </c>
      <c r="L1579" s="27">
        <v>0</v>
      </c>
      <c r="M1579" s="27">
        <v>0</v>
      </c>
      <c r="N1579" s="21">
        <v>26.8</v>
      </c>
      <c r="O1579" s="24">
        <v>33.01344279805916</v>
      </c>
      <c r="P1579" s="16">
        <v>-7.5381035294117549E-2</v>
      </c>
      <c r="Q1579" s="16">
        <v>-0.33689105882352877</v>
      </c>
      <c r="R1579" s="26" t="s">
        <v>280</v>
      </c>
      <c r="S1579" s="26"/>
      <c r="T1579" s="71" t="s">
        <v>626</v>
      </c>
    </row>
    <row r="1580" spans="1:20" ht="12.75" customHeight="1">
      <c r="A1580" s="26" t="s">
        <v>145</v>
      </c>
      <c r="B1580" s="26" t="s">
        <v>245</v>
      </c>
      <c r="C1580" s="26" t="s">
        <v>505</v>
      </c>
      <c r="D1580" s="25">
        <v>42998</v>
      </c>
      <c r="E1580" s="1">
        <f t="shared" si="92"/>
        <v>2017</v>
      </c>
      <c r="F1580" s="1">
        <f t="shared" si="91"/>
        <v>9</v>
      </c>
      <c r="G1580" s="4">
        <f t="shared" si="93"/>
        <v>20</v>
      </c>
      <c r="H1580" s="6">
        <v>0.71300925925925929</v>
      </c>
      <c r="I1580" s="22">
        <v>129.52783333333332</v>
      </c>
      <c r="J1580" s="22">
        <v>32.160833333333336</v>
      </c>
      <c r="K1580" s="27">
        <v>20</v>
      </c>
      <c r="L1580" s="27">
        <v>20</v>
      </c>
      <c r="M1580" s="27">
        <v>0</v>
      </c>
      <c r="N1580" s="21">
        <v>27.117999999999999</v>
      </c>
      <c r="O1580" s="24">
        <v>33.734000000000002</v>
      </c>
      <c r="P1580" s="16">
        <v>-9.7992352941176586E-2</v>
      </c>
      <c r="Q1580" s="16">
        <v>-0.56291058823529383</v>
      </c>
      <c r="R1580" s="26" t="s">
        <v>280</v>
      </c>
      <c r="S1580" s="26"/>
      <c r="T1580" s="71" t="s">
        <v>626</v>
      </c>
    </row>
    <row r="1581" spans="1:20" ht="12.75" customHeight="1">
      <c r="A1581" s="26" t="s">
        <v>145</v>
      </c>
      <c r="B1581" s="26" t="s">
        <v>245</v>
      </c>
      <c r="C1581" s="26" t="s">
        <v>505</v>
      </c>
      <c r="D1581" s="25">
        <v>42998</v>
      </c>
      <c r="E1581" s="1">
        <f t="shared" si="92"/>
        <v>2017</v>
      </c>
      <c r="F1581" s="1">
        <f t="shared" si="91"/>
        <v>9</v>
      </c>
      <c r="G1581" s="4">
        <f t="shared" si="93"/>
        <v>20</v>
      </c>
      <c r="H1581" s="6">
        <v>0.71300925925925929</v>
      </c>
      <c r="I1581" s="22">
        <v>129.52783333333332</v>
      </c>
      <c r="J1581" s="22">
        <v>32.160833333333336</v>
      </c>
      <c r="K1581" s="27">
        <v>50</v>
      </c>
      <c r="L1581" s="27">
        <v>50</v>
      </c>
      <c r="M1581" s="27">
        <v>0</v>
      </c>
      <c r="N1581" s="21">
        <v>24.620999999999999</v>
      </c>
      <c r="O1581" s="24">
        <v>33.978999999999999</v>
      </c>
      <c r="P1581" s="16">
        <v>8.7574729411764807E-2</v>
      </c>
      <c r="Q1581" s="16">
        <v>0.52254108235294261</v>
      </c>
      <c r="R1581" s="26" t="s">
        <v>280</v>
      </c>
      <c r="S1581" s="26"/>
      <c r="T1581" s="71" t="s">
        <v>626</v>
      </c>
    </row>
    <row r="1582" spans="1:20" ht="12.75" customHeight="1">
      <c r="A1582" s="26" t="s">
        <v>145</v>
      </c>
      <c r="B1582" s="26" t="s">
        <v>237</v>
      </c>
      <c r="C1582" s="26" t="s">
        <v>504</v>
      </c>
      <c r="D1582" s="25">
        <v>42992</v>
      </c>
      <c r="E1582" s="1">
        <f t="shared" si="92"/>
        <v>2017</v>
      </c>
      <c r="F1582" s="1">
        <f t="shared" si="91"/>
        <v>9</v>
      </c>
      <c r="G1582" s="4">
        <f t="shared" si="93"/>
        <v>14</v>
      </c>
      <c r="H1582" s="6">
        <v>0.59027777777777779</v>
      </c>
      <c r="I1582" s="22">
        <v>127.98966666666666</v>
      </c>
      <c r="J1582" s="22">
        <v>32.668999999999997</v>
      </c>
      <c r="K1582" s="27">
        <v>0</v>
      </c>
      <c r="L1582" s="27">
        <v>0</v>
      </c>
      <c r="M1582" s="27">
        <v>0</v>
      </c>
      <c r="N1582" s="21">
        <v>27.7</v>
      </c>
      <c r="O1582" s="24">
        <v>33.0254509298572</v>
      </c>
      <c r="P1582" s="16">
        <v>-0.11518938823529434</v>
      </c>
      <c r="Q1582" s="16">
        <v>-1.0184951258823531</v>
      </c>
      <c r="R1582" s="26" t="s">
        <v>280</v>
      </c>
      <c r="S1582" s="26"/>
      <c r="T1582" s="71" t="s">
        <v>626</v>
      </c>
    </row>
    <row r="1583" spans="1:20" ht="12.75" customHeight="1">
      <c r="A1583" s="1" t="s">
        <v>288</v>
      </c>
      <c r="B1583" s="1">
        <v>81</v>
      </c>
      <c r="C1583" s="1" t="s">
        <v>505</v>
      </c>
      <c r="D1583" s="5">
        <v>43218</v>
      </c>
      <c r="E1583" s="1">
        <f t="shared" si="92"/>
        <v>2018</v>
      </c>
      <c r="F1583" s="1">
        <f t="shared" si="91"/>
        <v>4</v>
      </c>
      <c r="G1583" s="4">
        <f t="shared" si="93"/>
        <v>28</v>
      </c>
      <c r="H1583" s="8">
        <v>0.96805555555555556</v>
      </c>
      <c r="I1583" s="11">
        <v>128.3665</v>
      </c>
      <c r="J1583" s="11">
        <v>32.725666666666598</v>
      </c>
      <c r="K1583" s="9">
        <v>5</v>
      </c>
      <c r="L1583" s="9">
        <v>5</v>
      </c>
      <c r="M1583" s="9">
        <v>0</v>
      </c>
      <c r="N1583" s="12">
        <v>19.5266666666666</v>
      </c>
      <c r="O1583" s="11">
        <v>34.511020000000002</v>
      </c>
      <c r="P1583" s="31">
        <v>0.21543608470588227</v>
      </c>
      <c r="Q1583" s="31">
        <v>1.4809675011764707</v>
      </c>
      <c r="R1583" s="26" t="s">
        <v>280</v>
      </c>
      <c r="S1583" s="26"/>
      <c r="T1583" s="71" t="s">
        <v>626</v>
      </c>
    </row>
    <row r="1584" spans="1:20" ht="12.75" customHeight="1">
      <c r="A1584" s="1" t="s">
        <v>288</v>
      </c>
      <c r="B1584" s="1">
        <v>80</v>
      </c>
      <c r="C1584" s="1" t="s">
        <v>505</v>
      </c>
      <c r="D1584" s="5">
        <v>43219</v>
      </c>
      <c r="E1584" s="1">
        <f t="shared" si="92"/>
        <v>2018</v>
      </c>
      <c r="F1584" s="1">
        <f t="shared" si="91"/>
        <v>4</v>
      </c>
      <c r="G1584" s="4">
        <f t="shared" si="93"/>
        <v>29</v>
      </c>
      <c r="H1584" s="8">
        <v>0.12916666666666668</v>
      </c>
      <c r="I1584" s="11">
        <v>127.80766666666599</v>
      </c>
      <c r="J1584" s="11">
        <v>32.75</v>
      </c>
      <c r="K1584" s="9">
        <v>5</v>
      </c>
      <c r="L1584" s="9">
        <v>5</v>
      </c>
      <c r="M1584" s="9">
        <v>0</v>
      </c>
      <c r="N1584" s="12">
        <v>19.426666666666598</v>
      </c>
      <c r="O1584" s="11">
        <v>34.516353333333299</v>
      </c>
      <c r="P1584" s="31">
        <v>0.28086619529411783</v>
      </c>
      <c r="Q1584" s="31">
        <v>1.3527352588235306</v>
      </c>
      <c r="R1584" s="26" t="s">
        <v>280</v>
      </c>
      <c r="S1584" s="26"/>
      <c r="T1584" s="71" t="s">
        <v>626</v>
      </c>
    </row>
    <row r="1585" spans="1:20" ht="12.75" customHeight="1">
      <c r="A1585" s="1" t="s">
        <v>288</v>
      </c>
      <c r="B1585" s="1">
        <v>82</v>
      </c>
      <c r="C1585" s="1" t="s">
        <v>505</v>
      </c>
      <c r="D1585" s="5">
        <v>43219</v>
      </c>
      <c r="E1585" s="1">
        <f t="shared" si="92"/>
        <v>2018</v>
      </c>
      <c r="F1585" s="1">
        <f t="shared" si="91"/>
        <v>4</v>
      </c>
      <c r="G1585" s="4">
        <f t="shared" si="93"/>
        <v>29</v>
      </c>
      <c r="H1585" s="8">
        <v>0.31805555555555554</v>
      </c>
      <c r="I1585" s="11">
        <v>128.21549999999999</v>
      </c>
      <c r="J1585" s="11">
        <v>33.216333333333303</v>
      </c>
      <c r="K1585" s="9">
        <v>5</v>
      </c>
      <c r="L1585" s="9">
        <v>5</v>
      </c>
      <c r="M1585" s="9">
        <v>0</v>
      </c>
      <c r="N1585" s="12">
        <v>18.086666666666599</v>
      </c>
      <c r="O1585" s="11">
        <v>34.463186666666601</v>
      </c>
      <c r="P1585" s="31">
        <v>0.24079358588235333</v>
      </c>
      <c r="Q1585" s="31">
        <v>1.4498232164705893</v>
      </c>
      <c r="R1585" s="26" t="s">
        <v>280</v>
      </c>
      <c r="S1585" s="26"/>
      <c r="T1585" s="71" t="s">
        <v>626</v>
      </c>
    </row>
    <row r="1586" spans="1:20" ht="12.75" customHeight="1">
      <c r="A1586" s="1" t="s">
        <v>288</v>
      </c>
      <c r="B1586" s="1">
        <v>83</v>
      </c>
      <c r="C1586" s="1" t="s">
        <v>505</v>
      </c>
      <c r="D1586" s="5">
        <v>43219</v>
      </c>
      <c r="E1586" s="1">
        <f t="shared" si="92"/>
        <v>2018</v>
      </c>
      <c r="F1586" s="1">
        <f t="shared" si="91"/>
        <v>4</v>
      </c>
      <c r="G1586" s="4">
        <f t="shared" si="93"/>
        <v>29</v>
      </c>
      <c r="H1586" s="8">
        <v>0.57777777777777783</v>
      </c>
      <c r="I1586" s="11">
        <v>128.82550000000001</v>
      </c>
      <c r="J1586" s="11">
        <v>33.250999999999998</v>
      </c>
      <c r="K1586" s="9">
        <v>5</v>
      </c>
      <c r="L1586" s="9">
        <v>5</v>
      </c>
      <c r="M1586" s="9">
        <v>0</v>
      </c>
      <c r="N1586" s="12">
        <v>18.38</v>
      </c>
      <c r="O1586" s="11">
        <v>34.584186666666596</v>
      </c>
      <c r="P1586" s="31">
        <v>0.27469651647058813</v>
      </c>
      <c r="Q1586" s="31">
        <v>1.539367414117649</v>
      </c>
      <c r="R1586" s="26" t="s">
        <v>280</v>
      </c>
      <c r="S1586" s="26"/>
      <c r="T1586" s="71" t="s">
        <v>626</v>
      </c>
    </row>
    <row r="1587" spans="1:20" ht="12.75" customHeight="1">
      <c r="A1587" s="1" t="s">
        <v>288</v>
      </c>
      <c r="B1587" s="1">
        <v>85</v>
      </c>
      <c r="C1587" s="1" t="s">
        <v>505</v>
      </c>
      <c r="D1587" s="5">
        <v>43219</v>
      </c>
      <c r="E1587" s="1">
        <f t="shared" si="92"/>
        <v>2018</v>
      </c>
      <c r="F1587" s="1">
        <f t="shared" si="91"/>
        <v>4</v>
      </c>
      <c r="G1587" s="4">
        <f t="shared" si="93"/>
        <v>29</v>
      </c>
      <c r="H1587" s="8">
        <v>0.87361111111111101</v>
      </c>
      <c r="I1587" s="11">
        <v>129.19016666666599</v>
      </c>
      <c r="J1587" s="11">
        <v>33.75</v>
      </c>
      <c r="K1587" s="9">
        <v>5</v>
      </c>
      <c r="L1587" s="9">
        <v>5</v>
      </c>
      <c r="M1587" s="9">
        <v>0</v>
      </c>
      <c r="N1587" s="12">
        <v>18.0483333333333</v>
      </c>
      <c r="O1587" s="11">
        <v>34.551353333333303</v>
      </c>
      <c r="P1587" s="31">
        <v>0.26879653382352986</v>
      </c>
      <c r="Q1587" s="31">
        <v>1.451221614705883</v>
      </c>
      <c r="R1587" s="26" t="s">
        <v>280</v>
      </c>
      <c r="S1587" s="26"/>
      <c r="T1587" s="71" t="s">
        <v>626</v>
      </c>
    </row>
    <row r="1588" spans="1:20" ht="12.75" customHeight="1">
      <c r="A1588" s="1" t="s">
        <v>288</v>
      </c>
      <c r="B1588" s="1">
        <v>93</v>
      </c>
      <c r="C1588" s="1" t="s">
        <v>505</v>
      </c>
      <c r="D1588" s="5">
        <v>43220</v>
      </c>
      <c r="E1588" s="1">
        <f t="shared" si="92"/>
        <v>2018</v>
      </c>
      <c r="F1588" s="1">
        <f t="shared" si="91"/>
        <v>4</v>
      </c>
      <c r="G1588" s="4">
        <f t="shared" si="93"/>
        <v>30</v>
      </c>
      <c r="H1588" s="8">
        <v>1.3888888888888888E-2</v>
      </c>
      <c r="I1588" s="11">
        <v>129.611666666666</v>
      </c>
      <c r="J1588" s="11">
        <v>33.967833333333303</v>
      </c>
      <c r="K1588" s="9">
        <v>5</v>
      </c>
      <c r="L1588" s="9">
        <v>5</v>
      </c>
      <c r="M1588" s="9">
        <v>0</v>
      </c>
      <c r="N1588" s="12">
        <v>17.649999999999999</v>
      </c>
      <c r="O1588" s="11">
        <v>34.559353333333299</v>
      </c>
      <c r="P1588" s="31">
        <v>0.2396451044117649</v>
      </c>
      <c r="Q1588" s="31">
        <v>1.4131670823529401</v>
      </c>
      <c r="R1588" s="26" t="s">
        <v>280</v>
      </c>
      <c r="S1588" s="26"/>
      <c r="T1588" s="71" t="s">
        <v>626</v>
      </c>
    </row>
    <row r="1589" spans="1:20" ht="12.75" customHeight="1">
      <c r="A1589" s="1" t="s">
        <v>288</v>
      </c>
      <c r="B1589" s="1">
        <v>86</v>
      </c>
      <c r="C1589" s="1" t="s">
        <v>505</v>
      </c>
      <c r="D1589" s="5">
        <v>43220</v>
      </c>
      <c r="E1589" s="1">
        <f t="shared" si="92"/>
        <v>2018</v>
      </c>
      <c r="F1589" s="1">
        <f t="shared" si="91"/>
        <v>4</v>
      </c>
      <c r="G1589" s="4">
        <f t="shared" si="93"/>
        <v>30</v>
      </c>
      <c r="H1589" s="8">
        <v>0.12291666666666667</v>
      </c>
      <c r="I1589" s="11">
        <v>129.6825</v>
      </c>
      <c r="J1589" s="11">
        <v>34.280166666666602</v>
      </c>
      <c r="K1589" s="9">
        <v>5</v>
      </c>
      <c r="L1589" s="9">
        <v>5</v>
      </c>
      <c r="M1589" s="9">
        <v>0</v>
      </c>
      <c r="N1589" s="12">
        <v>17.484999999999999</v>
      </c>
      <c r="O1589" s="11">
        <v>34.5313533333333</v>
      </c>
      <c r="P1589" s="31">
        <v>0.20899974000000077</v>
      </c>
      <c r="Q1589" s="31">
        <v>1.2710384400000017</v>
      </c>
      <c r="R1589" s="26" t="s">
        <v>280</v>
      </c>
      <c r="S1589" s="26"/>
      <c r="T1589" s="71" t="s">
        <v>626</v>
      </c>
    </row>
    <row r="1590" spans="1:20" ht="12.75" customHeight="1">
      <c r="A1590" s="1" t="s">
        <v>288</v>
      </c>
      <c r="B1590" s="1">
        <v>87</v>
      </c>
      <c r="C1590" s="1" t="s">
        <v>505</v>
      </c>
      <c r="D1590" s="5">
        <v>43220</v>
      </c>
      <c r="E1590" s="1">
        <f t="shared" si="92"/>
        <v>2018</v>
      </c>
      <c r="F1590" s="1">
        <f t="shared" si="91"/>
        <v>4</v>
      </c>
      <c r="G1590" s="4">
        <f t="shared" si="93"/>
        <v>30</v>
      </c>
      <c r="H1590" s="8">
        <v>0.24791666666666667</v>
      </c>
      <c r="I1590" s="11">
        <v>129.67099999999999</v>
      </c>
      <c r="J1590" s="11">
        <v>34.627499999999998</v>
      </c>
      <c r="K1590" s="9">
        <v>5</v>
      </c>
      <c r="L1590" s="9">
        <v>5</v>
      </c>
      <c r="M1590" s="9">
        <v>0</v>
      </c>
      <c r="N1590" s="12">
        <v>16.411666666666601</v>
      </c>
      <c r="O1590" s="11">
        <v>34.572186666666603</v>
      </c>
      <c r="P1590" s="31">
        <v>0.16933925058823585</v>
      </c>
      <c r="Q1590" s="31">
        <v>1.1142193176470592</v>
      </c>
      <c r="R1590" s="26" t="s">
        <v>280</v>
      </c>
      <c r="S1590" s="26"/>
      <c r="T1590" s="71" t="s">
        <v>626</v>
      </c>
    </row>
    <row r="1591" spans="1:20" ht="12.75" customHeight="1">
      <c r="A1591" s="1" t="s">
        <v>288</v>
      </c>
      <c r="B1591" s="1">
        <v>88</v>
      </c>
      <c r="C1591" s="1" t="s">
        <v>505</v>
      </c>
      <c r="D1591" s="5">
        <v>43220</v>
      </c>
      <c r="E1591" s="1">
        <f t="shared" si="92"/>
        <v>2018</v>
      </c>
      <c r="F1591" s="1">
        <f t="shared" si="91"/>
        <v>4</v>
      </c>
      <c r="G1591" s="4">
        <f t="shared" si="93"/>
        <v>30</v>
      </c>
      <c r="H1591" s="8">
        <v>0.37013888888888885</v>
      </c>
      <c r="I1591" s="11">
        <v>129.66800000000001</v>
      </c>
      <c r="J1591" s="11">
        <v>34.952666666666602</v>
      </c>
      <c r="K1591" s="9">
        <v>5</v>
      </c>
      <c r="L1591" s="9">
        <v>5</v>
      </c>
      <c r="M1591" s="9">
        <v>0</v>
      </c>
      <c r="N1591" s="12">
        <v>16.571666666666601</v>
      </c>
      <c r="O1591" s="11">
        <v>34.518186666666601</v>
      </c>
      <c r="P1591" s="31">
        <v>0.15028476117647083</v>
      </c>
      <c r="Q1591" s="31">
        <v>1.0649980352941206</v>
      </c>
      <c r="R1591" s="26" t="s">
        <v>280</v>
      </c>
      <c r="S1591" s="26"/>
      <c r="T1591" s="71" t="s">
        <v>626</v>
      </c>
    </row>
    <row r="1592" spans="1:20" ht="12.75" customHeight="1">
      <c r="A1592" s="1" t="s">
        <v>288</v>
      </c>
      <c r="B1592" s="1">
        <v>89</v>
      </c>
      <c r="C1592" s="1" t="s">
        <v>505</v>
      </c>
      <c r="D1592" s="5">
        <v>43220</v>
      </c>
      <c r="E1592" s="1">
        <f t="shared" si="92"/>
        <v>2018</v>
      </c>
      <c r="F1592" s="1">
        <f t="shared" si="91"/>
        <v>4</v>
      </c>
      <c r="G1592" s="4">
        <f t="shared" si="93"/>
        <v>30</v>
      </c>
      <c r="H1592" s="8">
        <v>0.62222222222222223</v>
      </c>
      <c r="I1592" s="11">
        <v>130.26150000000001</v>
      </c>
      <c r="J1592" s="11">
        <v>35.008166666666597</v>
      </c>
      <c r="K1592" s="9">
        <v>5</v>
      </c>
      <c r="L1592" s="9">
        <v>5</v>
      </c>
      <c r="M1592" s="9">
        <v>0</v>
      </c>
      <c r="N1592" s="12">
        <v>16.358333333333299</v>
      </c>
      <c r="O1592" s="11">
        <v>34.556519999999999</v>
      </c>
      <c r="P1592" s="31">
        <v>0.13638177176470556</v>
      </c>
      <c r="Q1592" s="31">
        <v>1.1769749929411759</v>
      </c>
      <c r="R1592" s="26" t="s">
        <v>280</v>
      </c>
      <c r="S1592" s="26"/>
      <c r="T1592" s="71" t="s">
        <v>626</v>
      </c>
    </row>
    <row r="1593" spans="1:20" ht="12.75" customHeight="1">
      <c r="A1593" s="1" t="s">
        <v>288</v>
      </c>
      <c r="B1593" s="1">
        <v>90</v>
      </c>
      <c r="C1593" s="1" t="s">
        <v>505</v>
      </c>
      <c r="D1593" s="5">
        <v>43220</v>
      </c>
      <c r="E1593" s="1">
        <f t="shared" si="92"/>
        <v>2018</v>
      </c>
      <c r="F1593" s="1">
        <f t="shared" si="91"/>
        <v>4</v>
      </c>
      <c r="G1593" s="4">
        <f t="shared" si="93"/>
        <v>30</v>
      </c>
      <c r="H1593" s="8">
        <v>0.81805555555555554</v>
      </c>
      <c r="I1593" s="11">
        <v>130.249</v>
      </c>
      <c r="J1593" s="11">
        <v>34.664000000000001</v>
      </c>
      <c r="K1593" s="9">
        <v>5</v>
      </c>
      <c r="L1593" s="9">
        <v>5</v>
      </c>
      <c r="M1593" s="9">
        <v>0</v>
      </c>
      <c r="N1593" s="12">
        <v>16.586666666666599</v>
      </c>
      <c r="O1593" s="11">
        <v>34.57152</v>
      </c>
      <c r="P1593" s="31">
        <v>0.1782437698529411</v>
      </c>
      <c r="Q1593" s="31">
        <v>1.3381600955882345</v>
      </c>
      <c r="R1593" s="26" t="s">
        <v>280</v>
      </c>
      <c r="S1593" s="26"/>
      <c r="T1593" s="71" t="s">
        <v>626</v>
      </c>
    </row>
    <row r="1594" spans="1:20" ht="12.75" customHeight="1">
      <c r="A1594" s="1" t="s">
        <v>288</v>
      </c>
      <c r="B1594" s="1">
        <v>91</v>
      </c>
      <c r="C1594" s="1" t="s">
        <v>505</v>
      </c>
      <c r="D1594" s="5">
        <v>43220</v>
      </c>
      <c r="E1594" s="1">
        <f t="shared" si="92"/>
        <v>2018</v>
      </c>
      <c r="F1594" s="1">
        <f t="shared" si="91"/>
        <v>4</v>
      </c>
      <c r="G1594" s="4">
        <f t="shared" si="93"/>
        <v>30</v>
      </c>
      <c r="H1594" s="8">
        <v>0.93819444444444444</v>
      </c>
      <c r="I1594" s="11">
        <v>130.25</v>
      </c>
      <c r="J1594" s="11">
        <v>34.3795</v>
      </c>
      <c r="K1594" s="9">
        <v>5</v>
      </c>
      <c r="L1594" s="9">
        <v>5</v>
      </c>
      <c r="M1594" s="9">
        <v>0</v>
      </c>
      <c r="N1594" s="12">
        <v>17.62</v>
      </c>
      <c r="O1594" s="11">
        <v>34.577353333333299</v>
      </c>
      <c r="P1594" s="31">
        <v>0.1326848129411764</v>
      </c>
      <c r="Q1594" s="31">
        <v>1.1494040682352953</v>
      </c>
      <c r="R1594" s="26" t="s">
        <v>280</v>
      </c>
      <c r="S1594" s="26"/>
      <c r="T1594" s="71" t="s">
        <v>626</v>
      </c>
    </row>
    <row r="1595" spans="1:20" ht="12.75" customHeight="1">
      <c r="A1595" s="1" t="s">
        <v>288</v>
      </c>
      <c r="B1595" s="1">
        <v>92</v>
      </c>
      <c r="C1595" s="1" t="s">
        <v>505</v>
      </c>
      <c r="D1595" s="5">
        <v>43221</v>
      </c>
      <c r="E1595" s="1">
        <f t="shared" si="92"/>
        <v>2018</v>
      </c>
      <c r="F1595" s="1">
        <f t="shared" si="91"/>
        <v>5</v>
      </c>
      <c r="G1595" s="4">
        <f t="shared" si="93"/>
        <v>1</v>
      </c>
      <c r="H1595" s="8">
        <v>6.458333333333334E-2</v>
      </c>
      <c r="I1595" s="11">
        <v>130.25800000000001</v>
      </c>
      <c r="J1595" s="11">
        <v>34.045666666666598</v>
      </c>
      <c r="K1595" s="9">
        <v>5</v>
      </c>
      <c r="L1595" s="9">
        <v>5</v>
      </c>
      <c r="M1595" s="9">
        <v>0</v>
      </c>
      <c r="N1595" s="12">
        <v>17.676666666666598</v>
      </c>
      <c r="O1595" s="11">
        <v>34.589915833333329</v>
      </c>
      <c r="P1595" s="31">
        <v>0.2758367000000006</v>
      </c>
      <c r="Q1595" s="31">
        <v>1.4385662117647051</v>
      </c>
      <c r="R1595" s="26" t="s">
        <v>280</v>
      </c>
      <c r="S1595" s="26"/>
      <c r="T1595" s="71" t="s">
        <v>626</v>
      </c>
    </row>
    <row r="1596" spans="1:20" ht="12.75" customHeight="1">
      <c r="A1596" s="1" t="s">
        <v>288</v>
      </c>
      <c r="B1596" s="1">
        <v>89</v>
      </c>
      <c r="C1596" s="1" t="s">
        <v>505</v>
      </c>
      <c r="D1596" s="5">
        <v>43220</v>
      </c>
      <c r="E1596" s="1">
        <f t="shared" si="92"/>
        <v>2018</v>
      </c>
      <c r="F1596" s="1">
        <f t="shared" si="91"/>
        <v>4</v>
      </c>
      <c r="G1596" s="4">
        <f t="shared" si="93"/>
        <v>30</v>
      </c>
      <c r="H1596" s="8">
        <v>0.63124999999999998</v>
      </c>
      <c r="I1596" s="11">
        <f t="shared" ref="I1596:I1603" si="94">130+14.99/60</f>
        <v>130.24983333333333</v>
      </c>
      <c r="J1596" s="11">
        <f t="shared" ref="J1596:J1603" si="95">34+59.99/60</f>
        <v>34.999833333333335</v>
      </c>
      <c r="K1596" s="9">
        <v>0</v>
      </c>
      <c r="L1596" s="9">
        <v>0</v>
      </c>
      <c r="M1596" s="27">
        <v>0</v>
      </c>
      <c r="N1596" s="12">
        <v>16.100000000000001</v>
      </c>
      <c r="O1596" s="11">
        <v>34.578205438635749</v>
      </c>
      <c r="P1596" s="31">
        <v>0.30036339999999973</v>
      </c>
      <c r="Q1596" s="31">
        <v>1.2705292941176474</v>
      </c>
      <c r="R1596" s="26" t="s">
        <v>280</v>
      </c>
      <c r="S1596" s="26">
        <v>1</v>
      </c>
      <c r="T1596" s="71" t="s">
        <v>626</v>
      </c>
    </row>
    <row r="1597" spans="1:20" ht="12.75" customHeight="1">
      <c r="A1597" s="1" t="s">
        <v>288</v>
      </c>
      <c r="B1597" s="1">
        <v>89</v>
      </c>
      <c r="C1597" s="1" t="s">
        <v>505</v>
      </c>
      <c r="D1597" s="5">
        <v>43220</v>
      </c>
      <c r="E1597" s="1">
        <f t="shared" si="92"/>
        <v>2018</v>
      </c>
      <c r="F1597" s="1">
        <f t="shared" si="91"/>
        <v>4</v>
      </c>
      <c r="G1597" s="4">
        <f t="shared" si="93"/>
        <v>30</v>
      </c>
      <c r="H1597" s="8">
        <v>0.63124999999999998</v>
      </c>
      <c r="I1597" s="11">
        <f t="shared" si="94"/>
        <v>130.24983333333333</v>
      </c>
      <c r="J1597" s="11">
        <f t="shared" si="95"/>
        <v>34.999833333333335</v>
      </c>
      <c r="K1597" s="9">
        <v>119.679</v>
      </c>
      <c r="L1597" s="9">
        <v>120</v>
      </c>
      <c r="M1597" s="9">
        <v>0</v>
      </c>
      <c r="N1597" s="12">
        <v>14.0786</v>
      </c>
      <c r="O1597" s="11">
        <v>34.561</v>
      </c>
      <c r="P1597" s="31">
        <v>0.23643910000000012</v>
      </c>
      <c r="Q1597" s="31">
        <v>1.2209745764705868</v>
      </c>
      <c r="R1597" s="26" t="s">
        <v>280</v>
      </c>
      <c r="S1597" s="26">
        <v>1</v>
      </c>
      <c r="T1597" s="71" t="s">
        <v>626</v>
      </c>
    </row>
    <row r="1598" spans="1:20" ht="12.75" customHeight="1">
      <c r="A1598" s="1" t="s">
        <v>288</v>
      </c>
      <c r="B1598" s="1">
        <v>89</v>
      </c>
      <c r="C1598" s="1" t="s">
        <v>505</v>
      </c>
      <c r="D1598" s="5">
        <v>43220</v>
      </c>
      <c r="E1598" s="1">
        <f t="shared" si="92"/>
        <v>2018</v>
      </c>
      <c r="F1598" s="1">
        <f t="shared" ref="F1598:F1653" si="96">MONTH(D1598)</f>
        <v>4</v>
      </c>
      <c r="G1598" s="4">
        <f t="shared" si="93"/>
        <v>30</v>
      </c>
      <c r="H1598" s="8">
        <v>0.63124999999999998</v>
      </c>
      <c r="I1598" s="11">
        <f t="shared" si="94"/>
        <v>130.24983333333333</v>
      </c>
      <c r="J1598" s="11">
        <f t="shared" si="95"/>
        <v>34.999833333333335</v>
      </c>
      <c r="K1598" s="9">
        <v>99.739000000000004</v>
      </c>
      <c r="L1598" s="9">
        <v>100</v>
      </c>
      <c r="M1598" s="9">
        <v>0</v>
      </c>
      <c r="N1598" s="12">
        <v>14.395</v>
      </c>
      <c r="O1598" s="11">
        <v>34.572000000000003</v>
      </c>
      <c r="P1598" s="31">
        <v>0.4123610000000002</v>
      </c>
      <c r="Q1598" s="31">
        <v>1.5090644588235307</v>
      </c>
      <c r="R1598" s="26" t="s">
        <v>280</v>
      </c>
      <c r="S1598" s="26">
        <v>1</v>
      </c>
      <c r="T1598" s="71" t="s">
        <v>626</v>
      </c>
    </row>
    <row r="1599" spans="1:20" ht="12.75" customHeight="1">
      <c r="A1599" s="1" t="s">
        <v>288</v>
      </c>
      <c r="B1599" s="1">
        <v>89</v>
      </c>
      <c r="C1599" s="1" t="s">
        <v>505</v>
      </c>
      <c r="D1599" s="5">
        <v>43220</v>
      </c>
      <c r="E1599" s="1">
        <f t="shared" si="92"/>
        <v>2018</v>
      </c>
      <c r="F1599" s="1">
        <f t="shared" si="96"/>
        <v>4</v>
      </c>
      <c r="G1599" s="4">
        <f t="shared" si="93"/>
        <v>30</v>
      </c>
      <c r="H1599" s="8">
        <v>0.63124999999999998</v>
      </c>
      <c r="I1599" s="11">
        <f t="shared" si="94"/>
        <v>130.24983333333333</v>
      </c>
      <c r="J1599" s="11">
        <f t="shared" si="95"/>
        <v>34.999833333333335</v>
      </c>
      <c r="K1599" s="9">
        <v>74.900000000000006</v>
      </c>
      <c r="L1599" s="9">
        <v>75</v>
      </c>
      <c r="M1599" s="9">
        <v>0</v>
      </c>
      <c r="N1599" s="12">
        <v>14.5182</v>
      </c>
      <c r="O1599" s="11">
        <v>34.586300000000001</v>
      </c>
      <c r="P1599" s="31">
        <v>0.29186919999999983</v>
      </c>
      <c r="Q1599" s="31">
        <v>1.4678173411764703</v>
      </c>
      <c r="R1599" s="26" t="s">
        <v>280</v>
      </c>
      <c r="S1599" s="26">
        <v>1</v>
      </c>
      <c r="T1599" s="71" t="s">
        <v>626</v>
      </c>
    </row>
    <row r="1600" spans="1:20" ht="12.75" customHeight="1">
      <c r="A1600" s="1" t="s">
        <v>288</v>
      </c>
      <c r="B1600" s="1">
        <v>89</v>
      </c>
      <c r="C1600" s="1" t="s">
        <v>505</v>
      </c>
      <c r="D1600" s="5">
        <v>43220</v>
      </c>
      <c r="E1600" s="1">
        <f t="shared" si="92"/>
        <v>2018</v>
      </c>
      <c r="F1600" s="1">
        <f t="shared" si="96"/>
        <v>4</v>
      </c>
      <c r="G1600" s="4">
        <f t="shared" si="93"/>
        <v>30</v>
      </c>
      <c r="H1600" s="8">
        <v>0.63124999999999998</v>
      </c>
      <c r="I1600" s="11">
        <f t="shared" si="94"/>
        <v>130.24983333333333</v>
      </c>
      <c r="J1600" s="11">
        <f t="shared" si="95"/>
        <v>34.999833333333335</v>
      </c>
      <c r="K1600" s="9">
        <v>50.351999999999997</v>
      </c>
      <c r="L1600" s="9">
        <v>50</v>
      </c>
      <c r="M1600" s="9">
        <v>0</v>
      </c>
      <c r="N1600" s="12">
        <v>15.0741</v>
      </c>
      <c r="O1600" s="11">
        <v>34.601900000000001</v>
      </c>
      <c r="P1600" s="31">
        <v>0.28389530000000018</v>
      </c>
      <c r="Q1600" s="31">
        <v>1.389383823529414</v>
      </c>
      <c r="R1600" s="26" t="s">
        <v>280</v>
      </c>
      <c r="S1600" s="26">
        <v>1</v>
      </c>
      <c r="T1600" s="71" t="s">
        <v>626</v>
      </c>
    </row>
    <row r="1601" spans="1:20" ht="12.75" customHeight="1">
      <c r="A1601" s="1" t="s">
        <v>288</v>
      </c>
      <c r="B1601" s="1">
        <v>89</v>
      </c>
      <c r="C1601" s="1" t="s">
        <v>505</v>
      </c>
      <c r="D1601" s="5">
        <v>43220</v>
      </c>
      <c r="E1601" s="1">
        <f t="shared" si="92"/>
        <v>2018</v>
      </c>
      <c r="F1601" s="1">
        <f t="shared" si="96"/>
        <v>4</v>
      </c>
      <c r="G1601" s="4">
        <f t="shared" si="93"/>
        <v>30</v>
      </c>
      <c r="H1601" s="8">
        <v>0.63124999999999998</v>
      </c>
      <c r="I1601" s="11">
        <f t="shared" si="94"/>
        <v>130.24983333333333</v>
      </c>
      <c r="J1601" s="11">
        <f t="shared" si="95"/>
        <v>34.999833333333335</v>
      </c>
      <c r="K1601" s="9">
        <v>30.315999999999999</v>
      </c>
      <c r="L1601" s="9">
        <v>30</v>
      </c>
      <c r="M1601" s="9">
        <v>0</v>
      </c>
      <c r="N1601" s="12">
        <v>15.4589</v>
      </c>
      <c r="O1601" s="11">
        <v>34.573999999999998</v>
      </c>
      <c r="P1601" s="31">
        <v>0.38535379999999986</v>
      </c>
      <c r="Q1601" s="31">
        <v>1.5449477058823522</v>
      </c>
      <c r="R1601" s="26" t="s">
        <v>280</v>
      </c>
      <c r="S1601" s="26">
        <v>1</v>
      </c>
      <c r="T1601" s="71" t="s">
        <v>626</v>
      </c>
    </row>
    <row r="1602" spans="1:20" ht="12.75" customHeight="1">
      <c r="A1602" s="1" t="s">
        <v>288</v>
      </c>
      <c r="B1602" s="1">
        <v>89</v>
      </c>
      <c r="C1602" s="1" t="s">
        <v>505</v>
      </c>
      <c r="D1602" s="5">
        <v>43220</v>
      </c>
      <c r="E1602" s="1">
        <f t="shared" si="92"/>
        <v>2018</v>
      </c>
      <c r="F1602" s="1">
        <f t="shared" si="96"/>
        <v>4</v>
      </c>
      <c r="G1602" s="4">
        <f t="shared" si="93"/>
        <v>30</v>
      </c>
      <c r="H1602" s="8">
        <v>0.63124999999999998</v>
      </c>
      <c r="I1602" s="11">
        <f t="shared" si="94"/>
        <v>130.24983333333333</v>
      </c>
      <c r="J1602" s="11">
        <f t="shared" si="95"/>
        <v>34.999833333333335</v>
      </c>
      <c r="K1602" s="9">
        <v>19.956</v>
      </c>
      <c r="L1602" s="9">
        <v>20</v>
      </c>
      <c r="M1602" s="9">
        <v>0</v>
      </c>
      <c r="N1602" s="12">
        <v>15.632400000000001</v>
      </c>
      <c r="O1602" s="11">
        <v>34.582099999999997</v>
      </c>
      <c r="P1602" s="31">
        <v>0.2495797000000004</v>
      </c>
      <c r="Q1602" s="31">
        <v>1.1787966352941162</v>
      </c>
      <c r="R1602" s="26" t="s">
        <v>280</v>
      </c>
      <c r="S1602" s="26">
        <v>1</v>
      </c>
      <c r="T1602" s="71" t="s">
        <v>626</v>
      </c>
    </row>
    <row r="1603" spans="1:20" ht="12.75" customHeight="1">
      <c r="A1603" s="1" t="s">
        <v>288</v>
      </c>
      <c r="B1603" s="1">
        <v>89</v>
      </c>
      <c r="C1603" s="1" t="s">
        <v>505</v>
      </c>
      <c r="D1603" s="5">
        <v>43220</v>
      </c>
      <c r="E1603" s="1">
        <f t="shared" si="92"/>
        <v>2018</v>
      </c>
      <c r="F1603" s="1">
        <f t="shared" si="96"/>
        <v>4</v>
      </c>
      <c r="G1603" s="4">
        <f t="shared" si="93"/>
        <v>30</v>
      </c>
      <c r="H1603" s="8">
        <v>0.63124999999999998</v>
      </c>
      <c r="I1603" s="11">
        <f t="shared" si="94"/>
        <v>130.24983333333333</v>
      </c>
      <c r="J1603" s="11">
        <f t="shared" si="95"/>
        <v>34.999833333333335</v>
      </c>
      <c r="K1603" s="9">
        <v>10.481</v>
      </c>
      <c r="L1603" s="9">
        <v>10</v>
      </c>
      <c r="M1603" s="9">
        <v>0</v>
      </c>
      <c r="N1603" s="12">
        <v>16.101400000000002</v>
      </c>
      <c r="O1603" s="11">
        <v>34.576799999999999</v>
      </c>
      <c r="P1603" s="31">
        <v>0.23543480000000017</v>
      </c>
      <c r="Q1603" s="31">
        <v>1.2083619176470606</v>
      </c>
      <c r="R1603" s="26" t="s">
        <v>280</v>
      </c>
      <c r="S1603" s="26">
        <v>1</v>
      </c>
      <c r="T1603" s="71" t="s">
        <v>626</v>
      </c>
    </row>
    <row r="1604" spans="1:20" ht="12.75" customHeight="1">
      <c r="A1604" s="1" t="s">
        <v>288</v>
      </c>
      <c r="B1604" s="1">
        <v>82</v>
      </c>
      <c r="C1604" s="1" t="s">
        <v>505</v>
      </c>
      <c r="D1604" s="5">
        <v>43218</v>
      </c>
      <c r="E1604" s="1">
        <f t="shared" si="92"/>
        <v>2018</v>
      </c>
      <c r="F1604" s="1">
        <f t="shared" si="96"/>
        <v>4</v>
      </c>
      <c r="G1604" s="4">
        <f t="shared" si="93"/>
        <v>28</v>
      </c>
      <c r="H1604" s="8">
        <v>0.33263888888888887</v>
      </c>
      <c r="I1604" s="11">
        <f t="shared" ref="I1604:I1613" si="97">128+15.04/60</f>
        <v>128.25066666666666</v>
      </c>
      <c r="J1604" s="11">
        <f t="shared" ref="J1604:J1613" si="98">33+15.04/60</f>
        <v>33.250666666666667</v>
      </c>
      <c r="K1604" s="9">
        <v>0</v>
      </c>
      <c r="L1604" s="9">
        <v>0</v>
      </c>
      <c r="M1604" s="27">
        <v>0</v>
      </c>
      <c r="N1604" s="12">
        <v>17.899999999999999</v>
      </c>
      <c r="O1604" s="11">
        <v>34.494482964446313</v>
      </c>
      <c r="P1604" s="31">
        <v>0.29966159999999942</v>
      </c>
      <c r="Q1604" s="31">
        <v>1.5108912000000014</v>
      </c>
      <c r="R1604" s="26" t="s">
        <v>280</v>
      </c>
      <c r="S1604" s="26">
        <v>1</v>
      </c>
      <c r="T1604" s="71" t="s">
        <v>626</v>
      </c>
    </row>
    <row r="1605" spans="1:20" ht="12.75" customHeight="1">
      <c r="A1605" s="1" t="s">
        <v>288</v>
      </c>
      <c r="B1605" s="1">
        <v>82</v>
      </c>
      <c r="C1605" s="1" t="s">
        <v>505</v>
      </c>
      <c r="D1605" s="5">
        <v>43218</v>
      </c>
      <c r="E1605" s="1">
        <f t="shared" si="92"/>
        <v>2018</v>
      </c>
      <c r="F1605" s="1">
        <f t="shared" si="96"/>
        <v>4</v>
      </c>
      <c r="G1605" s="4">
        <f t="shared" si="93"/>
        <v>28</v>
      </c>
      <c r="H1605" s="8">
        <v>0.33263888888888887</v>
      </c>
      <c r="I1605" s="11">
        <f t="shared" si="97"/>
        <v>128.25066666666666</v>
      </c>
      <c r="J1605" s="11">
        <f t="shared" si="98"/>
        <v>33.250666666666667</v>
      </c>
      <c r="K1605" s="9">
        <v>155.01499999999999</v>
      </c>
      <c r="L1605" s="9">
        <v>155</v>
      </c>
      <c r="M1605" s="9">
        <v>0</v>
      </c>
      <c r="N1605" s="12">
        <v>14.052099999999999</v>
      </c>
      <c r="O1605" s="11">
        <v>34.554299999999998</v>
      </c>
      <c r="P1605" s="31">
        <v>0.16765060000000043</v>
      </c>
      <c r="Q1605" s="31">
        <v>0.8107722823529393</v>
      </c>
      <c r="R1605" s="26" t="s">
        <v>280</v>
      </c>
      <c r="S1605" s="26">
        <v>1</v>
      </c>
      <c r="T1605" s="71" t="s">
        <v>626</v>
      </c>
    </row>
    <row r="1606" spans="1:20" ht="12.75" customHeight="1">
      <c r="A1606" s="1" t="s">
        <v>288</v>
      </c>
      <c r="B1606" s="1">
        <v>82</v>
      </c>
      <c r="C1606" s="1" t="s">
        <v>505</v>
      </c>
      <c r="D1606" s="5">
        <v>43218</v>
      </c>
      <c r="E1606" s="1">
        <f t="shared" si="92"/>
        <v>2018</v>
      </c>
      <c r="F1606" s="1">
        <f t="shared" si="96"/>
        <v>4</v>
      </c>
      <c r="G1606" s="4">
        <f t="shared" si="93"/>
        <v>28</v>
      </c>
      <c r="H1606" s="8">
        <v>0.33263888888888887</v>
      </c>
      <c r="I1606" s="11">
        <f t="shared" si="97"/>
        <v>128.25066666666666</v>
      </c>
      <c r="J1606" s="11">
        <f t="shared" si="98"/>
        <v>33.250666666666667</v>
      </c>
      <c r="K1606" s="9">
        <v>149.303</v>
      </c>
      <c r="L1606" s="9">
        <v>150</v>
      </c>
      <c r="M1606" s="9">
        <v>0</v>
      </c>
      <c r="N1606" s="12">
        <v>14.133100000000001</v>
      </c>
      <c r="O1606" s="11">
        <v>34.555700000000002</v>
      </c>
      <c r="P1606" s="31">
        <v>0.15268289999999984</v>
      </c>
      <c r="Q1606" s="31">
        <v>0.64510896470588364</v>
      </c>
      <c r="R1606" s="26" t="s">
        <v>280</v>
      </c>
      <c r="S1606" s="26">
        <v>1</v>
      </c>
      <c r="T1606" s="71" t="s">
        <v>626</v>
      </c>
    </row>
    <row r="1607" spans="1:20" ht="12.75" customHeight="1">
      <c r="A1607" s="1" t="s">
        <v>288</v>
      </c>
      <c r="B1607" s="1">
        <v>82</v>
      </c>
      <c r="C1607" s="1" t="s">
        <v>505</v>
      </c>
      <c r="D1607" s="5">
        <v>43218</v>
      </c>
      <c r="E1607" s="1">
        <f t="shared" si="92"/>
        <v>2018</v>
      </c>
      <c r="F1607" s="1">
        <f t="shared" si="96"/>
        <v>4</v>
      </c>
      <c r="G1607" s="4">
        <f t="shared" si="93"/>
        <v>28</v>
      </c>
      <c r="H1607" s="8">
        <v>0.33263888888888887</v>
      </c>
      <c r="I1607" s="11">
        <f t="shared" si="97"/>
        <v>128.25066666666666</v>
      </c>
      <c r="J1607" s="11">
        <f t="shared" si="98"/>
        <v>33.250666666666667</v>
      </c>
      <c r="K1607" s="9">
        <v>124.601</v>
      </c>
      <c r="L1607" s="9">
        <v>125</v>
      </c>
      <c r="M1607" s="9">
        <v>0</v>
      </c>
      <c r="N1607" s="12">
        <v>14.838800000000001</v>
      </c>
      <c r="O1607" s="11">
        <v>34.579500000000003</v>
      </c>
      <c r="P1607" s="31">
        <v>0.32099390000000039</v>
      </c>
      <c r="Q1607" s="31">
        <v>1.5020716470588216</v>
      </c>
      <c r="R1607" s="26" t="s">
        <v>280</v>
      </c>
      <c r="S1607" s="26">
        <v>1</v>
      </c>
      <c r="T1607" s="71" t="s">
        <v>626</v>
      </c>
    </row>
    <row r="1608" spans="1:20" ht="12.75" customHeight="1">
      <c r="A1608" s="1" t="s">
        <v>288</v>
      </c>
      <c r="B1608" s="1">
        <v>82</v>
      </c>
      <c r="C1608" s="1" t="s">
        <v>505</v>
      </c>
      <c r="D1608" s="5">
        <v>43218</v>
      </c>
      <c r="E1608" s="1">
        <f t="shared" si="92"/>
        <v>2018</v>
      </c>
      <c r="F1608" s="1">
        <f t="shared" si="96"/>
        <v>4</v>
      </c>
      <c r="G1608" s="4">
        <f t="shared" si="93"/>
        <v>28</v>
      </c>
      <c r="H1608" s="8">
        <v>0.33263888888888887</v>
      </c>
      <c r="I1608" s="11">
        <f t="shared" si="97"/>
        <v>128.25066666666666</v>
      </c>
      <c r="J1608" s="11">
        <f t="shared" si="98"/>
        <v>33.250666666666667</v>
      </c>
      <c r="K1608" s="9">
        <v>99.751999999999995</v>
      </c>
      <c r="L1608" s="9">
        <v>100</v>
      </c>
      <c r="M1608" s="9">
        <v>0</v>
      </c>
      <c r="N1608" s="12">
        <v>15.6767</v>
      </c>
      <c r="O1608" s="11">
        <v>34.6051</v>
      </c>
      <c r="P1608" s="31">
        <v>0.22888870000000061</v>
      </c>
      <c r="Q1608" s="31">
        <v>1.2066515294117668</v>
      </c>
      <c r="R1608" s="26" t="s">
        <v>280</v>
      </c>
      <c r="S1608" s="26">
        <v>1</v>
      </c>
      <c r="T1608" s="71" t="s">
        <v>626</v>
      </c>
    </row>
    <row r="1609" spans="1:20" ht="12.75" customHeight="1">
      <c r="A1609" s="1" t="s">
        <v>288</v>
      </c>
      <c r="B1609" s="1">
        <v>82</v>
      </c>
      <c r="C1609" s="1" t="s">
        <v>505</v>
      </c>
      <c r="D1609" s="5">
        <v>43218</v>
      </c>
      <c r="E1609" s="1">
        <f t="shared" si="92"/>
        <v>2018</v>
      </c>
      <c r="F1609" s="1">
        <f t="shared" si="96"/>
        <v>4</v>
      </c>
      <c r="G1609" s="4">
        <f t="shared" si="93"/>
        <v>28</v>
      </c>
      <c r="H1609" s="8">
        <v>0.33263888888888887</v>
      </c>
      <c r="I1609" s="11">
        <f t="shared" si="97"/>
        <v>128.25066666666666</v>
      </c>
      <c r="J1609" s="11">
        <f t="shared" si="98"/>
        <v>33.250666666666667</v>
      </c>
      <c r="K1609" s="9">
        <v>74.947000000000003</v>
      </c>
      <c r="L1609" s="9">
        <v>75</v>
      </c>
      <c r="M1609" s="9">
        <v>0</v>
      </c>
      <c r="N1609" s="12">
        <v>16.556999999999999</v>
      </c>
      <c r="O1609" s="11">
        <v>34.6312</v>
      </c>
      <c r="P1609" s="31">
        <v>0.22955419999999993</v>
      </c>
      <c r="Q1609" s="31">
        <v>1.1919096117647054</v>
      </c>
      <c r="R1609" s="26" t="s">
        <v>280</v>
      </c>
      <c r="S1609" s="26">
        <v>1</v>
      </c>
      <c r="T1609" s="71" t="s">
        <v>626</v>
      </c>
    </row>
    <row r="1610" spans="1:20" ht="12.75" customHeight="1">
      <c r="A1610" s="1" t="s">
        <v>288</v>
      </c>
      <c r="B1610" s="1">
        <v>82</v>
      </c>
      <c r="C1610" s="1" t="s">
        <v>505</v>
      </c>
      <c r="D1610" s="5">
        <v>43218</v>
      </c>
      <c r="E1610" s="1">
        <f t="shared" si="92"/>
        <v>2018</v>
      </c>
      <c r="F1610" s="1">
        <f t="shared" si="96"/>
        <v>4</v>
      </c>
      <c r="G1610" s="4">
        <f t="shared" si="93"/>
        <v>28</v>
      </c>
      <c r="H1610" s="8">
        <v>0.33263888888888887</v>
      </c>
      <c r="I1610" s="11">
        <f t="shared" si="97"/>
        <v>128.25066666666666</v>
      </c>
      <c r="J1610" s="11">
        <f t="shared" si="98"/>
        <v>33.250666666666667</v>
      </c>
      <c r="K1610" s="9">
        <v>49.728000000000002</v>
      </c>
      <c r="L1610" s="9">
        <v>50</v>
      </c>
      <c r="M1610" s="9">
        <v>0</v>
      </c>
      <c r="N1610" s="12">
        <v>17.122900000000001</v>
      </c>
      <c r="O1610" s="11">
        <v>34.651899999999998</v>
      </c>
      <c r="P1610" s="31">
        <v>0.259174117647059</v>
      </c>
      <c r="Q1610" s="31">
        <v>1.5345778705882349</v>
      </c>
      <c r="R1610" s="26" t="s">
        <v>280</v>
      </c>
      <c r="S1610" s="26">
        <v>1</v>
      </c>
      <c r="T1610" s="71" t="s">
        <v>626</v>
      </c>
    </row>
    <row r="1611" spans="1:20" ht="12.75" customHeight="1">
      <c r="A1611" s="1" t="s">
        <v>288</v>
      </c>
      <c r="B1611" s="1">
        <v>82</v>
      </c>
      <c r="C1611" s="1" t="s">
        <v>505</v>
      </c>
      <c r="D1611" s="5">
        <v>43218</v>
      </c>
      <c r="E1611" s="1">
        <f t="shared" si="92"/>
        <v>2018</v>
      </c>
      <c r="F1611" s="1">
        <f t="shared" si="96"/>
        <v>4</v>
      </c>
      <c r="G1611" s="4">
        <f t="shared" si="93"/>
        <v>28</v>
      </c>
      <c r="H1611" s="8">
        <v>0.33263888888888887</v>
      </c>
      <c r="I1611" s="11">
        <f t="shared" si="97"/>
        <v>128.25066666666666</v>
      </c>
      <c r="J1611" s="11">
        <f t="shared" si="98"/>
        <v>33.250666666666667</v>
      </c>
      <c r="K1611" s="9">
        <v>29.998999999999999</v>
      </c>
      <c r="L1611" s="9">
        <v>30</v>
      </c>
      <c r="M1611" s="9">
        <v>0</v>
      </c>
      <c r="N1611" s="12">
        <v>17.662500000000001</v>
      </c>
      <c r="O1611" s="11">
        <v>34.565300000000001</v>
      </c>
      <c r="P1611" s="31">
        <v>0.27410494117647088</v>
      </c>
      <c r="Q1611" s="31">
        <v>1.4389277847058857</v>
      </c>
      <c r="R1611" s="26" t="s">
        <v>280</v>
      </c>
      <c r="S1611" s="26">
        <v>1</v>
      </c>
      <c r="T1611" s="71" t="s">
        <v>626</v>
      </c>
    </row>
    <row r="1612" spans="1:20" ht="12.75" customHeight="1">
      <c r="A1612" s="1" t="s">
        <v>288</v>
      </c>
      <c r="B1612" s="1">
        <v>82</v>
      </c>
      <c r="C1612" s="1" t="s">
        <v>505</v>
      </c>
      <c r="D1612" s="5">
        <v>43218</v>
      </c>
      <c r="E1612" s="1">
        <f t="shared" si="92"/>
        <v>2018</v>
      </c>
      <c r="F1612" s="1">
        <f t="shared" si="96"/>
        <v>4</v>
      </c>
      <c r="G1612" s="4">
        <f t="shared" si="93"/>
        <v>28</v>
      </c>
      <c r="H1612" s="8">
        <v>0.33263888888888887</v>
      </c>
      <c r="I1612" s="11">
        <f t="shared" si="97"/>
        <v>128.25066666666666</v>
      </c>
      <c r="J1612" s="11">
        <f t="shared" si="98"/>
        <v>33.250666666666667</v>
      </c>
      <c r="K1612" s="9">
        <v>19.731999999999999</v>
      </c>
      <c r="L1612" s="9">
        <v>20</v>
      </c>
      <c r="M1612" s="9">
        <v>0</v>
      </c>
      <c r="N1612" s="12">
        <v>17.847899999999999</v>
      </c>
      <c r="O1612" s="11">
        <v>34.498100000000001</v>
      </c>
      <c r="P1612" s="31">
        <v>0.27571000470588292</v>
      </c>
      <c r="Q1612" s="31">
        <v>1.3313052988235299</v>
      </c>
      <c r="R1612" s="26" t="s">
        <v>280</v>
      </c>
      <c r="S1612" s="26">
        <v>1</v>
      </c>
      <c r="T1612" s="71" t="s">
        <v>626</v>
      </c>
    </row>
    <row r="1613" spans="1:20" ht="12.75" customHeight="1">
      <c r="A1613" s="1" t="s">
        <v>288</v>
      </c>
      <c r="B1613" s="1">
        <v>82</v>
      </c>
      <c r="C1613" s="1" t="s">
        <v>505</v>
      </c>
      <c r="D1613" s="5">
        <v>43218</v>
      </c>
      <c r="E1613" s="1">
        <f t="shared" si="92"/>
        <v>2018</v>
      </c>
      <c r="F1613" s="1">
        <f t="shared" si="96"/>
        <v>4</v>
      </c>
      <c r="G1613" s="4">
        <f t="shared" si="93"/>
        <v>28</v>
      </c>
      <c r="H1613" s="8">
        <v>0.33263888888888887</v>
      </c>
      <c r="I1613" s="11">
        <f t="shared" si="97"/>
        <v>128.25066666666666</v>
      </c>
      <c r="J1613" s="11">
        <f t="shared" si="98"/>
        <v>33.250666666666667</v>
      </c>
      <c r="K1613" s="9">
        <v>10.372</v>
      </c>
      <c r="L1613" s="9">
        <v>10</v>
      </c>
      <c r="M1613" s="9">
        <v>0</v>
      </c>
      <c r="N1613" s="12">
        <v>17.931699999999999</v>
      </c>
      <c r="O1613" s="11">
        <v>34.494500000000002</v>
      </c>
      <c r="P1613" s="31">
        <v>0.26441234823529491</v>
      </c>
      <c r="Q1613" s="31">
        <v>1.536162452941177</v>
      </c>
      <c r="R1613" s="26" t="s">
        <v>280</v>
      </c>
      <c r="S1613" s="26">
        <v>1</v>
      </c>
      <c r="T1613" s="71" t="s">
        <v>626</v>
      </c>
    </row>
    <row r="1614" spans="1:20" ht="12.75" customHeight="1">
      <c r="A1614" s="1" t="s">
        <v>294</v>
      </c>
      <c r="B1614" s="1" t="s">
        <v>295</v>
      </c>
      <c r="C1614" s="1" t="s">
        <v>505</v>
      </c>
      <c r="D1614" s="5">
        <v>43246</v>
      </c>
      <c r="E1614" s="1">
        <f t="shared" si="92"/>
        <v>2018</v>
      </c>
      <c r="F1614" s="1">
        <f t="shared" si="96"/>
        <v>5</v>
      </c>
      <c r="G1614" s="4">
        <f t="shared" si="93"/>
        <v>26</v>
      </c>
      <c r="H1614" s="8">
        <v>0.34652777777777777</v>
      </c>
      <c r="I1614" s="11">
        <v>130.45849999999999</v>
      </c>
      <c r="J1614" s="11">
        <v>34.214666666666602</v>
      </c>
      <c r="K1614" s="9">
        <v>5</v>
      </c>
      <c r="L1614" s="9">
        <v>5</v>
      </c>
      <c r="M1614" s="9">
        <v>0</v>
      </c>
      <c r="N1614" s="12">
        <v>19.488333333333301</v>
      </c>
      <c r="O1614" s="13">
        <v>34.425166666666598</v>
      </c>
      <c r="P1614" s="31">
        <v>0.25223900588235293</v>
      </c>
      <c r="Q1614" s="31">
        <v>1.445851505882354</v>
      </c>
      <c r="R1614" s="1" t="s">
        <v>522</v>
      </c>
      <c r="T1614" s="71" t="s">
        <v>626</v>
      </c>
    </row>
    <row r="1615" spans="1:20" ht="12.75" customHeight="1">
      <c r="A1615" s="1" t="s">
        <v>294</v>
      </c>
      <c r="B1615" s="1" t="s">
        <v>296</v>
      </c>
      <c r="C1615" s="1" t="s">
        <v>505</v>
      </c>
      <c r="D1615" s="5">
        <v>43246</v>
      </c>
      <c r="E1615" s="1">
        <f t="shared" si="92"/>
        <v>2018</v>
      </c>
      <c r="F1615" s="1">
        <f t="shared" si="96"/>
        <v>5</v>
      </c>
      <c r="G1615" s="4">
        <f t="shared" si="93"/>
        <v>26</v>
      </c>
      <c r="H1615" s="8">
        <v>0.39583333333333331</v>
      </c>
      <c r="I1615" s="11">
        <v>130.506</v>
      </c>
      <c r="J1615" s="11">
        <v>34.338999999999999</v>
      </c>
      <c r="K1615" s="9">
        <v>5</v>
      </c>
      <c r="L1615" s="9">
        <v>5</v>
      </c>
      <c r="M1615" s="9">
        <v>0</v>
      </c>
      <c r="N1615" s="12">
        <v>19.411666666666601</v>
      </c>
      <c r="O1615" s="13">
        <v>34.4255</v>
      </c>
      <c r="P1615" s="31">
        <v>0.28048574705882356</v>
      </c>
      <c r="Q1615" s="31">
        <v>1.5611036470588253</v>
      </c>
      <c r="R1615" s="1" t="s">
        <v>522</v>
      </c>
      <c r="T1615" s="71" t="s">
        <v>626</v>
      </c>
    </row>
    <row r="1616" spans="1:20" ht="12.75" customHeight="1">
      <c r="A1616" s="1" t="s">
        <v>294</v>
      </c>
      <c r="B1616" s="1" t="s">
        <v>297</v>
      </c>
      <c r="C1616" s="1" t="s">
        <v>505</v>
      </c>
      <c r="D1616" s="5">
        <v>43246</v>
      </c>
      <c r="E1616" s="1">
        <f t="shared" si="92"/>
        <v>2018</v>
      </c>
      <c r="F1616" s="1">
        <f t="shared" si="96"/>
        <v>5</v>
      </c>
      <c r="G1616" s="4">
        <f t="shared" si="93"/>
        <v>26</v>
      </c>
      <c r="H1616" s="8">
        <v>0.50486111111111109</v>
      </c>
      <c r="I1616" s="11">
        <v>130.514833333333</v>
      </c>
      <c r="J1616" s="11">
        <v>34.512333333333302</v>
      </c>
      <c r="K1616" s="9">
        <v>5</v>
      </c>
      <c r="L1616" s="9">
        <v>5</v>
      </c>
      <c r="M1616" s="9">
        <v>0</v>
      </c>
      <c r="N1616" s="12">
        <v>19.781666666666599</v>
      </c>
      <c r="O1616" s="13">
        <v>34.386000000000003</v>
      </c>
      <c r="P1616" s="31">
        <v>0.26258338823529415</v>
      </c>
      <c r="Q1616" s="31">
        <v>1.4846693882352948</v>
      </c>
      <c r="R1616" s="1" t="s">
        <v>522</v>
      </c>
      <c r="T1616" s="71" t="s">
        <v>626</v>
      </c>
    </row>
    <row r="1617" spans="1:20" ht="12.75" customHeight="1">
      <c r="A1617" s="1" t="s">
        <v>294</v>
      </c>
      <c r="B1617" s="1" t="s">
        <v>298</v>
      </c>
      <c r="C1617" s="1" t="s">
        <v>505</v>
      </c>
      <c r="D1617" s="5">
        <v>43246</v>
      </c>
      <c r="E1617" s="1">
        <f t="shared" si="92"/>
        <v>2018</v>
      </c>
      <c r="F1617" s="1">
        <f t="shared" si="96"/>
        <v>5</v>
      </c>
      <c r="G1617" s="4">
        <f t="shared" si="93"/>
        <v>26</v>
      </c>
      <c r="H1617" s="8">
        <v>0.6020833333333333</v>
      </c>
      <c r="I1617" s="11">
        <v>130.51900000000001</v>
      </c>
      <c r="J1617" s="11">
        <v>34.661999999999999</v>
      </c>
      <c r="K1617" s="9">
        <v>5</v>
      </c>
      <c r="L1617" s="9">
        <v>5</v>
      </c>
      <c r="M1617" s="9">
        <v>0</v>
      </c>
      <c r="N1617" s="12">
        <v>19.376000000000001</v>
      </c>
      <c r="O1617" s="13">
        <v>34.357399999999998</v>
      </c>
      <c r="P1617" s="31">
        <v>0.28107172941176484</v>
      </c>
      <c r="Q1617" s="31">
        <v>1.5952079294117638</v>
      </c>
      <c r="R1617" s="1" t="s">
        <v>522</v>
      </c>
      <c r="T1617" s="71" t="s">
        <v>626</v>
      </c>
    </row>
    <row r="1618" spans="1:20" ht="12.75" customHeight="1">
      <c r="A1618" s="1" t="s">
        <v>294</v>
      </c>
      <c r="B1618" s="1" t="s">
        <v>299</v>
      </c>
      <c r="C1618" s="1" t="s">
        <v>505</v>
      </c>
      <c r="D1618" s="5">
        <v>43247</v>
      </c>
      <c r="E1618" s="1">
        <f t="shared" si="92"/>
        <v>2018</v>
      </c>
      <c r="F1618" s="1">
        <f t="shared" si="96"/>
        <v>5</v>
      </c>
      <c r="G1618" s="4">
        <f t="shared" si="93"/>
        <v>27</v>
      </c>
      <c r="H1618" s="8">
        <v>0.60138888888888886</v>
      </c>
      <c r="I1618" s="11">
        <v>130.508833333333</v>
      </c>
      <c r="J1618" s="11">
        <v>35.331000000000003</v>
      </c>
      <c r="K1618" s="9">
        <v>5</v>
      </c>
      <c r="L1618" s="9">
        <v>5</v>
      </c>
      <c r="M1618" s="9">
        <v>0</v>
      </c>
      <c r="N1618" s="12">
        <v>19.18</v>
      </c>
      <c r="O1618" s="13">
        <v>34.3215</v>
      </c>
      <c r="P1618" s="31">
        <v>0.25585057058823524</v>
      </c>
      <c r="Q1618" s="31">
        <v>1.5168096705882341</v>
      </c>
      <c r="R1618" s="1" t="s">
        <v>522</v>
      </c>
      <c r="T1618" s="71" t="s">
        <v>626</v>
      </c>
    </row>
    <row r="1619" spans="1:20" ht="12.75" customHeight="1">
      <c r="A1619" s="1" t="s">
        <v>294</v>
      </c>
      <c r="B1619" s="1" t="s">
        <v>300</v>
      </c>
      <c r="C1619" s="1" t="s">
        <v>505</v>
      </c>
      <c r="D1619" s="5">
        <v>43247</v>
      </c>
      <c r="E1619" s="1">
        <f t="shared" si="92"/>
        <v>2018</v>
      </c>
      <c r="F1619" s="1">
        <f t="shared" si="96"/>
        <v>5</v>
      </c>
      <c r="G1619" s="4">
        <f t="shared" si="93"/>
        <v>27</v>
      </c>
      <c r="H1619" s="8">
        <v>0.49652777777777773</v>
      </c>
      <c r="I1619" s="11">
        <v>130.526166666666</v>
      </c>
      <c r="J1619" s="11">
        <v>34.976999999999997</v>
      </c>
      <c r="K1619" s="9">
        <v>5</v>
      </c>
      <c r="L1619" s="9">
        <v>5</v>
      </c>
      <c r="M1619" s="9">
        <v>0</v>
      </c>
      <c r="N1619" s="12">
        <v>19.905000000000001</v>
      </c>
      <c r="O1619" s="13">
        <v>34.369999999999997</v>
      </c>
      <c r="P1619" s="31">
        <v>0.24831651176470637</v>
      </c>
      <c r="Q1619" s="31">
        <v>1.5008666117647032</v>
      </c>
      <c r="R1619" s="1" t="s">
        <v>522</v>
      </c>
      <c r="T1619" s="71" t="s">
        <v>626</v>
      </c>
    </row>
    <row r="1620" spans="1:20" ht="12.75" customHeight="1">
      <c r="A1620" s="1" t="s">
        <v>294</v>
      </c>
      <c r="B1620" s="1" t="s">
        <v>301</v>
      </c>
      <c r="C1620" s="1" t="s">
        <v>505</v>
      </c>
      <c r="D1620" s="5">
        <v>43247</v>
      </c>
      <c r="E1620" s="1">
        <f t="shared" si="92"/>
        <v>2018</v>
      </c>
      <c r="F1620" s="1">
        <f t="shared" si="96"/>
        <v>5</v>
      </c>
      <c r="G1620" s="4">
        <f t="shared" si="93"/>
        <v>27</v>
      </c>
      <c r="H1620" s="8">
        <v>0.36319444444444443</v>
      </c>
      <c r="I1620" s="11">
        <v>130.49700000000001</v>
      </c>
      <c r="J1620" s="11">
        <v>34.834000000000003</v>
      </c>
      <c r="K1620" s="9">
        <v>5</v>
      </c>
      <c r="L1620" s="9">
        <v>5</v>
      </c>
      <c r="M1620" s="9">
        <v>0</v>
      </c>
      <c r="N1620" s="12">
        <v>19.706666666666599</v>
      </c>
      <c r="O1620" s="13">
        <v>34.374833333333299</v>
      </c>
      <c r="P1620" s="31">
        <v>0.26639825294117681</v>
      </c>
      <c r="Q1620" s="31">
        <v>1.6243675529411767</v>
      </c>
      <c r="R1620" s="1" t="s">
        <v>522</v>
      </c>
      <c r="T1620" s="71" t="s">
        <v>626</v>
      </c>
    </row>
    <row r="1621" spans="1:20" ht="12.75" customHeight="1">
      <c r="A1621" s="1" t="s">
        <v>294</v>
      </c>
      <c r="B1621" s="1" t="s">
        <v>302</v>
      </c>
      <c r="C1621" s="1" t="s">
        <v>505</v>
      </c>
      <c r="D1621" s="5">
        <v>43247</v>
      </c>
      <c r="E1621" s="1">
        <f t="shared" si="92"/>
        <v>2018</v>
      </c>
      <c r="F1621" s="1">
        <f t="shared" si="96"/>
        <v>5</v>
      </c>
      <c r="G1621" s="4">
        <f t="shared" si="93"/>
        <v>27</v>
      </c>
      <c r="H1621" s="8">
        <v>0.29444444444444445</v>
      </c>
      <c r="I1621" s="11">
        <v>130.28700000000001</v>
      </c>
      <c r="J1621" s="11">
        <v>34.965333333333298</v>
      </c>
      <c r="K1621" s="9">
        <v>5</v>
      </c>
      <c r="L1621" s="9">
        <v>5</v>
      </c>
      <c r="M1621" s="9">
        <v>0</v>
      </c>
      <c r="N1621" s="12">
        <v>19.828333333333301</v>
      </c>
      <c r="O1621" s="13">
        <v>34.362666666666598</v>
      </c>
      <c r="P1621" s="31">
        <v>0.21003631764705877</v>
      </c>
      <c r="Q1621" s="31">
        <v>1.3492689176470574</v>
      </c>
      <c r="R1621" s="1" t="s">
        <v>522</v>
      </c>
      <c r="T1621" s="71" t="s">
        <v>626</v>
      </c>
    </row>
    <row r="1622" spans="1:20" ht="12.75" customHeight="1">
      <c r="A1622" s="1" t="s">
        <v>294</v>
      </c>
      <c r="B1622" s="1" t="s">
        <v>303</v>
      </c>
      <c r="C1622" s="1" t="s">
        <v>505</v>
      </c>
      <c r="D1622" s="5">
        <v>43249</v>
      </c>
      <c r="E1622" s="1">
        <f t="shared" si="92"/>
        <v>2018</v>
      </c>
      <c r="F1622" s="1">
        <f t="shared" si="96"/>
        <v>5</v>
      </c>
      <c r="G1622" s="4">
        <f t="shared" si="93"/>
        <v>29</v>
      </c>
      <c r="H1622" s="8">
        <v>0.70486111111111116</v>
      </c>
      <c r="I1622" s="11">
        <v>129.99100000000001</v>
      </c>
      <c r="J1622" s="11">
        <v>34.051333333333297</v>
      </c>
      <c r="K1622" s="9">
        <v>5</v>
      </c>
      <c r="L1622" s="9">
        <v>5</v>
      </c>
      <c r="M1622" s="9">
        <v>0</v>
      </c>
      <c r="N1622" s="12">
        <v>19.9366666666666</v>
      </c>
      <c r="O1622" s="13">
        <v>34.26</v>
      </c>
      <c r="P1622" s="31">
        <v>0.188067958823529</v>
      </c>
      <c r="Q1622" s="31">
        <v>1.1616722588235309</v>
      </c>
      <c r="R1622" s="1" t="s">
        <v>522</v>
      </c>
      <c r="T1622" s="71" t="s">
        <v>626</v>
      </c>
    </row>
    <row r="1623" spans="1:20" ht="12.75" customHeight="1">
      <c r="A1623" s="1" t="s">
        <v>294</v>
      </c>
      <c r="B1623" s="1" t="s">
        <v>304</v>
      </c>
      <c r="C1623" s="1" t="s">
        <v>505</v>
      </c>
      <c r="D1623" s="5">
        <v>43249</v>
      </c>
      <c r="E1623" s="1">
        <f t="shared" si="92"/>
        <v>2018</v>
      </c>
      <c r="F1623" s="1">
        <f t="shared" si="96"/>
        <v>5</v>
      </c>
      <c r="G1623" s="4">
        <f t="shared" si="93"/>
        <v>29</v>
      </c>
      <c r="H1623" s="8">
        <v>0.28958333333333336</v>
      </c>
      <c r="I1623" s="11">
        <v>130.06</v>
      </c>
      <c r="J1623" s="11">
        <v>34.119</v>
      </c>
      <c r="K1623" s="9">
        <v>5</v>
      </c>
      <c r="L1623" s="9">
        <v>5</v>
      </c>
      <c r="M1623" s="9">
        <v>0</v>
      </c>
      <c r="N1623" s="12">
        <v>19.6666666666666</v>
      </c>
      <c r="O1623" s="13">
        <v>34.366500000000002</v>
      </c>
      <c r="P1623" s="31">
        <v>0.26348029999999967</v>
      </c>
      <c r="Q1623" s="31">
        <v>1.4287416000000022</v>
      </c>
      <c r="R1623" s="1" t="s">
        <v>522</v>
      </c>
      <c r="T1623" s="71" t="s">
        <v>626</v>
      </c>
    </row>
    <row r="1624" spans="1:20" ht="12.75" customHeight="1">
      <c r="A1624" s="1" t="s">
        <v>294</v>
      </c>
      <c r="B1624" s="1" t="s">
        <v>305</v>
      </c>
      <c r="C1624" s="1" t="s">
        <v>505</v>
      </c>
      <c r="D1624" s="5">
        <v>43249</v>
      </c>
      <c r="E1624" s="1">
        <f t="shared" si="92"/>
        <v>2018</v>
      </c>
      <c r="F1624" s="1">
        <f t="shared" si="96"/>
        <v>5</v>
      </c>
      <c r="G1624" s="4">
        <f t="shared" si="93"/>
        <v>29</v>
      </c>
      <c r="H1624" s="8">
        <v>0.39444444444444443</v>
      </c>
      <c r="I1624" s="11">
        <v>130.26300000000001</v>
      </c>
      <c r="J1624" s="11">
        <v>34.6518333333333</v>
      </c>
      <c r="K1624" s="9">
        <v>5</v>
      </c>
      <c r="L1624" s="9">
        <v>5</v>
      </c>
      <c r="M1624" s="9">
        <v>0</v>
      </c>
      <c r="N1624" s="12">
        <v>19.8333333333333</v>
      </c>
      <c r="O1624" s="13">
        <v>34.118166666666603</v>
      </c>
      <c r="P1624" s="31">
        <v>0.1310946286764707</v>
      </c>
      <c r="Q1624" s="31">
        <v>0.53822934117647314</v>
      </c>
      <c r="R1624" s="1" t="s">
        <v>522</v>
      </c>
      <c r="T1624" s="71" t="s">
        <v>626</v>
      </c>
    </row>
    <row r="1625" spans="1:20" ht="12.75" customHeight="1">
      <c r="A1625" s="1" t="s">
        <v>294</v>
      </c>
      <c r="B1625" s="1" t="s">
        <v>306</v>
      </c>
      <c r="C1625" s="1" t="s">
        <v>505</v>
      </c>
      <c r="D1625" s="5">
        <v>43249</v>
      </c>
      <c r="E1625" s="1">
        <f t="shared" si="92"/>
        <v>2018</v>
      </c>
      <c r="F1625" s="1">
        <f t="shared" si="96"/>
        <v>5</v>
      </c>
      <c r="G1625" s="4">
        <f t="shared" si="93"/>
        <v>29</v>
      </c>
      <c r="H1625" s="8">
        <v>0.50694444444444442</v>
      </c>
      <c r="I1625" s="11">
        <v>130.22333333333299</v>
      </c>
      <c r="J1625" s="11">
        <v>34.396999999999998</v>
      </c>
      <c r="K1625" s="9">
        <v>5</v>
      </c>
      <c r="L1625" s="9">
        <v>5</v>
      </c>
      <c r="M1625" s="9">
        <v>0</v>
      </c>
      <c r="N1625" s="12">
        <v>19.71</v>
      </c>
      <c r="O1625" s="13">
        <v>34.357333333333301</v>
      </c>
      <c r="P1625" s="31">
        <v>0.12378928235294118</v>
      </c>
      <c r="Q1625" s="31">
        <v>0.54762188235294218</v>
      </c>
      <c r="R1625" s="1" t="s">
        <v>522</v>
      </c>
      <c r="T1625" s="71" t="s">
        <v>626</v>
      </c>
    </row>
    <row r="1626" spans="1:20" ht="12.75" customHeight="1">
      <c r="A1626" s="1" t="s">
        <v>294</v>
      </c>
      <c r="B1626" s="1" t="s">
        <v>307</v>
      </c>
      <c r="C1626" s="1" t="s">
        <v>505</v>
      </c>
      <c r="D1626" s="5">
        <v>43249</v>
      </c>
      <c r="E1626" s="1">
        <f t="shared" si="92"/>
        <v>2018</v>
      </c>
      <c r="F1626" s="1">
        <f t="shared" si="96"/>
        <v>5</v>
      </c>
      <c r="G1626" s="4">
        <f t="shared" si="93"/>
        <v>29</v>
      </c>
      <c r="H1626" s="8">
        <v>0.625</v>
      </c>
      <c r="I1626" s="11">
        <v>130.27249999999901</v>
      </c>
      <c r="J1626" s="11">
        <v>34.326166666666602</v>
      </c>
      <c r="K1626" s="9">
        <v>5</v>
      </c>
      <c r="L1626" s="9">
        <v>5</v>
      </c>
      <c r="M1626" s="9">
        <v>0</v>
      </c>
      <c r="N1626" s="12">
        <v>19.850000000000001</v>
      </c>
      <c r="O1626" s="13">
        <v>34.351833333333303</v>
      </c>
      <c r="P1626" s="31">
        <v>9.7551623529412046E-2</v>
      </c>
      <c r="Q1626" s="31">
        <v>0.52323362352941061</v>
      </c>
      <c r="R1626" s="1" t="s">
        <v>522</v>
      </c>
      <c r="T1626" s="71" t="s">
        <v>626</v>
      </c>
    </row>
    <row r="1627" spans="1:20" ht="12.75" customHeight="1">
      <c r="A1627" s="1" t="s">
        <v>294</v>
      </c>
      <c r="B1627" s="1" t="s">
        <v>308</v>
      </c>
      <c r="C1627" s="1" t="s">
        <v>505</v>
      </c>
      <c r="D1627" s="5">
        <v>43250</v>
      </c>
      <c r="E1627" s="1">
        <f t="shared" si="92"/>
        <v>2018</v>
      </c>
      <c r="F1627" s="1">
        <f t="shared" si="96"/>
        <v>5</v>
      </c>
      <c r="G1627" s="4">
        <f t="shared" si="93"/>
        <v>30</v>
      </c>
      <c r="H1627" s="8">
        <v>0.29930555555555555</v>
      </c>
      <c r="I1627" s="11">
        <v>130.27766666666599</v>
      </c>
      <c r="J1627" s="11">
        <v>34.143999999999998</v>
      </c>
      <c r="K1627" s="9">
        <v>5</v>
      </c>
      <c r="L1627" s="9">
        <v>5</v>
      </c>
      <c r="M1627" s="9">
        <v>0</v>
      </c>
      <c r="N1627" s="12">
        <v>19.783333333333299</v>
      </c>
      <c r="O1627" s="13">
        <v>34.373166666666599</v>
      </c>
      <c r="P1627" s="31">
        <v>9.4693464705882358E-2</v>
      </c>
      <c r="Q1627" s="31">
        <v>0.70349416470588366</v>
      </c>
      <c r="R1627" s="1" t="s">
        <v>522</v>
      </c>
      <c r="T1627" s="71" t="s">
        <v>626</v>
      </c>
    </row>
    <row r="1628" spans="1:20" ht="12.75" customHeight="1">
      <c r="A1628" s="1" t="s">
        <v>294</v>
      </c>
      <c r="B1628" s="1" t="s">
        <v>309</v>
      </c>
      <c r="C1628" s="1" t="s">
        <v>505</v>
      </c>
      <c r="D1628" s="5">
        <v>43250</v>
      </c>
      <c r="E1628" s="1">
        <f t="shared" si="92"/>
        <v>2018</v>
      </c>
      <c r="F1628" s="1">
        <f t="shared" si="96"/>
        <v>5</v>
      </c>
      <c r="G1628" s="4">
        <f t="shared" si="93"/>
        <v>30</v>
      </c>
      <c r="H1628" s="8">
        <v>0.40069444444444446</v>
      </c>
      <c r="I1628" s="11">
        <v>130.24799999999999</v>
      </c>
      <c r="J1628" s="11">
        <v>34.000333333333302</v>
      </c>
      <c r="K1628" s="9">
        <v>5</v>
      </c>
      <c r="L1628" s="9">
        <v>5</v>
      </c>
      <c r="M1628" s="9">
        <v>0</v>
      </c>
      <c r="N1628" s="12">
        <v>19.5966666666666</v>
      </c>
      <c r="O1628" s="13">
        <v>34.395333333333298</v>
      </c>
      <c r="P1628" s="31">
        <v>0.17701800588235339</v>
      </c>
      <c r="Q1628" s="31">
        <v>1.1934775058823526</v>
      </c>
      <c r="R1628" s="1" t="s">
        <v>522</v>
      </c>
      <c r="T1628" s="71" t="s">
        <v>626</v>
      </c>
    </row>
    <row r="1629" spans="1:20" ht="12.75" customHeight="1">
      <c r="A1629" s="1" t="s">
        <v>294</v>
      </c>
      <c r="B1629" s="1" t="s">
        <v>310</v>
      </c>
      <c r="C1629" s="1" t="s">
        <v>505</v>
      </c>
      <c r="D1629" s="5">
        <v>43251</v>
      </c>
      <c r="E1629" s="1">
        <f t="shared" si="92"/>
        <v>2018</v>
      </c>
      <c r="F1629" s="1">
        <f t="shared" si="96"/>
        <v>5</v>
      </c>
      <c r="G1629" s="4">
        <f t="shared" si="93"/>
        <v>31</v>
      </c>
      <c r="H1629" s="8">
        <v>0.62638888888888888</v>
      </c>
      <c r="I1629" s="11">
        <v>130.00299999999999</v>
      </c>
      <c r="J1629" s="11">
        <v>34.181166666666599</v>
      </c>
      <c r="K1629" s="9">
        <v>5</v>
      </c>
      <c r="L1629" s="9">
        <v>5</v>
      </c>
      <c r="M1629" s="9">
        <v>0</v>
      </c>
      <c r="N1629" s="12">
        <v>19.636666666666599</v>
      </c>
      <c r="O1629" s="13">
        <v>34.354500000000002</v>
      </c>
      <c r="P1629" s="31">
        <v>0.12575662352941164</v>
      </c>
      <c r="Q1629" s="31">
        <v>0.92348733176470432</v>
      </c>
      <c r="R1629" s="1" t="s">
        <v>522</v>
      </c>
      <c r="T1629" s="71" t="s">
        <v>626</v>
      </c>
    </row>
    <row r="1630" spans="1:20" ht="12.75" customHeight="1">
      <c r="A1630" s="1" t="s">
        <v>294</v>
      </c>
      <c r="B1630" s="1" t="s">
        <v>311</v>
      </c>
      <c r="C1630" s="1" t="s">
        <v>505</v>
      </c>
      <c r="D1630" s="5">
        <v>43252</v>
      </c>
      <c r="E1630" s="1">
        <f t="shared" si="92"/>
        <v>2018</v>
      </c>
      <c r="F1630" s="1">
        <f t="shared" si="96"/>
        <v>6</v>
      </c>
      <c r="G1630" s="4">
        <f t="shared" si="93"/>
        <v>1</v>
      </c>
      <c r="H1630" s="8">
        <v>0.29097222222222224</v>
      </c>
      <c r="I1630" s="11">
        <v>130.00383333333301</v>
      </c>
      <c r="J1630" s="11">
        <v>34.344000000000001</v>
      </c>
      <c r="K1630" s="9">
        <v>5</v>
      </c>
      <c r="L1630" s="9">
        <v>5</v>
      </c>
      <c r="M1630" s="9">
        <v>0</v>
      </c>
      <c r="N1630" s="12">
        <v>20.07</v>
      </c>
      <c r="O1630" s="13">
        <v>33.887500000000003</v>
      </c>
      <c r="P1630" s="31">
        <v>-0.22653791176470595</v>
      </c>
      <c r="Q1630" s="31">
        <v>-1.5091423458823536</v>
      </c>
      <c r="R1630" s="1" t="s">
        <v>522</v>
      </c>
      <c r="T1630" s="71" t="s">
        <v>626</v>
      </c>
    </row>
    <row r="1631" spans="1:20" ht="12.75" customHeight="1">
      <c r="A1631" s="1" t="s">
        <v>294</v>
      </c>
      <c r="B1631" s="1" t="s">
        <v>312</v>
      </c>
      <c r="C1631" s="1" t="s">
        <v>505</v>
      </c>
      <c r="D1631" s="5">
        <v>43252</v>
      </c>
      <c r="E1631" s="1">
        <f t="shared" si="92"/>
        <v>2018</v>
      </c>
      <c r="F1631" s="1">
        <f t="shared" si="96"/>
        <v>6</v>
      </c>
      <c r="G1631" s="4">
        <f t="shared" si="93"/>
        <v>1</v>
      </c>
      <c r="H1631" s="8">
        <v>0.44166666666666665</v>
      </c>
      <c r="I1631" s="11">
        <v>130.03049999999999</v>
      </c>
      <c r="J1631" s="11">
        <v>34.515999999999998</v>
      </c>
      <c r="K1631" s="9">
        <v>5</v>
      </c>
      <c r="L1631" s="9">
        <v>5</v>
      </c>
      <c r="M1631" s="9">
        <v>0</v>
      </c>
      <c r="N1631" s="12">
        <v>20.473333333333301</v>
      </c>
      <c r="O1631" s="13">
        <v>33.870666666666601</v>
      </c>
      <c r="P1631" s="31">
        <v>-7.9187467058823513E-2</v>
      </c>
      <c r="Q1631" s="31">
        <v>-0.3362800835294113</v>
      </c>
      <c r="R1631" s="1" t="s">
        <v>522</v>
      </c>
      <c r="T1631" s="71" t="s">
        <v>626</v>
      </c>
    </row>
    <row r="1632" spans="1:20" ht="12.75" customHeight="1">
      <c r="A1632" s="1" t="s">
        <v>294</v>
      </c>
      <c r="B1632" s="1" t="s">
        <v>313</v>
      </c>
      <c r="C1632" s="1" t="s">
        <v>505</v>
      </c>
      <c r="D1632" s="5">
        <v>43252</v>
      </c>
      <c r="E1632" s="1">
        <f t="shared" si="92"/>
        <v>2018</v>
      </c>
      <c r="F1632" s="1">
        <f t="shared" si="96"/>
        <v>6</v>
      </c>
      <c r="G1632" s="4">
        <f t="shared" si="93"/>
        <v>1</v>
      </c>
      <c r="H1632" s="8">
        <v>0.56944444444444442</v>
      </c>
      <c r="I1632" s="11">
        <v>130.00299999999999</v>
      </c>
      <c r="J1632" s="11">
        <v>34.8406666666666</v>
      </c>
      <c r="K1632" s="9">
        <v>5</v>
      </c>
      <c r="L1632" s="9">
        <v>5</v>
      </c>
      <c r="M1632" s="9">
        <v>0</v>
      </c>
      <c r="N1632" s="12">
        <v>20.356666666666602</v>
      </c>
      <c r="O1632" s="13">
        <v>33.954166666666602</v>
      </c>
      <c r="P1632" s="31">
        <v>-0.1179032623529408</v>
      </c>
      <c r="Q1632" s="31">
        <v>-1.02386812117647</v>
      </c>
      <c r="R1632" s="1" t="s">
        <v>522</v>
      </c>
      <c r="T1632" s="71" t="s">
        <v>626</v>
      </c>
    </row>
    <row r="1633" spans="1:20" ht="12.75" customHeight="1">
      <c r="A1633" s="1" t="s">
        <v>294</v>
      </c>
      <c r="B1633" s="1" t="s">
        <v>314</v>
      </c>
      <c r="C1633" s="1" t="s">
        <v>505</v>
      </c>
      <c r="D1633" s="5">
        <v>43251</v>
      </c>
      <c r="E1633" s="1">
        <f t="shared" si="92"/>
        <v>2018</v>
      </c>
      <c r="F1633" s="1">
        <f t="shared" si="96"/>
        <v>5</v>
      </c>
      <c r="G1633" s="4">
        <f t="shared" si="93"/>
        <v>31</v>
      </c>
      <c r="H1633" s="8">
        <v>0.72361111111111109</v>
      </c>
      <c r="I1633" s="11">
        <v>129.993666666666</v>
      </c>
      <c r="J1633" s="11">
        <v>35.003999999999998</v>
      </c>
      <c r="K1633" s="9">
        <v>5</v>
      </c>
      <c r="L1633" s="9">
        <v>5</v>
      </c>
      <c r="M1633" s="9">
        <v>0</v>
      </c>
      <c r="N1633" s="12">
        <v>19.896666666666601</v>
      </c>
      <c r="O1633" s="13">
        <v>34.315333333333299</v>
      </c>
      <c r="P1633" s="31">
        <v>-2.6250277647058784E-2</v>
      </c>
      <c r="Q1633" s="31">
        <v>-0.11493703882352868</v>
      </c>
      <c r="R1633" s="1" t="s">
        <v>522</v>
      </c>
      <c r="T1633" s="71" t="s">
        <v>626</v>
      </c>
    </row>
    <row r="1634" spans="1:20" ht="12.75" customHeight="1">
      <c r="A1634" s="1" t="s">
        <v>294</v>
      </c>
      <c r="B1634" s="1" t="s">
        <v>315</v>
      </c>
      <c r="C1634" s="1" t="s">
        <v>505</v>
      </c>
      <c r="D1634" s="5">
        <v>43253</v>
      </c>
      <c r="E1634" s="1">
        <f t="shared" si="92"/>
        <v>2018</v>
      </c>
      <c r="F1634" s="1">
        <f t="shared" si="96"/>
        <v>6</v>
      </c>
      <c r="G1634" s="4">
        <f t="shared" si="93"/>
        <v>2</v>
      </c>
      <c r="H1634" s="8">
        <v>0.4201388888888889</v>
      </c>
      <c r="I1634" s="11">
        <v>129.78800000000001</v>
      </c>
      <c r="J1634" s="11">
        <v>35.002000000000002</v>
      </c>
      <c r="K1634" s="9">
        <v>5</v>
      </c>
      <c r="L1634" s="9">
        <v>5</v>
      </c>
      <c r="M1634" s="9">
        <v>0</v>
      </c>
      <c r="N1634" s="12">
        <v>19.84</v>
      </c>
      <c r="O1634" s="13">
        <v>34.304166666666603</v>
      </c>
      <c r="P1634" s="31">
        <v>-2.535952941175923E-3</v>
      </c>
      <c r="Q1634" s="31">
        <v>-0.16147470980392065</v>
      </c>
      <c r="R1634" s="1" t="s">
        <v>522</v>
      </c>
      <c r="T1634" s="71" t="s">
        <v>626</v>
      </c>
    </row>
    <row r="1635" spans="1:20" ht="12.75" customHeight="1">
      <c r="A1635" s="1" t="s">
        <v>294</v>
      </c>
      <c r="B1635" s="1" t="s">
        <v>316</v>
      </c>
      <c r="C1635" s="1" t="s">
        <v>505</v>
      </c>
      <c r="D1635" s="5">
        <v>43253</v>
      </c>
      <c r="E1635" s="1">
        <f t="shared" si="92"/>
        <v>2018</v>
      </c>
      <c r="F1635" s="1">
        <f t="shared" si="96"/>
        <v>6</v>
      </c>
      <c r="G1635" s="4">
        <f t="shared" si="93"/>
        <v>2</v>
      </c>
      <c r="H1635" s="8">
        <v>0.50624999999999998</v>
      </c>
      <c r="I1635" s="11">
        <v>129.679</v>
      </c>
      <c r="J1635" s="11">
        <v>35.006500000000003</v>
      </c>
      <c r="K1635" s="9">
        <v>5</v>
      </c>
      <c r="L1635" s="9">
        <v>5</v>
      </c>
      <c r="M1635" s="9">
        <v>0</v>
      </c>
      <c r="N1635" s="12">
        <v>19.786666666666601</v>
      </c>
      <c r="O1635" s="13">
        <v>34.180333333333301</v>
      </c>
      <c r="P1635" s="31">
        <v>0.14399841176470618</v>
      </c>
      <c r="Q1635" s="31">
        <v>0.73978205588235291</v>
      </c>
      <c r="R1635" s="1" t="s">
        <v>522</v>
      </c>
      <c r="T1635" s="71" t="s">
        <v>626</v>
      </c>
    </row>
    <row r="1636" spans="1:20" ht="12.75" customHeight="1">
      <c r="A1636" s="1" t="s">
        <v>294</v>
      </c>
      <c r="B1636" s="1" t="s">
        <v>317</v>
      </c>
      <c r="C1636" s="1" t="s">
        <v>505</v>
      </c>
      <c r="D1636" s="5">
        <v>43253</v>
      </c>
      <c r="E1636" s="1">
        <f t="shared" ref="E1636:E1653" si="99">YEAR(D1636)</f>
        <v>2018</v>
      </c>
      <c r="F1636" s="1">
        <f t="shared" si="96"/>
        <v>6</v>
      </c>
      <c r="G1636" s="4">
        <f t="shared" ref="G1636:G1653" si="100">DAY(D1636)</f>
        <v>2</v>
      </c>
      <c r="H1636" s="8">
        <v>0.54097222222222219</v>
      </c>
      <c r="I1636" s="11">
        <v>129.667</v>
      </c>
      <c r="J1636" s="11">
        <v>34.789833333333299</v>
      </c>
      <c r="K1636" s="9">
        <v>5</v>
      </c>
      <c r="L1636" s="9">
        <v>5</v>
      </c>
      <c r="M1636" s="9">
        <v>0</v>
      </c>
      <c r="N1636" s="12">
        <v>19.805</v>
      </c>
      <c r="O1636" s="13">
        <v>33.908333333333303</v>
      </c>
      <c r="P1636" s="31">
        <v>0.12062612058823508</v>
      </c>
      <c r="Q1636" s="31">
        <v>0.67273023529411624</v>
      </c>
      <c r="R1636" s="1" t="s">
        <v>522</v>
      </c>
      <c r="T1636" s="71" t="s">
        <v>626</v>
      </c>
    </row>
    <row r="1637" spans="1:20" ht="12.75" customHeight="1">
      <c r="A1637" s="1" t="s">
        <v>294</v>
      </c>
      <c r="B1637" s="1" t="s">
        <v>318</v>
      </c>
      <c r="C1637" s="1" t="s">
        <v>505</v>
      </c>
      <c r="D1637" s="5">
        <v>43253</v>
      </c>
      <c r="E1637" s="1">
        <f t="shared" si="99"/>
        <v>2018</v>
      </c>
      <c r="F1637" s="1">
        <f t="shared" si="96"/>
        <v>6</v>
      </c>
      <c r="G1637" s="4">
        <f t="shared" si="100"/>
        <v>2</v>
      </c>
      <c r="H1637" s="8">
        <v>0.29236111111111113</v>
      </c>
      <c r="I1637" s="11">
        <v>129.66800000000001</v>
      </c>
      <c r="J1637" s="11">
        <v>34.661000000000001</v>
      </c>
      <c r="K1637" s="9">
        <v>5</v>
      </c>
      <c r="L1637" s="9">
        <v>5</v>
      </c>
      <c r="M1637" s="9">
        <v>0</v>
      </c>
      <c r="N1637" s="12">
        <v>20.863333333333301</v>
      </c>
      <c r="O1637" s="13">
        <v>34.265999999999998</v>
      </c>
      <c r="P1637" s="31">
        <v>-2.2479247058824203E-3</v>
      </c>
      <c r="Q1637" s="31">
        <v>2.8053057647058566E-2</v>
      </c>
      <c r="R1637" s="1" t="s">
        <v>522</v>
      </c>
      <c r="T1637" s="71" t="s">
        <v>626</v>
      </c>
    </row>
    <row r="1638" spans="1:20" ht="12.75" customHeight="1">
      <c r="A1638" s="1" t="s">
        <v>294</v>
      </c>
      <c r="B1638" s="1" t="s">
        <v>319</v>
      </c>
      <c r="C1638" s="1" t="s">
        <v>505</v>
      </c>
      <c r="D1638" s="5">
        <v>43252</v>
      </c>
      <c r="E1638" s="1">
        <f t="shared" si="99"/>
        <v>2018</v>
      </c>
      <c r="F1638" s="1">
        <f t="shared" si="96"/>
        <v>6</v>
      </c>
      <c r="G1638" s="4">
        <f t="shared" si="100"/>
        <v>1</v>
      </c>
      <c r="H1638" s="8">
        <v>0.73749999999999993</v>
      </c>
      <c r="I1638" s="11">
        <v>129.66300000000001</v>
      </c>
      <c r="J1638" s="11">
        <v>34.513166666666599</v>
      </c>
      <c r="K1638" s="9">
        <v>5</v>
      </c>
      <c r="L1638" s="9">
        <v>5</v>
      </c>
      <c r="M1638" s="9">
        <v>0</v>
      </c>
      <c r="N1638" s="12">
        <v>20.5616666666666</v>
      </c>
      <c r="O1638" s="13">
        <v>34.087000000000003</v>
      </c>
      <c r="P1638" s="31">
        <v>-5.198080000000016E-2</v>
      </c>
      <c r="Q1638" s="31">
        <v>-0.40030636000000008</v>
      </c>
      <c r="R1638" s="1" t="s">
        <v>522</v>
      </c>
      <c r="T1638" s="71" t="s">
        <v>626</v>
      </c>
    </row>
    <row r="1639" spans="1:20" ht="12.75" customHeight="1">
      <c r="A1639" s="1" t="s">
        <v>294</v>
      </c>
      <c r="B1639" s="1" t="s">
        <v>320</v>
      </c>
      <c r="C1639" s="1" t="s">
        <v>505</v>
      </c>
      <c r="D1639" s="5">
        <v>43252</v>
      </c>
      <c r="E1639" s="1">
        <f t="shared" si="99"/>
        <v>2018</v>
      </c>
      <c r="F1639" s="1">
        <f t="shared" si="96"/>
        <v>6</v>
      </c>
      <c r="G1639" s="4">
        <f t="shared" si="100"/>
        <v>1</v>
      </c>
      <c r="H1639" s="8">
        <v>0.63402777777777775</v>
      </c>
      <c r="I1639" s="11">
        <v>129.66833333333301</v>
      </c>
      <c r="J1639" s="11">
        <v>34.323999999999998</v>
      </c>
      <c r="K1639" s="9">
        <v>5</v>
      </c>
      <c r="L1639" s="9">
        <v>5</v>
      </c>
      <c r="M1639" s="9">
        <v>0</v>
      </c>
      <c r="N1639" s="12">
        <v>20.168333333333301</v>
      </c>
      <c r="O1639" s="13">
        <v>34.036499999999997</v>
      </c>
      <c r="P1639" s="31">
        <v>0.15316841411764726</v>
      </c>
      <c r="Q1639" s="31">
        <v>0.67622180705882684</v>
      </c>
      <c r="R1639" s="1" t="s">
        <v>522</v>
      </c>
      <c r="T1639" s="71" t="s">
        <v>626</v>
      </c>
    </row>
    <row r="1640" spans="1:20" ht="12.75" customHeight="1">
      <c r="A1640" s="1" t="s">
        <v>294</v>
      </c>
      <c r="B1640" s="1" t="s">
        <v>321</v>
      </c>
      <c r="C1640" s="1" t="s">
        <v>505</v>
      </c>
      <c r="D1640" s="5">
        <v>43253</v>
      </c>
      <c r="E1640" s="1">
        <f t="shared" si="99"/>
        <v>2018</v>
      </c>
      <c r="F1640" s="1">
        <f t="shared" si="96"/>
        <v>6</v>
      </c>
      <c r="G1640" s="4">
        <f t="shared" si="100"/>
        <v>2</v>
      </c>
      <c r="H1640" s="8">
        <v>0.6069444444444444</v>
      </c>
      <c r="I1640" s="11">
        <v>129.68633333333301</v>
      </c>
      <c r="J1640" s="11">
        <v>34.127000000000002</v>
      </c>
      <c r="K1640" s="9">
        <v>5</v>
      </c>
      <c r="L1640" s="9">
        <v>5</v>
      </c>
      <c r="M1640" s="9">
        <v>0</v>
      </c>
      <c r="N1640" s="12">
        <v>20.69</v>
      </c>
      <c r="O1640" s="13">
        <v>33.674333333333301</v>
      </c>
      <c r="P1640" s="31">
        <v>0.12981010823529404</v>
      </c>
      <c r="Q1640" s="31">
        <v>0.80583405411764808</v>
      </c>
      <c r="R1640" s="1" t="s">
        <v>522</v>
      </c>
      <c r="T1640" s="71" t="s">
        <v>626</v>
      </c>
    </row>
    <row r="1641" spans="1:20" ht="12.75" customHeight="1">
      <c r="A1641" s="1" t="s">
        <v>294</v>
      </c>
      <c r="B1641" s="1" t="s">
        <v>322</v>
      </c>
      <c r="C1641" s="1" t="s">
        <v>505</v>
      </c>
      <c r="D1641" s="5">
        <v>43253</v>
      </c>
      <c r="E1641" s="1">
        <f t="shared" si="99"/>
        <v>2018</v>
      </c>
      <c r="F1641" s="1">
        <f t="shared" si="96"/>
        <v>6</v>
      </c>
      <c r="G1641" s="4">
        <f t="shared" si="100"/>
        <v>2</v>
      </c>
      <c r="H1641" s="8">
        <v>0.67222222222222217</v>
      </c>
      <c r="I1641" s="11">
        <v>129.668714285714</v>
      </c>
      <c r="J1641" s="11">
        <v>34.000999999999998</v>
      </c>
      <c r="K1641" s="9">
        <v>5</v>
      </c>
      <c r="L1641" s="9">
        <v>5</v>
      </c>
      <c r="M1641" s="9">
        <v>0</v>
      </c>
      <c r="N1641" s="12">
        <v>21.108571428571398</v>
      </c>
      <c r="O1641" s="13">
        <v>33.613142857142797</v>
      </c>
      <c r="P1641" s="31">
        <v>-0.12179907764705877</v>
      </c>
      <c r="Q1641" s="31">
        <v>-0.7770735388235277</v>
      </c>
      <c r="R1641" s="1" t="s">
        <v>522</v>
      </c>
      <c r="T1641" s="71" t="s">
        <v>626</v>
      </c>
    </row>
    <row r="1642" spans="1:20" ht="12.75" customHeight="1">
      <c r="A1642" s="1" t="s">
        <v>294</v>
      </c>
      <c r="B1642" s="1" t="s">
        <v>323</v>
      </c>
      <c r="C1642" s="1" t="s">
        <v>505</v>
      </c>
      <c r="D1642" s="5">
        <v>43254</v>
      </c>
      <c r="E1642" s="1">
        <f t="shared" si="99"/>
        <v>2018</v>
      </c>
      <c r="F1642" s="1">
        <f t="shared" si="96"/>
        <v>6</v>
      </c>
      <c r="G1642" s="4">
        <f t="shared" si="100"/>
        <v>3</v>
      </c>
      <c r="H1642" s="8">
        <v>0.41180555555555554</v>
      </c>
      <c r="I1642" s="11">
        <v>129.53299999999999</v>
      </c>
      <c r="J1642" s="11">
        <v>33.855800000000002</v>
      </c>
      <c r="K1642" s="9">
        <v>5</v>
      </c>
      <c r="L1642" s="9">
        <v>5</v>
      </c>
      <c r="M1642" s="9">
        <v>0</v>
      </c>
      <c r="N1642" s="12">
        <v>20.888000000000002</v>
      </c>
      <c r="O1642" s="13">
        <v>34.127400000000002</v>
      </c>
      <c r="P1642" s="31">
        <v>-6.0955966386554872E-2</v>
      </c>
      <c r="Q1642" s="31">
        <v>-0.75930572605041924</v>
      </c>
      <c r="R1642" s="1" t="s">
        <v>522</v>
      </c>
      <c r="T1642" s="71" t="s">
        <v>626</v>
      </c>
    </row>
    <row r="1643" spans="1:20" ht="12.75" customHeight="1">
      <c r="A1643" s="1" t="s">
        <v>294</v>
      </c>
      <c r="B1643" s="1" t="s">
        <v>324</v>
      </c>
      <c r="C1643" s="1" t="s">
        <v>505</v>
      </c>
      <c r="D1643" s="5">
        <v>43254</v>
      </c>
      <c r="E1643" s="1">
        <f t="shared" si="99"/>
        <v>2018</v>
      </c>
      <c r="F1643" s="1">
        <f t="shared" si="96"/>
        <v>6</v>
      </c>
      <c r="G1643" s="4">
        <f t="shared" si="100"/>
        <v>3</v>
      </c>
      <c r="H1643" s="8">
        <v>0.29305555555555557</v>
      </c>
      <c r="I1643" s="11">
        <v>129.41028571428501</v>
      </c>
      <c r="J1643" s="11">
        <v>33.735571428571397</v>
      </c>
      <c r="K1643" s="9">
        <v>5</v>
      </c>
      <c r="L1643" s="9">
        <v>5</v>
      </c>
      <c r="M1643" s="9">
        <v>0</v>
      </c>
      <c r="N1643" s="12">
        <v>21.035714285714199</v>
      </c>
      <c r="O1643" s="13">
        <v>34.118428571428502</v>
      </c>
      <c r="P1643" s="31">
        <v>-0.23956336941176493</v>
      </c>
      <c r="Q1643" s="31">
        <v>-1.7824308047058821</v>
      </c>
      <c r="R1643" s="1" t="s">
        <v>522</v>
      </c>
      <c r="T1643" s="71" t="s">
        <v>626</v>
      </c>
    </row>
    <row r="1644" spans="1:20" ht="12.75" customHeight="1">
      <c r="A1644" s="1" t="s">
        <v>294</v>
      </c>
      <c r="B1644" s="1" t="s">
        <v>325</v>
      </c>
      <c r="C1644" s="1" t="s">
        <v>505</v>
      </c>
      <c r="D1644" s="5">
        <v>43248</v>
      </c>
      <c r="E1644" s="1">
        <f t="shared" si="99"/>
        <v>2018</v>
      </c>
      <c r="F1644" s="1">
        <f t="shared" si="96"/>
        <v>5</v>
      </c>
      <c r="G1644" s="4">
        <f t="shared" si="100"/>
        <v>28</v>
      </c>
      <c r="H1644" s="8">
        <v>0.58333333333333337</v>
      </c>
      <c r="I1644" s="11">
        <v>129.32333333333301</v>
      </c>
      <c r="J1644" s="11">
        <v>33.661999999999999</v>
      </c>
      <c r="K1644" s="9">
        <v>5</v>
      </c>
      <c r="L1644" s="9">
        <v>5</v>
      </c>
      <c r="M1644" s="9">
        <v>0</v>
      </c>
      <c r="N1644" s="12">
        <v>20.88</v>
      </c>
      <c r="O1644" s="13">
        <v>34.138500000000001</v>
      </c>
      <c r="P1644" s="31">
        <v>0.26593679058823483</v>
      </c>
      <c r="Q1644" s="31">
        <v>1.4584521952941163</v>
      </c>
      <c r="R1644" s="1" t="s">
        <v>522</v>
      </c>
      <c r="T1644" s="71" t="s">
        <v>626</v>
      </c>
    </row>
    <row r="1645" spans="1:20" ht="12.75" customHeight="1">
      <c r="A1645" s="1" t="s">
        <v>294</v>
      </c>
      <c r="B1645" s="1" t="s">
        <v>326</v>
      </c>
      <c r="C1645" s="1" t="s">
        <v>505</v>
      </c>
      <c r="D1645" s="5">
        <v>43248</v>
      </c>
      <c r="E1645" s="1">
        <f t="shared" si="99"/>
        <v>2018</v>
      </c>
      <c r="F1645" s="1">
        <f t="shared" si="96"/>
        <v>5</v>
      </c>
      <c r="G1645" s="4">
        <f t="shared" si="100"/>
        <v>28</v>
      </c>
      <c r="H1645" s="8">
        <v>0.44444444444444442</v>
      </c>
      <c r="I1645" s="11">
        <v>129.14566666666599</v>
      </c>
      <c r="J1645" s="11">
        <v>33.578000000000003</v>
      </c>
      <c r="K1645" s="9">
        <v>5</v>
      </c>
      <c r="L1645" s="9">
        <v>5</v>
      </c>
      <c r="M1645" s="9">
        <v>0</v>
      </c>
      <c r="N1645" s="12">
        <v>21.016666666666602</v>
      </c>
      <c r="O1645" s="13">
        <v>33.624666666666599</v>
      </c>
      <c r="P1645" s="31">
        <v>0.2391077647058828</v>
      </c>
      <c r="Q1645" s="31">
        <v>1.420970202352942</v>
      </c>
      <c r="R1645" s="1" t="s">
        <v>522</v>
      </c>
      <c r="T1645" s="71" t="s">
        <v>626</v>
      </c>
    </row>
    <row r="1646" spans="1:20" ht="12.75" customHeight="1">
      <c r="A1646" s="1" t="s">
        <v>294</v>
      </c>
      <c r="B1646" s="1" t="s">
        <v>327</v>
      </c>
      <c r="C1646" s="1" t="s">
        <v>505</v>
      </c>
      <c r="D1646" s="5">
        <v>43248</v>
      </c>
      <c r="E1646" s="1">
        <f t="shared" si="99"/>
        <v>2018</v>
      </c>
      <c r="F1646" s="1">
        <f t="shared" si="96"/>
        <v>5</v>
      </c>
      <c r="G1646" s="4">
        <f t="shared" si="100"/>
        <v>28</v>
      </c>
      <c r="H1646" s="8">
        <v>0.3</v>
      </c>
      <c r="I1646" s="11">
        <v>128.99483333333299</v>
      </c>
      <c r="J1646" s="11">
        <v>34.002000000000002</v>
      </c>
      <c r="K1646" s="9">
        <v>5</v>
      </c>
      <c r="L1646" s="9">
        <v>5</v>
      </c>
      <c r="M1646" s="9">
        <v>0</v>
      </c>
      <c r="N1646" s="12">
        <v>20.783333333333299</v>
      </c>
      <c r="O1646" s="13">
        <v>33.381166666666601</v>
      </c>
      <c r="P1646" s="31">
        <v>0.20492897882352912</v>
      </c>
      <c r="Q1646" s="31">
        <v>1.0975452494117661</v>
      </c>
      <c r="R1646" s="1" t="s">
        <v>522</v>
      </c>
      <c r="T1646" s="71" t="s">
        <v>626</v>
      </c>
    </row>
    <row r="1647" spans="1:20" ht="12.75" customHeight="1">
      <c r="A1647" s="1" t="s">
        <v>294</v>
      </c>
      <c r="B1647" s="1" t="s">
        <v>328</v>
      </c>
      <c r="C1647" s="1" t="s">
        <v>505</v>
      </c>
      <c r="D1647" s="5">
        <v>43248</v>
      </c>
      <c r="E1647" s="1">
        <f t="shared" si="99"/>
        <v>2018</v>
      </c>
      <c r="F1647" s="1">
        <f t="shared" si="96"/>
        <v>5</v>
      </c>
      <c r="G1647" s="4">
        <f t="shared" si="100"/>
        <v>28</v>
      </c>
      <c r="H1647" s="8">
        <v>0.75</v>
      </c>
      <c r="I1647" s="11">
        <v>128.66499999999999</v>
      </c>
      <c r="J1647" s="11">
        <v>33.716000000000001</v>
      </c>
      <c r="K1647" s="9">
        <v>5</v>
      </c>
      <c r="L1647" s="9">
        <v>5</v>
      </c>
      <c r="M1647" s="9">
        <v>0</v>
      </c>
      <c r="N1647" s="12">
        <v>21.6</v>
      </c>
      <c r="O1647" s="13">
        <v>32.881500000000003</v>
      </c>
      <c r="P1647" s="31">
        <v>0.19953675294117623</v>
      </c>
      <c r="Q1647" s="31">
        <v>1.2938382964705895</v>
      </c>
      <c r="R1647" s="1" t="s">
        <v>522</v>
      </c>
      <c r="T1647" s="71" t="s">
        <v>626</v>
      </c>
    </row>
    <row r="1648" spans="1:20" ht="12.75" customHeight="1">
      <c r="A1648" s="1" t="s">
        <v>294</v>
      </c>
      <c r="B1648" s="1" t="s">
        <v>329</v>
      </c>
      <c r="C1648" s="1" t="s">
        <v>505</v>
      </c>
      <c r="D1648" s="5">
        <v>43251</v>
      </c>
      <c r="E1648" s="1">
        <f t="shared" si="99"/>
        <v>2018</v>
      </c>
      <c r="F1648" s="1">
        <f t="shared" si="96"/>
        <v>5</v>
      </c>
      <c r="G1648" s="4">
        <f t="shared" si="100"/>
        <v>31</v>
      </c>
      <c r="H1648" s="8">
        <v>0.46319444444444446</v>
      </c>
      <c r="I1648" s="11">
        <v>128.34516666666599</v>
      </c>
      <c r="J1648" s="11">
        <v>33.497</v>
      </c>
      <c r="K1648" s="9">
        <v>5</v>
      </c>
      <c r="L1648" s="9">
        <v>5</v>
      </c>
      <c r="M1648" s="9">
        <v>0</v>
      </c>
      <c r="N1648" s="12">
        <v>21.574999999999999</v>
      </c>
      <c r="O1648" s="13">
        <v>33.388666666666602</v>
      </c>
      <c r="P1648" s="31">
        <v>1.2033807058823509E-2</v>
      </c>
      <c r="Q1648" s="31">
        <v>-1.3612564705880459E-3</v>
      </c>
      <c r="R1648" s="1" t="s">
        <v>522</v>
      </c>
      <c r="T1648" s="71" t="s">
        <v>626</v>
      </c>
    </row>
    <row r="1649" spans="1:20" ht="12.75" customHeight="1">
      <c r="A1649" s="1" t="s">
        <v>294</v>
      </c>
      <c r="B1649" s="1" t="s">
        <v>330</v>
      </c>
      <c r="C1649" s="1" t="s">
        <v>505</v>
      </c>
      <c r="D1649" s="5">
        <v>43251</v>
      </c>
      <c r="E1649" s="1">
        <f t="shared" si="99"/>
        <v>2018</v>
      </c>
      <c r="F1649" s="1">
        <f t="shared" si="96"/>
        <v>5</v>
      </c>
      <c r="G1649" s="4">
        <f t="shared" si="100"/>
        <v>31</v>
      </c>
      <c r="H1649" s="8">
        <v>0.54861111111111105</v>
      </c>
      <c r="I1649" s="11">
        <v>128.49950000000001</v>
      </c>
      <c r="J1649" s="11">
        <v>33.338166666666602</v>
      </c>
      <c r="K1649" s="9">
        <v>5</v>
      </c>
      <c r="L1649" s="9">
        <v>5</v>
      </c>
      <c r="M1649" s="9">
        <v>0</v>
      </c>
      <c r="N1649" s="12">
        <v>21.26</v>
      </c>
      <c r="O1649" s="13">
        <v>33.660833333333301</v>
      </c>
      <c r="P1649" s="31">
        <v>0.20386014117647067</v>
      </c>
      <c r="Q1649" s="31">
        <v>0.8901771905882363</v>
      </c>
      <c r="R1649" s="1" t="s">
        <v>522</v>
      </c>
      <c r="T1649" s="71" t="s">
        <v>626</v>
      </c>
    </row>
    <row r="1650" spans="1:20" ht="12.75" customHeight="1">
      <c r="A1650" s="1" t="s">
        <v>294</v>
      </c>
      <c r="B1650" s="1" t="s">
        <v>331</v>
      </c>
      <c r="C1650" s="1" t="s">
        <v>505</v>
      </c>
      <c r="D1650" s="5">
        <v>43251</v>
      </c>
      <c r="E1650" s="1">
        <f t="shared" si="99"/>
        <v>2018</v>
      </c>
      <c r="F1650" s="1">
        <f t="shared" si="96"/>
        <v>5</v>
      </c>
      <c r="G1650" s="4">
        <f t="shared" si="100"/>
        <v>31</v>
      </c>
      <c r="H1650" s="8">
        <v>0.58194444444444449</v>
      </c>
      <c r="I1650" s="11">
        <v>128.6635</v>
      </c>
      <c r="J1650" s="11">
        <v>33.169333333333299</v>
      </c>
      <c r="K1650" s="9">
        <v>5</v>
      </c>
      <c r="L1650" s="9">
        <v>5</v>
      </c>
      <c r="M1650" s="9">
        <v>0</v>
      </c>
      <c r="N1650" s="12">
        <v>21.031666666666599</v>
      </c>
      <c r="O1650" s="13">
        <v>33.491833333333297</v>
      </c>
      <c r="P1650" s="31">
        <v>0.15763591529411691</v>
      </c>
      <c r="Q1650" s="31">
        <v>0.88525111764705677</v>
      </c>
      <c r="R1650" s="1" t="s">
        <v>522</v>
      </c>
      <c r="T1650" s="71" t="s">
        <v>626</v>
      </c>
    </row>
    <row r="1651" spans="1:20" ht="12.75" customHeight="1">
      <c r="A1651" s="1" t="s">
        <v>294</v>
      </c>
      <c r="B1651" s="1" t="s">
        <v>332</v>
      </c>
      <c r="C1651" s="1" t="s">
        <v>505</v>
      </c>
      <c r="D1651" s="5">
        <v>43251</v>
      </c>
      <c r="E1651" s="1">
        <f t="shared" si="99"/>
        <v>2018</v>
      </c>
      <c r="F1651" s="1">
        <f t="shared" si="96"/>
        <v>5</v>
      </c>
      <c r="G1651" s="4">
        <f t="shared" si="100"/>
        <v>31</v>
      </c>
      <c r="H1651" s="8">
        <v>0.30069444444444443</v>
      </c>
      <c r="I1651" s="11">
        <v>128.578</v>
      </c>
      <c r="J1651" s="11">
        <v>32.981499999999997</v>
      </c>
      <c r="K1651" s="9">
        <v>5</v>
      </c>
      <c r="L1651" s="9">
        <v>5</v>
      </c>
      <c r="M1651" s="9">
        <v>0</v>
      </c>
      <c r="N1651" s="12">
        <v>21.18</v>
      </c>
      <c r="O1651" s="13">
        <v>34.024666666666597</v>
      </c>
      <c r="P1651" s="31">
        <v>9.176429176470613E-2</v>
      </c>
      <c r="Q1651" s="31">
        <v>0.69531466588235347</v>
      </c>
      <c r="R1651" s="1" t="s">
        <v>522</v>
      </c>
      <c r="T1651" s="71" t="s">
        <v>626</v>
      </c>
    </row>
    <row r="1652" spans="1:20" ht="12.75" customHeight="1">
      <c r="A1652" s="1" t="s">
        <v>294</v>
      </c>
      <c r="B1652" s="1" t="s">
        <v>333</v>
      </c>
      <c r="C1652" s="1" t="s">
        <v>505</v>
      </c>
      <c r="D1652" s="5">
        <v>43250</v>
      </c>
      <c r="E1652" s="1">
        <f t="shared" si="99"/>
        <v>2018</v>
      </c>
      <c r="F1652" s="1">
        <f t="shared" si="96"/>
        <v>5</v>
      </c>
      <c r="G1652" s="4">
        <f t="shared" si="100"/>
        <v>30</v>
      </c>
      <c r="H1652" s="8">
        <v>0.60625000000000007</v>
      </c>
      <c r="I1652" s="11">
        <v>128.406833333333</v>
      </c>
      <c r="J1652" s="11">
        <v>32.662999999999997</v>
      </c>
      <c r="K1652" s="9">
        <v>5</v>
      </c>
      <c r="L1652" s="9">
        <v>5</v>
      </c>
      <c r="M1652" s="9">
        <v>0</v>
      </c>
      <c r="N1652" s="12">
        <v>23.281666666666599</v>
      </c>
      <c r="O1652" s="13">
        <v>34.161499999999997</v>
      </c>
      <c r="P1652" s="31">
        <v>0.21172630588235286</v>
      </c>
      <c r="Q1652" s="31">
        <v>1.0924345929411778</v>
      </c>
      <c r="R1652" s="1" t="s">
        <v>522</v>
      </c>
      <c r="T1652" s="71" t="s">
        <v>626</v>
      </c>
    </row>
    <row r="1653" spans="1:20" ht="12.75" customHeight="1">
      <c r="A1653" s="1" t="s">
        <v>294</v>
      </c>
      <c r="B1653" s="1" t="s">
        <v>334</v>
      </c>
      <c r="C1653" s="1" t="s">
        <v>505</v>
      </c>
      <c r="D1653" s="5">
        <v>43250</v>
      </c>
      <c r="E1653" s="1">
        <f t="shared" si="99"/>
        <v>2018</v>
      </c>
      <c r="F1653" s="1">
        <f t="shared" si="96"/>
        <v>5</v>
      </c>
      <c r="G1653" s="4">
        <f t="shared" si="100"/>
        <v>30</v>
      </c>
      <c r="H1653" s="8">
        <v>0.5</v>
      </c>
      <c r="I1653" s="11">
        <v>127.9345</v>
      </c>
      <c r="J1653" s="11">
        <v>32.667999999999999</v>
      </c>
      <c r="K1653" s="9">
        <v>5</v>
      </c>
      <c r="L1653" s="9">
        <v>5</v>
      </c>
      <c r="M1653" s="9">
        <v>0</v>
      </c>
      <c r="N1653" s="12">
        <v>21.843333333333302</v>
      </c>
      <c r="O1653" s="13">
        <v>32.558666666666603</v>
      </c>
      <c r="P1653" s="31">
        <v>9.5475200000000093E-2</v>
      </c>
      <c r="Q1653" s="31">
        <v>0.76900964000000016</v>
      </c>
      <c r="R1653" s="1" t="s">
        <v>522</v>
      </c>
      <c r="T1653" s="71" t="s">
        <v>626</v>
      </c>
    </row>
    <row r="1654" spans="1:20" ht="12.75" customHeight="1">
      <c r="A1654" s="1" t="s">
        <v>439</v>
      </c>
      <c r="B1654" s="1" t="s">
        <v>229</v>
      </c>
      <c r="C1654" s="1" t="s">
        <v>505</v>
      </c>
      <c r="D1654" s="5">
        <v>43345.354375000003</v>
      </c>
      <c r="E1654" s="1">
        <v>2018</v>
      </c>
      <c r="F1654" s="1">
        <v>9</v>
      </c>
      <c r="G1654" s="4">
        <v>2</v>
      </c>
      <c r="H1654" s="8">
        <v>43345.729375000003</v>
      </c>
      <c r="I1654" s="11">
        <v>130.36699999999999</v>
      </c>
      <c r="J1654" s="11">
        <v>34.506</v>
      </c>
      <c r="K1654" s="27">
        <v>0</v>
      </c>
      <c r="L1654" s="27">
        <v>0</v>
      </c>
      <c r="M1654" s="27">
        <v>0</v>
      </c>
      <c r="N1654" s="32">
        <v>26.9</v>
      </c>
      <c r="O1654" s="11">
        <v>32.783112436562782</v>
      </c>
      <c r="P1654" s="31">
        <v>-0.37198459999999955</v>
      </c>
      <c r="Q1654" s="31">
        <v>-2.3654624000000002</v>
      </c>
      <c r="R1654" s="1" t="s">
        <v>441</v>
      </c>
      <c r="T1654" s="71" t="s">
        <v>626</v>
      </c>
    </row>
    <row r="1655" spans="1:20" ht="12.75" customHeight="1">
      <c r="A1655" s="1" t="s">
        <v>439</v>
      </c>
      <c r="B1655" s="1" t="s">
        <v>229</v>
      </c>
      <c r="C1655" s="1" t="s">
        <v>505</v>
      </c>
      <c r="D1655" s="5">
        <v>43345.354375000003</v>
      </c>
      <c r="E1655" s="1">
        <v>2018</v>
      </c>
      <c r="F1655" s="1">
        <v>9</v>
      </c>
      <c r="G1655" s="4">
        <v>2</v>
      </c>
      <c r="H1655" s="8">
        <v>43345.729375000003</v>
      </c>
      <c r="I1655" s="11">
        <v>130.36699999999999</v>
      </c>
      <c r="J1655" s="11">
        <v>34.506</v>
      </c>
      <c r="K1655" s="27">
        <v>20</v>
      </c>
      <c r="L1655" s="27">
        <v>20</v>
      </c>
      <c r="M1655" s="9">
        <v>0</v>
      </c>
      <c r="N1655" s="12">
        <v>25.635999999999999</v>
      </c>
      <c r="O1655" s="11">
        <v>32.725906650748556</v>
      </c>
      <c r="P1655" s="31">
        <v>-0.37936747999999998</v>
      </c>
      <c r="Q1655" s="31">
        <v>-2.4603681999999996</v>
      </c>
      <c r="R1655" s="1" t="s">
        <v>441</v>
      </c>
      <c r="T1655" s="71" t="s">
        <v>626</v>
      </c>
    </row>
    <row r="1656" spans="1:20" ht="12.75" customHeight="1">
      <c r="A1656" s="1" t="s">
        <v>439</v>
      </c>
      <c r="B1656" s="1" t="s">
        <v>229</v>
      </c>
      <c r="C1656" s="1" t="s">
        <v>505</v>
      </c>
      <c r="D1656" s="5">
        <v>43345.354375000003</v>
      </c>
      <c r="E1656" s="1">
        <v>2018</v>
      </c>
      <c r="F1656" s="1">
        <v>9</v>
      </c>
      <c r="G1656" s="4">
        <v>2</v>
      </c>
      <c r="H1656" s="8">
        <v>43345.729375000003</v>
      </c>
      <c r="I1656" s="11">
        <v>130.36699999999999</v>
      </c>
      <c r="J1656" s="11">
        <v>34.506</v>
      </c>
      <c r="K1656" s="27">
        <v>50</v>
      </c>
      <c r="L1656" s="27">
        <v>50</v>
      </c>
      <c r="M1656" s="9">
        <v>0</v>
      </c>
      <c r="N1656" s="12">
        <v>17.600999999999999</v>
      </c>
      <c r="O1656" s="11">
        <v>32.732648380105395</v>
      </c>
      <c r="P1656" s="31">
        <v>-0.30738439999999967</v>
      </c>
      <c r="Q1656" s="31">
        <v>-1.9675274999999992</v>
      </c>
      <c r="R1656" s="1" t="s">
        <v>441</v>
      </c>
      <c r="T1656" s="71" t="s">
        <v>626</v>
      </c>
    </row>
    <row r="1657" spans="1:20" ht="12.75" customHeight="1">
      <c r="A1657" s="1" t="s">
        <v>439</v>
      </c>
      <c r="B1657" s="1" t="s">
        <v>123</v>
      </c>
      <c r="C1657" s="1" t="s">
        <v>505</v>
      </c>
      <c r="D1657" s="5">
        <v>43345.502766203703</v>
      </c>
      <c r="E1657" s="1">
        <v>2018</v>
      </c>
      <c r="F1657" s="1">
        <v>9</v>
      </c>
      <c r="G1657" s="4">
        <v>2</v>
      </c>
      <c r="H1657" s="8">
        <v>43345.877766203703</v>
      </c>
      <c r="I1657" s="11">
        <v>130.548</v>
      </c>
      <c r="J1657" s="11">
        <v>34.618000000000002</v>
      </c>
      <c r="K1657" s="27">
        <v>0</v>
      </c>
      <c r="L1657" s="27">
        <v>0</v>
      </c>
      <c r="M1657" s="27">
        <v>0</v>
      </c>
      <c r="N1657" s="32">
        <v>26.6</v>
      </c>
      <c r="O1657" s="11">
        <v>32.466068763764994</v>
      </c>
      <c r="P1657" s="31">
        <v>-0.40958260000000002</v>
      </c>
      <c r="Q1657" s="31">
        <v>-2.8429120833333323</v>
      </c>
      <c r="R1657" s="1" t="s">
        <v>441</v>
      </c>
      <c r="T1657" s="71" t="s">
        <v>626</v>
      </c>
    </row>
    <row r="1658" spans="1:20" ht="12.75" customHeight="1">
      <c r="A1658" s="1" t="s">
        <v>439</v>
      </c>
      <c r="B1658" s="1" t="s">
        <v>123</v>
      </c>
      <c r="C1658" s="1" t="s">
        <v>505</v>
      </c>
      <c r="D1658" s="5">
        <v>43345.502766203703</v>
      </c>
      <c r="E1658" s="1">
        <v>2018</v>
      </c>
      <c r="F1658" s="1">
        <v>9</v>
      </c>
      <c r="G1658" s="4">
        <v>2</v>
      </c>
      <c r="H1658" s="8">
        <v>43345.877766203703</v>
      </c>
      <c r="I1658" s="11">
        <v>130.548</v>
      </c>
      <c r="J1658" s="11">
        <v>34.618000000000002</v>
      </c>
      <c r="K1658" s="27">
        <v>20</v>
      </c>
      <c r="L1658" s="27">
        <v>20</v>
      </c>
      <c r="M1658" s="9">
        <v>0</v>
      </c>
      <c r="N1658" s="12">
        <v>25.882000000000001</v>
      </c>
      <c r="O1658" s="11">
        <v>32.379134957670061</v>
      </c>
      <c r="P1658" s="31">
        <v>-0.43555939999999982</v>
      </c>
      <c r="Q1658" s="31">
        <v>-2.7854500999999994</v>
      </c>
      <c r="R1658" s="1" t="s">
        <v>441</v>
      </c>
      <c r="T1658" s="71" t="s">
        <v>626</v>
      </c>
    </row>
    <row r="1659" spans="1:20" ht="12.75" customHeight="1">
      <c r="A1659" s="1" t="s">
        <v>439</v>
      </c>
      <c r="B1659" s="1" t="s">
        <v>123</v>
      </c>
      <c r="C1659" s="1" t="s">
        <v>505</v>
      </c>
      <c r="D1659" s="5">
        <v>43345.502766203703</v>
      </c>
      <c r="E1659" s="1">
        <v>2018</v>
      </c>
      <c r="F1659" s="1">
        <v>9</v>
      </c>
      <c r="G1659" s="4">
        <v>2</v>
      </c>
      <c r="H1659" s="8">
        <v>43345.877766203703</v>
      </c>
      <c r="I1659" s="11">
        <v>130.548</v>
      </c>
      <c r="J1659" s="11">
        <v>34.618000000000002</v>
      </c>
      <c r="K1659" s="27">
        <v>50</v>
      </c>
      <c r="L1659" s="27">
        <v>50</v>
      </c>
      <c r="M1659" s="9">
        <v>0</v>
      </c>
      <c r="N1659" s="12">
        <v>21.477</v>
      </c>
      <c r="O1659" s="11">
        <v>34.186705390701313</v>
      </c>
      <c r="P1659" s="31">
        <v>1.8897880000000367E-2</v>
      </c>
      <c r="Q1659" s="31">
        <v>0.25330760000000119</v>
      </c>
      <c r="R1659" s="1" t="s">
        <v>441</v>
      </c>
      <c r="T1659" s="71" t="s">
        <v>626</v>
      </c>
    </row>
    <row r="1660" spans="1:20" ht="12.75" customHeight="1">
      <c r="A1660" s="1" t="s">
        <v>439</v>
      </c>
      <c r="B1660" s="1" t="s">
        <v>127</v>
      </c>
      <c r="C1660" s="1" t="s">
        <v>505</v>
      </c>
      <c r="D1660" s="5">
        <v>43349.345023148147</v>
      </c>
      <c r="E1660" s="1">
        <v>2018</v>
      </c>
      <c r="F1660" s="1">
        <v>9</v>
      </c>
      <c r="G1660" s="4">
        <v>6</v>
      </c>
      <c r="H1660" s="8">
        <v>43349.720023148147</v>
      </c>
      <c r="I1660" s="11">
        <v>129.97499999999999</v>
      </c>
      <c r="J1660" s="11">
        <v>34.502000000000002</v>
      </c>
      <c r="K1660" s="27">
        <v>0</v>
      </c>
      <c r="L1660" s="27">
        <v>0</v>
      </c>
      <c r="M1660" s="27">
        <v>0</v>
      </c>
      <c r="N1660" s="32">
        <v>26.5</v>
      </c>
      <c r="O1660" s="11">
        <v>33.036414659271124</v>
      </c>
      <c r="P1660" s="31">
        <v>-0.30533359999999998</v>
      </c>
      <c r="Q1660" s="31">
        <v>-1.9862329999999995</v>
      </c>
      <c r="R1660" s="1" t="s">
        <v>441</v>
      </c>
      <c r="T1660" s="71" t="s">
        <v>626</v>
      </c>
    </row>
    <row r="1661" spans="1:20" ht="12.75" customHeight="1">
      <c r="A1661" s="1" t="s">
        <v>439</v>
      </c>
      <c r="B1661" s="1" t="s">
        <v>127</v>
      </c>
      <c r="C1661" s="1" t="s">
        <v>505</v>
      </c>
      <c r="D1661" s="5">
        <v>43349.345023148147</v>
      </c>
      <c r="E1661" s="1">
        <v>2018</v>
      </c>
      <c r="F1661" s="1">
        <v>9</v>
      </c>
      <c r="G1661" s="4">
        <v>6</v>
      </c>
      <c r="H1661" s="8">
        <v>43349.720023148147</v>
      </c>
      <c r="I1661" s="11">
        <v>129.97499999999999</v>
      </c>
      <c r="J1661" s="11">
        <v>34.502000000000002</v>
      </c>
      <c r="K1661" s="27">
        <v>20</v>
      </c>
      <c r="L1661" s="27">
        <v>20</v>
      </c>
      <c r="M1661" s="9">
        <v>0</v>
      </c>
      <c r="N1661" s="12">
        <v>27.245999999999999</v>
      </c>
      <c r="O1661" s="11">
        <v>33.985414049068488</v>
      </c>
      <c r="P1661" s="31">
        <v>-0.11789048000000024</v>
      </c>
      <c r="Q1661" s="31">
        <v>-0.33542339999999982</v>
      </c>
      <c r="R1661" s="1" t="s">
        <v>441</v>
      </c>
      <c r="T1661" s="71" t="s">
        <v>626</v>
      </c>
    </row>
    <row r="1662" spans="1:20" ht="12.75" customHeight="1">
      <c r="A1662" s="1" t="s">
        <v>439</v>
      </c>
      <c r="B1662" s="1" t="s">
        <v>127</v>
      </c>
      <c r="C1662" s="1" t="s">
        <v>505</v>
      </c>
      <c r="D1662" s="5">
        <v>43349.345023148147</v>
      </c>
      <c r="E1662" s="1">
        <v>2018</v>
      </c>
      <c r="F1662" s="1">
        <v>9</v>
      </c>
      <c r="G1662" s="4">
        <v>6</v>
      </c>
      <c r="H1662" s="8">
        <v>43349.720023148147</v>
      </c>
      <c r="I1662" s="11">
        <v>129.97499999999999</v>
      </c>
      <c r="J1662" s="11">
        <v>34.502000000000002</v>
      </c>
      <c r="K1662" s="27">
        <v>50</v>
      </c>
      <c r="L1662" s="27">
        <v>50</v>
      </c>
      <c r="M1662" s="9">
        <v>0</v>
      </c>
      <c r="N1662" s="12">
        <v>17.759</v>
      </c>
      <c r="O1662" s="11">
        <v>33.379992002784775</v>
      </c>
      <c r="P1662" s="31">
        <v>-0.12424795999999994</v>
      </c>
      <c r="Q1662" s="31">
        <v>-0.90092019999999984</v>
      </c>
      <c r="R1662" s="1" t="s">
        <v>441</v>
      </c>
      <c r="T1662" s="71" t="s">
        <v>626</v>
      </c>
    </row>
    <row r="1663" spans="1:20" ht="12.75" customHeight="1">
      <c r="A1663" s="1" t="s">
        <v>439</v>
      </c>
      <c r="B1663" s="1" t="s">
        <v>128</v>
      </c>
      <c r="C1663" s="1" t="s">
        <v>505</v>
      </c>
      <c r="D1663" s="5">
        <v>43349.51017361111</v>
      </c>
      <c r="E1663" s="1">
        <v>2018</v>
      </c>
      <c r="F1663" s="1">
        <v>9</v>
      </c>
      <c r="G1663" s="4">
        <v>6</v>
      </c>
      <c r="H1663" s="8">
        <v>43349.88517361111</v>
      </c>
      <c r="I1663" s="11">
        <v>130.042</v>
      </c>
      <c r="J1663" s="11">
        <v>34.627000000000002</v>
      </c>
      <c r="K1663" s="27">
        <v>0</v>
      </c>
      <c r="L1663" s="27">
        <v>0</v>
      </c>
      <c r="M1663" s="27">
        <v>0</v>
      </c>
      <c r="N1663" s="32">
        <v>26.4</v>
      </c>
      <c r="O1663" s="11">
        <v>32.973031698398664</v>
      </c>
      <c r="P1663" s="31">
        <v>-0.30389803999999976</v>
      </c>
      <c r="Q1663" s="31">
        <v>-2.0901961999999994</v>
      </c>
      <c r="R1663" s="1" t="s">
        <v>441</v>
      </c>
      <c r="T1663" s="71" t="s">
        <v>626</v>
      </c>
    </row>
    <row r="1664" spans="1:20" ht="12.75" customHeight="1">
      <c r="A1664" s="1" t="s">
        <v>439</v>
      </c>
      <c r="B1664" s="1" t="s">
        <v>128</v>
      </c>
      <c r="C1664" s="1" t="s">
        <v>505</v>
      </c>
      <c r="D1664" s="5">
        <v>43349.51017361111</v>
      </c>
      <c r="E1664" s="1">
        <v>2018</v>
      </c>
      <c r="F1664" s="1">
        <v>9</v>
      </c>
      <c r="G1664" s="4">
        <v>6</v>
      </c>
      <c r="H1664" s="8">
        <v>43349.88517361111</v>
      </c>
      <c r="I1664" s="11">
        <v>130.042</v>
      </c>
      <c r="J1664" s="11">
        <v>34.627000000000002</v>
      </c>
      <c r="K1664" s="27">
        <v>20</v>
      </c>
      <c r="L1664" s="27">
        <v>20</v>
      </c>
      <c r="M1664" s="9">
        <v>0</v>
      </c>
      <c r="N1664" s="12">
        <v>26.49</v>
      </c>
      <c r="O1664" s="11">
        <v>32.968219454477151</v>
      </c>
      <c r="P1664" s="31">
        <v>-0.30881995999999989</v>
      </c>
      <c r="Q1664" s="31">
        <v>-2.0754286999999989</v>
      </c>
      <c r="R1664" s="1" t="s">
        <v>441</v>
      </c>
      <c r="T1664" s="71" t="s">
        <v>626</v>
      </c>
    </row>
    <row r="1665" spans="1:20" ht="12.75" customHeight="1">
      <c r="A1665" s="1" t="s">
        <v>439</v>
      </c>
      <c r="B1665" s="1" t="s">
        <v>128</v>
      </c>
      <c r="C1665" s="1" t="s">
        <v>505</v>
      </c>
      <c r="D1665" s="5">
        <v>43349.51017361111</v>
      </c>
      <c r="E1665" s="1">
        <v>2018</v>
      </c>
      <c r="F1665" s="1">
        <v>9</v>
      </c>
      <c r="G1665" s="4">
        <v>6</v>
      </c>
      <c r="H1665" s="8">
        <v>43349.88517361111</v>
      </c>
      <c r="I1665" s="11">
        <v>130.042</v>
      </c>
      <c r="J1665" s="11">
        <v>34.627000000000002</v>
      </c>
      <c r="K1665" s="27">
        <v>50</v>
      </c>
      <c r="L1665" s="27">
        <v>50</v>
      </c>
      <c r="M1665" s="9">
        <v>0</v>
      </c>
      <c r="N1665" s="12">
        <v>18.526</v>
      </c>
      <c r="O1665" s="11">
        <v>34.201310759832865</v>
      </c>
      <c r="P1665" s="31">
        <v>4.3177318823529376E-2</v>
      </c>
      <c r="Q1665" s="31">
        <v>0.46746992941176657</v>
      </c>
      <c r="R1665" s="1" t="s">
        <v>441</v>
      </c>
      <c r="T1665" s="71" t="s">
        <v>626</v>
      </c>
    </row>
    <row r="1666" spans="1:20" ht="12.75" customHeight="1">
      <c r="A1666" s="1" t="s">
        <v>439</v>
      </c>
      <c r="B1666" s="1" t="s">
        <v>232</v>
      </c>
      <c r="C1666" s="1" t="s">
        <v>505</v>
      </c>
      <c r="D1666" s="5">
        <v>43350.377766203703</v>
      </c>
      <c r="E1666" s="1">
        <v>2018</v>
      </c>
      <c r="F1666" s="1">
        <v>9</v>
      </c>
      <c r="G1666" s="4">
        <v>7</v>
      </c>
      <c r="H1666" s="8">
        <v>43350.752766203703</v>
      </c>
      <c r="I1666" s="11">
        <v>130.077</v>
      </c>
      <c r="J1666" s="11">
        <v>34.167999999999999</v>
      </c>
      <c r="K1666" s="27">
        <v>0</v>
      </c>
      <c r="L1666" s="27">
        <v>0</v>
      </c>
      <c r="M1666" s="27">
        <v>0</v>
      </c>
      <c r="N1666" s="32">
        <v>26.66</v>
      </c>
      <c r="O1666" s="11">
        <v>33.715240925836817</v>
      </c>
      <c r="P1666" s="31">
        <v>-0.13733357941176516</v>
      </c>
      <c r="Q1666" s="31">
        <v>-0.73534616470588254</v>
      </c>
      <c r="R1666" s="1" t="s">
        <v>441</v>
      </c>
      <c r="T1666" s="71" t="s">
        <v>626</v>
      </c>
    </row>
    <row r="1667" spans="1:20" ht="12.75" customHeight="1">
      <c r="A1667" s="1" t="s">
        <v>439</v>
      </c>
      <c r="B1667" s="1" t="s">
        <v>232</v>
      </c>
      <c r="C1667" s="1" t="s">
        <v>505</v>
      </c>
      <c r="D1667" s="5">
        <v>43350.377766203703</v>
      </c>
      <c r="E1667" s="1">
        <v>2018</v>
      </c>
      <c r="F1667" s="1">
        <v>9</v>
      </c>
      <c r="G1667" s="4">
        <v>7</v>
      </c>
      <c r="H1667" s="8">
        <v>43350.752766203703</v>
      </c>
      <c r="I1667" s="11">
        <v>130.077</v>
      </c>
      <c r="J1667" s="11">
        <v>34.167999999999999</v>
      </c>
      <c r="K1667" s="27">
        <v>20</v>
      </c>
      <c r="L1667" s="27">
        <v>20</v>
      </c>
      <c r="M1667" s="9">
        <v>0</v>
      </c>
      <c r="N1667" s="12">
        <v>27.061</v>
      </c>
      <c r="O1667" s="11">
        <v>33.862345257496202</v>
      </c>
      <c r="P1667" s="31">
        <v>-4.3544817647059197E-2</v>
      </c>
      <c r="Q1667" s="31">
        <v>-0.39362145882353161</v>
      </c>
      <c r="R1667" s="1" t="s">
        <v>441</v>
      </c>
      <c r="T1667" s="71" t="s">
        <v>626</v>
      </c>
    </row>
    <row r="1668" spans="1:20" ht="12.75" customHeight="1">
      <c r="A1668" s="1" t="s">
        <v>439</v>
      </c>
      <c r="B1668" s="1" t="s">
        <v>232</v>
      </c>
      <c r="C1668" s="1" t="s">
        <v>505</v>
      </c>
      <c r="D1668" s="5">
        <v>43350.377766203703</v>
      </c>
      <c r="E1668" s="1">
        <v>2018</v>
      </c>
      <c r="F1668" s="1">
        <v>9</v>
      </c>
      <c r="G1668" s="4">
        <v>7</v>
      </c>
      <c r="H1668" s="8">
        <v>43350.752766203703</v>
      </c>
      <c r="I1668" s="11">
        <v>130.077</v>
      </c>
      <c r="J1668" s="11">
        <v>34.167999999999999</v>
      </c>
      <c r="K1668" s="27">
        <v>50</v>
      </c>
      <c r="L1668" s="27">
        <v>50</v>
      </c>
      <c r="M1668" s="9">
        <v>0</v>
      </c>
      <c r="N1668" s="12">
        <v>24.352</v>
      </c>
      <c r="O1668" s="11">
        <v>33.60961405728937</v>
      </c>
      <c r="P1668" s="31">
        <v>-4.682744588235277E-2</v>
      </c>
      <c r="Q1668" s="31">
        <v>-0.47347659294117683</v>
      </c>
      <c r="R1668" s="1" t="s">
        <v>441</v>
      </c>
      <c r="T1668" s="71" t="s">
        <v>626</v>
      </c>
    </row>
    <row r="1669" spans="1:20" ht="12.75" customHeight="1">
      <c r="A1669" s="1" t="s">
        <v>439</v>
      </c>
      <c r="B1669" s="1" t="s">
        <v>234</v>
      </c>
      <c r="C1669" s="1" t="s">
        <v>505</v>
      </c>
      <c r="D1669" s="5">
        <v>43350.493692129632</v>
      </c>
      <c r="E1669" s="1">
        <v>2018</v>
      </c>
      <c r="F1669" s="1">
        <v>9</v>
      </c>
      <c r="G1669" s="4">
        <v>7</v>
      </c>
      <c r="H1669" s="8">
        <v>43350.868692129632</v>
      </c>
      <c r="I1669" s="11">
        <v>130.244</v>
      </c>
      <c r="J1669" s="11">
        <v>34.296999999999997</v>
      </c>
      <c r="K1669" s="27">
        <v>0</v>
      </c>
      <c r="L1669" s="27">
        <v>0</v>
      </c>
      <c r="M1669" s="27">
        <v>0</v>
      </c>
      <c r="N1669" s="32">
        <v>27.1</v>
      </c>
      <c r="O1669" s="11">
        <v>33.913638170054178</v>
      </c>
      <c r="P1669" s="31">
        <v>-4.1982894117646996E-2</v>
      </c>
      <c r="Q1669" s="31">
        <v>-0.39617076705882504</v>
      </c>
      <c r="R1669" s="1" t="s">
        <v>441</v>
      </c>
      <c r="T1669" s="71" t="s">
        <v>626</v>
      </c>
    </row>
    <row r="1670" spans="1:20" ht="12.75" customHeight="1">
      <c r="A1670" s="1" t="s">
        <v>439</v>
      </c>
      <c r="B1670" s="1" t="s">
        <v>234</v>
      </c>
      <c r="C1670" s="1" t="s">
        <v>505</v>
      </c>
      <c r="D1670" s="5">
        <v>43350.493692129632</v>
      </c>
      <c r="E1670" s="1">
        <v>2018</v>
      </c>
      <c r="F1670" s="1">
        <v>9</v>
      </c>
      <c r="G1670" s="4">
        <v>7</v>
      </c>
      <c r="H1670" s="8">
        <v>43350.868692129632</v>
      </c>
      <c r="I1670" s="11">
        <v>130.244</v>
      </c>
      <c r="J1670" s="11">
        <v>34.296999999999997</v>
      </c>
      <c r="K1670" s="27">
        <v>20</v>
      </c>
      <c r="L1670" s="27">
        <v>20</v>
      </c>
      <c r="M1670" s="9">
        <v>0</v>
      </c>
      <c r="N1670" s="12">
        <v>27.233000000000001</v>
      </c>
      <c r="O1670" s="11">
        <v>33.881457450862079</v>
      </c>
      <c r="P1670" s="31">
        <v>3.4813117647058966E-2</v>
      </c>
      <c r="Q1670" s="31">
        <v>-8.6591874509803546E-2</v>
      </c>
      <c r="R1670" s="1" t="s">
        <v>441</v>
      </c>
      <c r="T1670" s="71" t="s">
        <v>626</v>
      </c>
    </row>
    <row r="1671" spans="1:20" ht="12.75" customHeight="1">
      <c r="A1671" s="1" t="s">
        <v>439</v>
      </c>
      <c r="B1671" s="1" t="s">
        <v>234</v>
      </c>
      <c r="C1671" s="1" t="s">
        <v>505</v>
      </c>
      <c r="D1671" s="5">
        <v>43350.493692129632</v>
      </c>
      <c r="E1671" s="1">
        <v>2018</v>
      </c>
      <c r="F1671" s="1">
        <v>9</v>
      </c>
      <c r="G1671" s="4">
        <v>7</v>
      </c>
      <c r="H1671" s="8">
        <v>43350.868692129632</v>
      </c>
      <c r="I1671" s="11">
        <v>130.244</v>
      </c>
      <c r="J1671" s="11">
        <v>34.296999999999997</v>
      </c>
      <c r="K1671" s="27">
        <v>50</v>
      </c>
      <c r="L1671" s="27">
        <v>50</v>
      </c>
      <c r="M1671" s="9">
        <v>0</v>
      </c>
      <c r="N1671" s="12">
        <v>23.350999999999999</v>
      </c>
      <c r="O1671" s="11">
        <v>33.839950343799032</v>
      </c>
      <c r="P1671" s="31">
        <v>2.3364189411764436E-2</v>
      </c>
      <c r="Q1671" s="31">
        <v>-0.17887495529411801</v>
      </c>
      <c r="R1671" s="1" t="s">
        <v>441</v>
      </c>
      <c r="T1671" s="71" t="s">
        <v>626</v>
      </c>
    </row>
    <row r="1672" spans="1:20" ht="12.75" customHeight="1">
      <c r="A1672" s="1" t="s">
        <v>439</v>
      </c>
      <c r="B1672" s="1" t="s">
        <v>134</v>
      </c>
      <c r="C1672" s="1" t="s">
        <v>505</v>
      </c>
      <c r="D1672" s="5">
        <v>43351.349247685182</v>
      </c>
      <c r="E1672" s="1">
        <v>2018</v>
      </c>
      <c r="F1672" s="1">
        <v>9</v>
      </c>
      <c r="G1672" s="4">
        <v>8</v>
      </c>
      <c r="H1672" s="8">
        <v>43351.724247685182</v>
      </c>
      <c r="I1672" s="11">
        <v>129.81399999999999</v>
      </c>
      <c r="J1672" s="11">
        <v>34</v>
      </c>
      <c r="K1672" s="27">
        <v>0</v>
      </c>
      <c r="L1672" s="27">
        <v>0</v>
      </c>
      <c r="M1672" s="27">
        <v>0</v>
      </c>
      <c r="N1672" s="32">
        <v>26.9</v>
      </c>
      <c r="O1672" s="11">
        <v>33.896263566270797</v>
      </c>
      <c r="P1672" s="31">
        <v>-0.10543927352941163</v>
      </c>
      <c r="Q1672" s="31">
        <v>-0.45848194509803619</v>
      </c>
      <c r="R1672" s="1" t="s">
        <v>441</v>
      </c>
      <c r="T1672" s="71" t="s">
        <v>626</v>
      </c>
    </row>
    <row r="1673" spans="1:20" ht="12.75" customHeight="1">
      <c r="A1673" s="1" t="s">
        <v>439</v>
      </c>
      <c r="B1673" s="1" t="s">
        <v>134</v>
      </c>
      <c r="C1673" s="1" t="s">
        <v>505</v>
      </c>
      <c r="D1673" s="5">
        <v>43351.349247685182</v>
      </c>
      <c r="E1673" s="1">
        <v>2018</v>
      </c>
      <c r="F1673" s="1">
        <v>9</v>
      </c>
      <c r="G1673" s="4">
        <v>8</v>
      </c>
      <c r="H1673" s="8">
        <v>43351.724247685182</v>
      </c>
      <c r="I1673" s="11">
        <v>129.81399999999999</v>
      </c>
      <c r="J1673" s="11">
        <v>34</v>
      </c>
      <c r="K1673" s="27">
        <v>20</v>
      </c>
      <c r="L1673" s="27">
        <v>20</v>
      </c>
      <c r="M1673" s="9">
        <v>0</v>
      </c>
      <c r="N1673" s="12">
        <v>27.087</v>
      </c>
      <c r="O1673" s="11">
        <v>33.862714999377076</v>
      </c>
      <c r="P1673" s="31">
        <v>-9.4536011764706274E-2</v>
      </c>
      <c r="Q1673" s="31">
        <v>-0.39533590588235334</v>
      </c>
      <c r="R1673" s="1" t="s">
        <v>441</v>
      </c>
      <c r="T1673" s="71" t="s">
        <v>626</v>
      </c>
    </row>
    <row r="1674" spans="1:20" ht="12.75" customHeight="1">
      <c r="A1674" s="1" t="s">
        <v>439</v>
      </c>
      <c r="B1674" s="1" t="s">
        <v>134</v>
      </c>
      <c r="C1674" s="1" t="s">
        <v>505</v>
      </c>
      <c r="D1674" s="5">
        <v>43351.349247685182</v>
      </c>
      <c r="E1674" s="1">
        <v>2018</v>
      </c>
      <c r="F1674" s="1">
        <v>9</v>
      </c>
      <c r="G1674" s="4">
        <v>8</v>
      </c>
      <c r="H1674" s="8">
        <v>43351.724247685182</v>
      </c>
      <c r="I1674" s="11">
        <v>129.81399999999999</v>
      </c>
      <c r="J1674" s="11">
        <v>34</v>
      </c>
      <c r="K1674" s="27">
        <v>50</v>
      </c>
      <c r="L1674" s="27">
        <v>50</v>
      </c>
      <c r="M1674" s="9">
        <v>0</v>
      </c>
      <c r="N1674" s="12">
        <v>25.553999999999998</v>
      </c>
      <c r="O1674" s="11">
        <v>33.863625504236381</v>
      </c>
      <c r="P1674" s="31">
        <v>-4.656166000000006E-2</v>
      </c>
      <c r="Q1674" s="31">
        <v>-0.32966015999999954</v>
      </c>
      <c r="R1674" s="1" t="s">
        <v>441</v>
      </c>
      <c r="T1674" s="71" t="s">
        <v>626</v>
      </c>
    </row>
    <row r="1675" spans="1:20" ht="12.75" customHeight="1">
      <c r="A1675" s="1" t="s">
        <v>439</v>
      </c>
      <c r="B1675" s="1" t="s">
        <v>236</v>
      </c>
      <c r="C1675" s="1" t="s">
        <v>505</v>
      </c>
      <c r="D1675" s="5">
        <v>43351.498356481483</v>
      </c>
      <c r="E1675" s="1">
        <v>2018</v>
      </c>
      <c r="F1675" s="1">
        <v>9</v>
      </c>
      <c r="G1675" s="4">
        <v>8</v>
      </c>
      <c r="H1675" s="8">
        <v>43351.873356481483</v>
      </c>
      <c r="I1675" s="11">
        <v>129.69</v>
      </c>
      <c r="J1675" s="11">
        <v>34.165999999999997</v>
      </c>
      <c r="K1675" s="27">
        <v>0</v>
      </c>
      <c r="L1675" s="27">
        <v>0</v>
      </c>
      <c r="M1675" s="27">
        <v>0</v>
      </c>
      <c r="N1675" s="32">
        <v>24.8</v>
      </c>
      <c r="O1675" s="11">
        <v>32.814149125372744</v>
      </c>
      <c r="P1675" s="31">
        <v>-0.33527358823529441</v>
      </c>
      <c r="Q1675" s="31">
        <v>-2.0465734274509799</v>
      </c>
      <c r="R1675" s="1" t="s">
        <v>441</v>
      </c>
      <c r="T1675" s="71" t="s">
        <v>626</v>
      </c>
    </row>
    <row r="1676" spans="1:20" ht="12.75" customHeight="1">
      <c r="A1676" s="1" t="s">
        <v>439</v>
      </c>
      <c r="B1676" s="1" t="s">
        <v>236</v>
      </c>
      <c r="C1676" s="1" t="s">
        <v>505</v>
      </c>
      <c r="D1676" s="5">
        <v>43351.498356481483</v>
      </c>
      <c r="E1676" s="1">
        <v>2018</v>
      </c>
      <c r="F1676" s="1">
        <v>9</v>
      </c>
      <c r="G1676" s="4">
        <v>8</v>
      </c>
      <c r="H1676" s="8">
        <v>43351.873356481483</v>
      </c>
      <c r="I1676" s="11">
        <v>129.69</v>
      </c>
      <c r="J1676" s="11">
        <v>34.165999999999997</v>
      </c>
      <c r="K1676" s="27">
        <v>20</v>
      </c>
      <c r="L1676" s="27">
        <v>20</v>
      </c>
      <c r="M1676" s="9">
        <v>0</v>
      </c>
      <c r="N1676" s="12">
        <v>23.75</v>
      </c>
      <c r="O1676" s="11">
        <v>33.133632946489115</v>
      </c>
      <c r="P1676" s="31">
        <v>-0.17160183647058869</v>
      </c>
      <c r="Q1676" s="31">
        <v>-1.4094139482352936</v>
      </c>
      <c r="R1676" s="1" t="s">
        <v>441</v>
      </c>
      <c r="T1676" s="71" t="s">
        <v>626</v>
      </c>
    </row>
    <row r="1677" spans="1:20" ht="12.75" customHeight="1">
      <c r="A1677" s="1" t="s">
        <v>439</v>
      </c>
      <c r="B1677" s="1" t="s">
        <v>236</v>
      </c>
      <c r="C1677" s="1" t="s">
        <v>505</v>
      </c>
      <c r="D1677" s="5">
        <v>43351.498356481483</v>
      </c>
      <c r="E1677" s="1">
        <v>2018</v>
      </c>
      <c r="F1677" s="1">
        <v>9</v>
      </c>
      <c r="G1677" s="4">
        <v>8</v>
      </c>
      <c r="H1677" s="8">
        <v>43351.873356481483</v>
      </c>
      <c r="I1677" s="11">
        <v>129.69</v>
      </c>
      <c r="J1677" s="11">
        <v>34.165999999999997</v>
      </c>
      <c r="K1677" s="27">
        <v>50</v>
      </c>
      <c r="L1677" s="27">
        <v>50</v>
      </c>
      <c r="M1677" s="9">
        <v>0</v>
      </c>
      <c r="N1677" s="12">
        <v>20.68</v>
      </c>
      <c r="O1677" s="11">
        <v>33.688684926320761</v>
      </c>
      <c r="P1677" s="31">
        <v>-9.0254447058826237E-3</v>
      </c>
      <c r="Q1677" s="31">
        <v>-0.34335420235294123</v>
      </c>
      <c r="R1677" s="1" t="s">
        <v>441</v>
      </c>
      <c r="T1677" s="71" t="s">
        <v>626</v>
      </c>
    </row>
    <row r="1678" spans="1:20" ht="12.75" customHeight="1">
      <c r="A1678" s="1" t="s">
        <v>439</v>
      </c>
      <c r="B1678" s="1" t="s">
        <v>136</v>
      </c>
      <c r="C1678" s="1" t="s">
        <v>505</v>
      </c>
      <c r="D1678" s="5">
        <v>43352.417222222219</v>
      </c>
      <c r="E1678" s="1">
        <v>2018</v>
      </c>
      <c r="F1678" s="1">
        <v>9</v>
      </c>
      <c r="G1678" s="4">
        <v>9</v>
      </c>
      <c r="H1678" s="8">
        <v>43352.792222222219</v>
      </c>
      <c r="I1678" s="11">
        <v>128.35</v>
      </c>
      <c r="J1678" s="11">
        <v>33.383000000000003</v>
      </c>
      <c r="K1678" s="27">
        <v>0</v>
      </c>
      <c r="L1678" s="27">
        <v>0</v>
      </c>
      <c r="M1678" s="27">
        <v>0</v>
      </c>
      <c r="N1678" s="32">
        <v>27</v>
      </c>
      <c r="O1678" s="11">
        <v>33.862963404051783</v>
      </c>
      <c r="P1678" s="31">
        <v>-4.0875452941176782E-2</v>
      </c>
      <c r="Q1678" s="31">
        <v>-0.34588197647058649</v>
      </c>
      <c r="R1678" s="1" t="s">
        <v>441</v>
      </c>
      <c r="T1678" s="71" t="s">
        <v>626</v>
      </c>
    </row>
    <row r="1679" spans="1:20" ht="12.75" customHeight="1">
      <c r="A1679" s="1" t="s">
        <v>439</v>
      </c>
      <c r="B1679" s="1" t="s">
        <v>136</v>
      </c>
      <c r="C1679" s="1" t="s">
        <v>505</v>
      </c>
      <c r="D1679" s="5">
        <v>43352.417222222219</v>
      </c>
      <c r="E1679" s="1">
        <v>2018</v>
      </c>
      <c r="F1679" s="1">
        <v>9</v>
      </c>
      <c r="G1679" s="4">
        <v>9</v>
      </c>
      <c r="H1679" s="8">
        <v>43352.792222222219</v>
      </c>
      <c r="I1679" s="11">
        <v>128.35</v>
      </c>
      <c r="J1679" s="11">
        <v>33.383000000000003</v>
      </c>
      <c r="K1679" s="27">
        <v>20</v>
      </c>
      <c r="L1679" s="27">
        <v>20</v>
      </c>
      <c r="M1679" s="9">
        <v>0</v>
      </c>
      <c r="N1679" s="12">
        <v>27.221</v>
      </c>
      <c r="O1679" s="11">
        <v>33.876428730617796</v>
      </c>
      <c r="P1679" s="31">
        <v>-5.1502861176470738E-2</v>
      </c>
      <c r="Q1679" s="31">
        <v>-0.48580239058823693</v>
      </c>
      <c r="R1679" s="1" t="s">
        <v>441</v>
      </c>
      <c r="T1679" s="71" t="s">
        <v>626</v>
      </c>
    </row>
    <row r="1680" spans="1:20" ht="12.75" customHeight="1">
      <c r="A1680" s="1" t="s">
        <v>439</v>
      </c>
      <c r="B1680" s="1" t="s">
        <v>136</v>
      </c>
      <c r="C1680" s="1" t="s">
        <v>505</v>
      </c>
      <c r="D1680" s="5">
        <v>43352.417222222219</v>
      </c>
      <c r="E1680" s="1">
        <v>2018</v>
      </c>
      <c r="F1680" s="1">
        <v>9</v>
      </c>
      <c r="G1680" s="4">
        <v>9</v>
      </c>
      <c r="H1680" s="8">
        <v>43352.792222222219</v>
      </c>
      <c r="I1680" s="11">
        <v>128.35</v>
      </c>
      <c r="J1680" s="11">
        <v>33.383000000000003</v>
      </c>
      <c r="K1680" s="27">
        <v>50</v>
      </c>
      <c r="L1680" s="27">
        <v>50</v>
      </c>
      <c r="M1680" s="9">
        <v>0</v>
      </c>
      <c r="N1680" s="12">
        <v>25.776</v>
      </c>
      <c r="O1680" s="11">
        <v>34.141383129880197</v>
      </c>
      <c r="P1680" s="31">
        <v>2.7356969411765242E-2</v>
      </c>
      <c r="Q1680" s="31">
        <v>7.8536752941177568E-2</v>
      </c>
      <c r="R1680" s="1" t="s">
        <v>441</v>
      </c>
      <c r="T1680" s="71" t="s">
        <v>626</v>
      </c>
    </row>
    <row r="1681" spans="1:20" ht="12.75" customHeight="1">
      <c r="A1681" s="1" t="s">
        <v>439</v>
      </c>
      <c r="B1681" s="1" t="s">
        <v>238</v>
      </c>
      <c r="C1681" s="1" t="s">
        <v>505</v>
      </c>
      <c r="D1681" s="5">
        <v>43352.527372685188</v>
      </c>
      <c r="E1681" s="1">
        <v>2018</v>
      </c>
      <c r="F1681" s="1">
        <v>9</v>
      </c>
      <c r="G1681" s="4">
        <v>9</v>
      </c>
      <c r="H1681" s="8">
        <v>43352.902372685188</v>
      </c>
      <c r="I1681" s="11">
        <v>128.35499999999999</v>
      </c>
      <c r="J1681" s="11">
        <v>33.215000000000003</v>
      </c>
      <c r="K1681" s="27">
        <v>0</v>
      </c>
      <c r="L1681" s="27">
        <v>0</v>
      </c>
      <c r="M1681" s="27">
        <v>0</v>
      </c>
      <c r="N1681" s="32">
        <v>27.1</v>
      </c>
      <c r="O1681" s="11">
        <v>33.985031101809412</v>
      </c>
      <c r="P1681" s="31">
        <v>-2.9344444705881489E-2</v>
      </c>
      <c r="Q1681" s="31">
        <v>-0.34305317647058864</v>
      </c>
      <c r="R1681" s="1" t="s">
        <v>441</v>
      </c>
      <c r="T1681" s="71" t="s">
        <v>626</v>
      </c>
    </row>
    <row r="1682" spans="1:20" ht="12.75" customHeight="1">
      <c r="A1682" s="1" t="s">
        <v>439</v>
      </c>
      <c r="B1682" s="1" t="s">
        <v>238</v>
      </c>
      <c r="C1682" s="1" t="s">
        <v>505</v>
      </c>
      <c r="D1682" s="5">
        <v>43352.527372685188</v>
      </c>
      <c r="E1682" s="1">
        <v>2018</v>
      </c>
      <c r="F1682" s="1">
        <v>9</v>
      </c>
      <c r="G1682" s="4">
        <v>9</v>
      </c>
      <c r="H1682" s="8">
        <v>43352.902372685188</v>
      </c>
      <c r="I1682" s="11">
        <v>128.35499999999999</v>
      </c>
      <c r="J1682" s="11">
        <v>33.215000000000003</v>
      </c>
      <c r="K1682" s="27">
        <v>20</v>
      </c>
      <c r="L1682" s="27">
        <v>20</v>
      </c>
      <c r="M1682" s="9">
        <v>0</v>
      </c>
      <c r="N1682" s="12">
        <v>27.491</v>
      </c>
      <c r="O1682" s="11">
        <v>33.96187413129185</v>
      </c>
      <c r="P1682" s="31">
        <v>-1.8639998823529513E-2</v>
      </c>
      <c r="Q1682" s="31">
        <v>-0.41917550588235386</v>
      </c>
      <c r="R1682" s="1" t="s">
        <v>441</v>
      </c>
      <c r="T1682" s="71" t="s">
        <v>626</v>
      </c>
    </row>
    <row r="1683" spans="1:20" ht="12.75" customHeight="1">
      <c r="A1683" s="1" t="s">
        <v>439</v>
      </c>
      <c r="B1683" s="1" t="s">
        <v>238</v>
      </c>
      <c r="C1683" s="1" t="s">
        <v>505</v>
      </c>
      <c r="D1683" s="5">
        <v>43352.527372685188</v>
      </c>
      <c r="E1683" s="1">
        <v>2018</v>
      </c>
      <c r="F1683" s="1">
        <v>9</v>
      </c>
      <c r="G1683" s="4">
        <v>9</v>
      </c>
      <c r="H1683" s="8">
        <v>43352.902372685188</v>
      </c>
      <c r="I1683" s="11">
        <v>128.35499999999999</v>
      </c>
      <c r="J1683" s="11">
        <v>33.215000000000003</v>
      </c>
      <c r="K1683" s="27">
        <v>50</v>
      </c>
      <c r="L1683" s="27">
        <v>50</v>
      </c>
      <c r="M1683" s="9">
        <v>0</v>
      </c>
      <c r="N1683" s="12">
        <v>25.963000000000001</v>
      </c>
      <c r="O1683" s="11">
        <v>34.167325539038792</v>
      </c>
      <c r="P1683" s="31">
        <v>2.7083107058823774E-2</v>
      </c>
      <c r="Q1683" s="31">
        <v>0.10863216470588455</v>
      </c>
      <c r="R1683" s="1" t="s">
        <v>441</v>
      </c>
      <c r="T1683" s="71" t="s">
        <v>626</v>
      </c>
    </row>
    <row r="1684" spans="1:20" ht="12.75" customHeight="1">
      <c r="A1684" s="1" t="s">
        <v>439</v>
      </c>
      <c r="B1684" s="1" t="s">
        <v>239</v>
      </c>
      <c r="C1684" s="1" t="s">
        <v>505</v>
      </c>
      <c r="D1684" s="5">
        <v>43358.365127314813</v>
      </c>
      <c r="E1684" s="1">
        <v>2018</v>
      </c>
      <c r="F1684" s="1">
        <v>9</v>
      </c>
      <c r="G1684" s="4">
        <v>15</v>
      </c>
      <c r="H1684" s="8">
        <v>43358.740127314813</v>
      </c>
      <c r="I1684" s="11">
        <v>128.70599999999999</v>
      </c>
      <c r="J1684" s="11">
        <v>33.460999999999999</v>
      </c>
      <c r="K1684" s="27">
        <v>0</v>
      </c>
      <c r="L1684" s="27">
        <v>0</v>
      </c>
      <c r="M1684" s="27">
        <v>0</v>
      </c>
      <c r="N1684" s="32">
        <v>27</v>
      </c>
      <c r="O1684" s="11">
        <v>34.071237838110676</v>
      </c>
      <c r="P1684" s="31">
        <v>-7.5545270588235347E-3</v>
      </c>
      <c r="Q1684" s="31">
        <v>-0.21377576470588089</v>
      </c>
      <c r="R1684" s="1" t="s">
        <v>441</v>
      </c>
      <c r="T1684" s="71" t="s">
        <v>626</v>
      </c>
    </row>
    <row r="1685" spans="1:20" ht="12.75" customHeight="1">
      <c r="A1685" s="1" t="s">
        <v>439</v>
      </c>
      <c r="B1685" s="1" t="s">
        <v>239</v>
      </c>
      <c r="C1685" s="1" t="s">
        <v>505</v>
      </c>
      <c r="D1685" s="5">
        <v>43358.365127314813</v>
      </c>
      <c r="E1685" s="1">
        <v>2018</v>
      </c>
      <c r="F1685" s="1">
        <v>9</v>
      </c>
      <c r="G1685" s="4">
        <v>15</v>
      </c>
      <c r="H1685" s="8">
        <v>43358.740127314813</v>
      </c>
      <c r="I1685" s="11">
        <v>128.70599999999999</v>
      </c>
      <c r="J1685" s="11">
        <v>33.460999999999999</v>
      </c>
      <c r="K1685" s="27">
        <v>20</v>
      </c>
      <c r="L1685" s="27">
        <v>20</v>
      </c>
      <c r="M1685" s="9">
        <v>0</v>
      </c>
      <c r="N1685" s="12">
        <v>26.902999999999999</v>
      </c>
      <c r="O1685" s="11">
        <v>34.043891542184575</v>
      </c>
      <c r="P1685" s="31">
        <v>-2.0128381176470089E-2</v>
      </c>
      <c r="Q1685" s="31">
        <v>-0.23529889411764771</v>
      </c>
      <c r="R1685" s="1" t="s">
        <v>441</v>
      </c>
      <c r="T1685" s="71" t="s">
        <v>626</v>
      </c>
    </row>
    <row r="1686" spans="1:20" ht="12.75" customHeight="1">
      <c r="A1686" s="1" t="s">
        <v>439</v>
      </c>
      <c r="B1686" s="1" t="s">
        <v>239</v>
      </c>
      <c r="C1686" s="1" t="s">
        <v>505</v>
      </c>
      <c r="D1686" s="5">
        <v>43358.365127314813</v>
      </c>
      <c r="E1686" s="1">
        <v>2018</v>
      </c>
      <c r="F1686" s="1">
        <v>9</v>
      </c>
      <c r="G1686" s="4">
        <v>15</v>
      </c>
      <c r="H1686" s="8">
        <v>43358.740127314813</v>
      </c>
      <c r="I1686" s="11">
        <v>128.70599999999999</v>
      </c>
      <c r="J1686" s="11">
        <v>33.460999999999999</v>
      </c>
      <c r="K1686" s="27">
        <v>50</v>
      </c>
      <c r="L1686" s="27">
        <v>50</v>
      </c>
      <c r="M1686" s="9">
        <v>0</v>
      </c>
      <c r="N1686" s="12">
        <v>26.388999999999999</v>
      </c>
      <c r="O1686" s="11">
        <v>34.061026003222452</v>
      </c>
      <c r="P1686" s="31">
        <v>-5.1745529411784119E-4</v>
      </c>
      <c r="Q1686" s="31">
        <v>-8.9292823529412146E-2</v>
      </c>
      <c r="R1686" s="1" t="s">
        <v>441</v>
      </c>
      <c r="T1686" s="71" t="s">
        <v>626</v>
      </c>
    </row>
    <row r="1687" spans="1:20" ht="12.75" customHeight="1">
      <c r="A1687" s="1" t="s">
        <v>439</v>
      </c>
      <c r="B1687" s="1" t="s">
        <v>240</v>
      </c>
      <c r="C1687" s="1" t="s">
        <v>505</v>
      </c>
      <c r="D1687" s="5">
        <v>43358.483657407407</v>
      </c>
      <c r="E1687" s="1">
        <v>2018</v>
      </c>
      <c r="F1687" s="1">
        <v>9</v>
      </c>
      <c r="G1687" s="4">
        <v>15</v>
      </c>
      <c r="H1687" s="8">
        <v>43358.858657407407</v>
      </c>
      <c r="I1687" s="11">
        <v>128.70599999999999</v>
      </c>
      <c r="J1687" s="11">
        <v>33.631</v>
      </c>
      <c r="K1687" s="27">
        <v>0</v>
      </c>
      <c r="L1687" s="27">
        <v>0</v>
      </c>
      <c r="M1687" s="27">
        <v>0</v>
      </c>
      <c r="N1687" s="32">
        <v>26.6</v>
      </c>
      <c r="O1687" s="11">
        <v>34.045959657400658</v>
      </c>
      <c r="P1687" s="31">
        <v>-0.10263239176470607</v>
      </c>
      <c r="Q1687" s="31">
        <v>-0.21761134117646996</v>
      </c>
      <c r="R1687" s="1" t="s">
        <v>441</v>
      </c>
      <c r="T1687" s="71" t="s">
        <v>626</v>
      </c>
    </row>
    <row r="1688" spans="1:20" ht="12.75" customHeight="1">
      <c r="A1688" s="1" t="s">
        <v>439</v>
      </c>
      <c r="B1688" s="1" t="s">
        <v>240</v>
      </c>
      <c r="C1688" s="1" t="s">
        <v>505</v>
      </c>
      <c r="D1688" s="5">
        <v>43358.483657407407</v>
      </c>
      <c r="E1688" s="1">
        <v>2018</v>
      </c>
      <c r="F1688" s="1">
        <v>9</v>
      </c>
      <c r="G1688" s="4">
        <v>15</v>
      </c>
      <c r="H1688" s="8">
        <v>43358.858657407407</v>
      </c>
      <c r="I1688" s="11">
        <v>128.70599999999999</v>
      </c>
      <c r="J1688" s="11">
        <v>33.631</v>
      </c>
      <c r="K1688" s="27">
        <v>20</v>
      </c>
      <c r="L1688" s="27">
        <v>20</v>
      </c>
      <c r="M1688" s="9">
        <v>0</v>
      </c>
      <c r="N1688" s="12">
        <v>26.762</v>
      </c>
      <c r="O1688" s="11">
        <v>34.017898170269525</v>
      </c>
      <c r="P1688" s="31">
        <v>-7.7151285882352871E-2</v>
      </c>
      <c r="Q1688" s="31">
        <v>-0.36247367058823521</v>
      </c>
      <c r="R1688" s="1" t="s">
        <v>441</v>
      </c>
      <c r="T1688" s="71" t="s">
        <v>626</v>
      </c>
    </row>
    <row r="1689" spans="1:20" ht="12.75" customHeight="1">
      <c r="A1689" s="1" t="s">
        <v>439</v>
      </c>
      <c r="B1689" s="1" t="s">
        <v>240</v>
      </c>
      <c r="C1689" s="1" t="s">
        <v>505</v>
      </c>
      <c r="D1689" s="5">
        <v>43358.483657407407</v>
      </c>
      <c r="E1689" s="1">
        <v>2018</v>
      </c>
      <c r="F1689" s="1">
        <v>9</v>
      </c>
      <c r="G1689" s="4">
        <v>15</v>
      </c>
      <c r="H1689" s="8">
        <v>43358.858657407407</v>
      </c>
      <c r="I1689" s="11">
        <v>128.70599999999999</v>
      </c>
      <c r="J1689" s="11">
        <v>33.631</v>
      </c>
      <c r="K1689" s="27">
        <v>50</v>
      </c>
      <c r="L1689" s="27">
        <v>50</v>
      </c>
      <c r="M1689" s="9">
        <v>0</v>
      </c>
      <c r="N1689" s="12">
        <v>26.308</v>
      </c>
      <c r="O1689" s="11">
        <v>34.184251544861077</v>
      </c>
      <c r="P1689" s="31">
        <v>1.1889700000000225E-2</v>
      </c>
      <c r="Q1689" s="31">
        <v>0.11898360000000174</v>
      </c>
      <c r="R1689" s="1" t="s">
        <v>441</v>
      </c>
      <c r="T1689" s="71" t="s">
        <v>626</v>
      </c>
    </row>
    <row r="1690" spans="1:20" ht="12.75" customHeight="1">
      <c r="A1690" s="1" t="s">
        <v>439</v>
      </c>
      <c r="B1690" s="1" t="s">
        <v>241</v>
      </c>
      <c r="C1690" s="1" t="s">
        <v>505</v>
      </c>
      <c r="D1690" s="5">
        <v>43359.367280092592</v>
      </c>
      <c r="E1690" s="1">
        <v>2018</v>
      </c>
      <c r="F1690" s="1">
        <v>9</v>
      </c>
      <c r="G1690" s="4">
        <v>16</v>
      </c>
      <c r="H1690" s="8">
        <v>43359.742280092592</v>
      </c>
      <c r="I1690" s="11">
        <v>128.25</v>
      </c>
      <c r="J1690" s="11">
        <v>32.883000000000003</v>
      </c>
      <c r="K1690" s="27">
        <v>0</v>
      </c>
      <c r="L1690" s="27">
        <v>0</v>
      </c>
      <c r="M1690" s="27">
        <v>0</v>
      </c>
      <c r="N1690" s="32">
        <v>27.4</v>
      </c>
      <c r="O1690" s="11">
        <v>33.86768205800945</v>
      </c>
      <c r="P1690" s="31">
        <v>-2.8010854117646922E-2</v>
      </c>
      <c r="Q1690" s="31">
        <v>-0.41435792941176253</v>
      </c>
      <c r="R1690" s="1" t="s">
        <v>441</v>
      </c>
      <c r="T1690" s="71" t="s">
        <v>626</v>
      </c>
    </row>
    <row r="1691" spans="1:20" ht="12.75" customHeight="1">
      <c r="A1691" s="1" t="s">
        <v>439</v>
      </c>
      <c r="B1691" s="1" t="s">
        <v>241</v>
      </c>
      <c r="C1691" s="1" t="s">
        <v>505</v>
      </c>
      <c r="D1691" s="5">
        <v>43359.367280092592</v>
      </c>
      <c r="E1691" s="1">
        <v>2018</v>
      </c>
      <c r="F1691" s="1">
        <v>9</v>
      </c>
      <c r="G1691" s="4">
        <v>16</v>
      </c>
      <c r="H1691" s="8">
        <v>43359.742280092592</v>
      </c>
      <c r="I1691" s="11">
        <v>128.25</v>
      </c>
      <c r="J1691" s="11">
        <v>32.883000000000003</v>
      </c>
      <c r="K1691" s="27">
        <v>20</v>
      </c>
      <c r="L1691" s="27">
        <v>20</v>
      </c>
      <c r="M1691" s="9">
        <v>0</v>
      </c>
      <c r="N1691" s="12">
        <v>26.649000000000001</v>
      </c>
      <c r="O1691" s="11">
        <v>33.925727818019148</v>
      </c>
      <c r="P1691" s="31">
        <v>-7.1374470588235095E-2</v>
      </c>
      <c r="Q1691" s="31">
        <v>-0.41374408352941217</v>
      </c>
      <c r="R1691" s="1" t="s">
        <v>441</v>
      </c>
      <c r="T1691" s="71" t="s">
        <v>626</v>
      </c>
    </row>
    <row r="1692" spans="1:20" ht="12.75" customHeight="1">
      <c r="A1692" s="1" t="s">
        <v>439</v>
      </c>
      <c r="B1692" s="1" t="s">
        <v>241</v>
      </c>
      <c r="C1692" s="1" t="s">
        <v>505</v>
      </c>
      <c r="D1692" s="5">
        <v>43359.367280092592</v>
      </c>
      <c r="E1692" s="1">
        <v>2018</v>
      </c>
      <c r="F1692" s="1">
        <v>9</v>
      </c>
      <c r="G1692" s="4">
        <v>16</v>
      </c>
      <c r="H1692" s="8">
        <v>43359.742280092592</v>
      </c>
      <c r="I1692" s="11">
        <v>128.25</v>
      </c>
      <c r="J1692" s="11">
        <v>32.883000000000003</v>
      </c>
      <c r="K1692" s="27">
        <v>50</v>
      </c>
      <c r="L1692" s="27">
        <v>50</v>
      </c>
      <c r="M1692" s="9">
        <v>0</v>
      </c>
      <c r="N1692" s="12">
        <v>26.529</v>
      </c>
      <c r="O1692" s="11">
        <v>34.0529184146611</v>
      </c>
      <c r="P1692" s="31">
        <v>-5.2269368235294156E-2</v>
      </c>
      <c r="Q1692" s="31">
        <v>-0.31871906941176675</v>
      </c>
      <c r="R1692" s="1" t="s">
        <v>441</v>
      </c>
      <c r="T1692" s="71" t="s">
        <v>626</v>
      </c>
    </row>
    <row r="1693" spans="1:20" ht="12.75" customHeight="1">
      <c r="A1693" s="1" t="s">
        <v>439</v>
      </c>
      <c r="B1693" s="1" t="s">
        <v>443</v>
      </c>
      <c r="C1693" s="1" t="s">
        <v>505</v>
      </c>
      <c r="D1693" s="5">
        <v>43359.474641203706</v>
      </c>
      <c r="E1693" s="1">
        <v>2018</v>
      </c>
      <c r="F1693" s="1">
        <v>9</v>
      </c>
      <c r="G1693" s="4">
        <v>16</v>
      </c>
      <c r="H1693" s="8">
        <v>43359.849641203706</v>
      </c>
      <c r="I1693" s="11">
        <v>128.249</v>
      </c>
      <c r="J1693" s="11">
        <v>32.716999999999999</v>
      </c>
      <c r="K1693" s="27">
        <v>0</v>
      </c>
      <c r="L1693" s="27">
        <v>0</v>
      </c>
      <c r="M1693" s="27">
        <v>0</v>
      </c>
      <c r="N1693" s="32">
        <v>27</v>
      </c>
      <c r="O1693" s="11">
        <v>34.055238751598303</v>
      </c>
      <c r="P1693" s="31">
        <v>4.5598583529411485E-2</v>
      </c>
      <c r="Q1693" s="31">
        <v>-0.15604571764705888</v>
      </c>
      <c r="R1693" s="1" t="s">
        <v>441</v>
      </c>
      <c r="T1693" s="71" t="s">
        <v>626</v>
      </c>
    </row>
    <row r="1694" spans="1:20" ht="12.75" customHeight="1">
      <c r="A1694" s="1" t="s">
        <v>439</v>
      </c>
      <c r="B1694" s="1" t="s">
        <v>443</v>
      </c>
      <c r="C1694" s="1" t="s">
        <v>505</v>
      </c>
      <c r="D1694" s="5">
        <v>43359.474641203706</v>
      </c>
      <c r="E1694" s="1">
        <v>2018</v>
      </c>
      <c r="F1694" s="1">
        <v>9</v>
      </c>
      <c r="G1694" s="4">
        <v>16</v>
      </c>
      <c r="H1694" s="8">
        <v>43359.849641203706</v>
      </c>
      <c r="I1694" s="11">
        <v>128.249</v>
      </c>
      <c r="J1694" s="11">
        <v>32.716999999999999</v>
      </c>
      <c r="K1694" s="27">
        <v>20</v>
      </c>
      <c r="L1694" s="27">
        <v>20</v>
      </c>
      <c r="M1694" s="9">
        <v>0</v>
      </c>
      <c r="N1694" s="12">
        <v>26.701000000000001</v>
      </c>
      <c r="O1694" s="11">
        <v>34.025947887430661</v>
      </c>
      <c r="P1694" s="31">
        <v>-2.5677070588234763E-2</v>
      </c>
      <c r="Q1694" s="31">
        <v>-0.24905844705882352</v>
      </c>
      <c r="R1694" s="1" t="s">
        <v>441</v>
      </c>
      <c r="T1694" s="71" t="s">
        <v>626</v>
      </c>
    </row>
    <row r="1695" spans="1:20" ht="12.75" customHeight="1">
      <c r="A1695" s="1" t="s">
        <v>439</v>
      </c>
      <c r="B1695" s="1" t="s">
        <v>443</v>
      </c>
      <c r="C1695" s="1" t="s">
        <v>505</v>
      </c>
      <c r="D1695" s="5">
        <v>43359.474641203706</v>
      </c>
      <c r="E1695" s="1">
        <v>2018</v>
      </c>
      <c r="F1695" s="1">
        <v>9</v>
      </c>
      <c r="G1695" s="4">
        <v>16</v>
      </c>
      <c r="H1695" s="8">
        <v>43359.849641203706</v>
      </c>
      <c r="I1695" s="11">
        <v>128.249</v>
      </c>
      <c r="J1695" s="11">
        <v>32.716999999999999</v>
      </c>
      <c r="K1695" s="27">
        <v>50</v>
      </c>
      <c r="L1695" s="27">
        <v>50</v>
      </c>
      <c r="M1695" s="9">
        <v>0</v>
      </c>
      <c r="N1695" s="12">
        <v>25.157</v>
      </c>
      <c r="O1695" s="11">
        <v>34.121809724591898</v>
      </c>
      <c r="P1695" s="31">
        <v>5.956239529411711E-2</v>
      </c>
      <c r="Q1695" s="31">
        <v>0.26112594588235183</v>
      </c>
      <c r="R1695" s="1" t="s">
        <v>441</v>
      </c>
      <c r="T1695" s="71" t="s">
        <v>626</v>
      </c>
    </row>
    <row r="1696" spans="1:20" ht="12.75" customHeight="1">
      <c r="A1696" s="1" t="s">
        <v>439</v>
      </c>
      <c r="B1696" s="1" t="s">
        <v>243</v>
      </c>
      <c r="C1696" s="1" t="s">
        <v>505</v>
      </c>
      <c r="D1696" s="5">
        <v>43360.363969907405</v>
      </c>
      <c r="E1696" s="1">
        <v>2018</v>
      </c>
      <c r="F1696" s="1">
        <v>9</v>
      </c>
      <c r="G1696" s="4">
        <v>17</v>
      </c>
      <c r="H1696" s="8">
        <v>43360.738969907405</v>
      </c>
      <c r="I1696" s="11">
        <v>128.00299999999999</v>
      </c>
      <c r="J1696" s="11">
        <v>32.218000000000004</v>
      </c>
      <c r="K1696" s="27">
        <v>0</v>
      </c>
      <c r="L1696" s="27">
        <v>0</v>
      </c>
      <c r="M1696" s="27">
        <v>0</v>
      </c>
      <c r="N1696" s="32">
        <v>28.2</v>
      </c>
      <c r="O1696" s="11">
        <v>33.949784766685667</v>
      </c>
      <c r="P1696" s="31">
        <v>-4.2561637647059225E-2</v>
      </c>
      <c r="Q1696" s="31">
        <v>-0.5044135929411766</v>
      </c>
      <c r="R1696" s="1" t="s">
        <v>441</v>
      </c>
      <c r="T1696" s="71" t="s">
        <v>626</v>
      </c>
    </row>
    <row r="1697" spans="1:20" ht="12.75" customHeight="1">
      <c r="A1697" s="1" t="s">
        <v>439</v>
      </c>
      <c r="B1697" s="1" t="s">
        <v>243</v>
      </c>
      <c r="C1697" s="1" t="s">
        <v>505</v>
      </c>
      <c r="D1697" s="5">
        <v>43360.363969907405</v>
      </c>
      <c r="E1697" s="1">
        <v>2018</v>
      </c>
      <c r="F1697" s="1">
        <v>9</v>
      </c>
      <c r="G1697" s="4">
        <v>17</v>
      </c>
      <c r="H1697" s="8">
        <v>43360.738969907405</v>
      </c>
      <c r="I1697" s="11">
        <v>128.00299999999999</v>
      </c>
      <c r="J1697" s="11">
        <v>32.218000000000004</v>
      </c>
      <c r="K1697" s="27">
        <v>20</v>
      </c>
      <c r="L1697" s="27">
        <v>20</v>
      </c>
      <c r="M1697" s="9">
        <v>0</v>
      </c>
      <c r="N1697" s="12">
        <v>28.276</v>
      </c>
      <c r="O1697" s="11">
        <v>34.014199298001472</v>
      </c>
      <c r="P1697" s="31">
        <v>-5.81557505882353E-2</v>
      </c>
      <c r="Q1697" s="31">
        <v>-0.4626638317647096</v>
      </c>
      <c r="R1697" s="1" t="s">
        <v>441</v>
      </c>
      <c r="T1697" s="71" t="s">
        <v>626</v>
      </c>
    </row>
    <row r="1698" spans="1:20" ht="12.75" customHeight="1">
      <c r="A1698" s="1" t="s">
        <v>439</v>
      </c>
      <c r="B1698" s="1" t="s">
        <v>243</v>
      </c>
      <c r="C1698" s="1" t="s">
        <v>505</v>
      </c>
      <c r="D1698" s="5">
        <v>43360.363969907405</v>
      </c>
      <c r="E1698" s="1">
        <v>2018</v>
      </c>
      <c r="F1698" s="1">
        <v>9</v>
      </c>
      <c r="G1698" s="4">
        <v>17</v>
      </c>
      <c r="H1698" s="8">
        <v>43360.738969907405</v>
      </c>
      <c r="I1698" s="11">
        <v>128.00299999999999</v>
      </c>
      <c r="J1698" s="11">
        <v>32.218000000000004</v>
      </c>
      <c r="K1698" s="27">
        <v>50</v>
      </c>
      <c r="L1698" s="27">
        <v>50</v>
      </c>
      <c r="M1698" s="9">
        <v>0</v>
      </c>
      <c r="N1698" s="12">
        <v>26.19</v>
      </c>
      <c r="O1698" s="11">
        <v>34.177097896284742</v>
      </c>
      <c r="P1698" s="31">
        <v>6.4616376470588044E-2</v>
      </c>
      <c r="Q1698" s="31">
        <v>0.30889118941176363</v>
      </c>
      <c r="R1698" s="1" t="s">
        <v>441</v>
      </c>
      <c r="T1698" s="71" t="s">
        <v>626</v>
      </c>
    </row>
    <row r="1699" spans="1:20" ht="12.75" customHeight="1">
      <c r="A1699" s="1" t="s">
        <v>439</v>
      </c>
      <c r="B1699" s="1" t="s">
        <v>245</v>
      </c>
      <c r="C1699" s="1" t="s">
        <v>505</v>
      </c>
      <c r="D1699" s="5">
        <v>43360.572881944441</v>
      </c>
      <c r="E1699" s="1">
        <v>2018</v>
      </c>
      <c r="F1699" s="1">
        <v>9</v>
      </c>
      <c r="G1699" s="4">
        <v>17</v>
      </c>
      <c r="H1699" s="8">
        <v>43360.947881944441</v>
      </c>
      <c r="I1699" s="11">
        <v>128.05199999999999</v>
      </c>
      <c r="J1699" s="11">
        <v>32.052</v>
      </c>
      <c r="K1699" s="27">
        <v>0</v>
      </c>
      <c r="L1699" s="27">
        <v>0</v>
      </c>
      <c r="M1699" s="27">
        <v>0</v>
      </c>
      <c r="N1699" s="32">
        <v>28.1</v>
      </c>
      <c r="O1699" s="11">
        <v>33.979985904204824</v>
      </c>
      <c r="P1699" s="31">
        <v>-1.9977364705887624E-3</v>
      </c>
      <c r="Q1699" s="31">
        <v>-0.41416978941176552</v>
      </c>
      <c r="R1699" s="1" t="s">
        <v>441</v>
      </c>
      <c r="T1699" s="71" t="s">
        <v>626</v>
      </c>
    </row>
    <row r="1700" spans="1:20" ht="12.75" customHeight="1">
      <c r="A1700" s="1" t="s">
        <v>439</v>
      </c>
      <c r="B1700" s="1" t="s">
        <v>245</v>
      </c>
      <c r="C1700" s="1" t="s">
        <v>505</v>
      </c>
      <c r="D1700" s="5">
        <v>43360.572881944441</v>
      </c>
      <c r="E1700" s="1">
        <v>2018</v>
      </c>
      <c r="F1700" s="1">
        <v>9</v>
      </c>
      <c r="G1700" s="4">
        <v>17</v>
      </c>
      <c r="H1700" s="8">
        <v>43360.947881944441</v>
      </c>
      <c r="I1700" s="11">
        <v>128.05199999999999</v>
      </c>
      <c r="J1700" s="11">
        <v>32.052</v>
      </c>
      <c r="K1700" s="27">
        <v>20</v>
      </c>
      <c r="L1700" s="27">
        <v>20</v>
      </c>
      <c r="M1700" s="9">
        <v>0</v>
      </c>
      <c r="N1700" s="12">
        <v>28.052</v>
      </c>
      <c r="O1700" s="11">
        <v>33.957756151003402</v>
      </c>
      <c r="P1700" s="31">
        <v>-5.3470494117648926E-3</v>
      </c>
      <c r="Q1700" s="31">
        <v>-0.34508428823529513</v>
      </c>
      <c r="R1700" s="1" t="s">
        <v>441</v>
      </c>
      <c r="T1700" s="71" t="s">
        <v>626</v>
      </c>
    </row>
    <row r="1701" spans="1:20" ht="12.75" customHeight="1">
      <c r="A1701" s="1" t="s">
        <v>439</v>
      </c>
      <c r="B1701" s="1" t="s">
        <v>245</v>
      </c>
      <c r="C1701" s="1" t="s">
        <v>505</v>
      </c>
      <c r="D1701" s="5">
        <v>43360.572881944441</v>
      </c>
      <c r="E1701" s="1">
        <v>2018</v>
      </c>
      <c r="F1701" s="1">
        <v>9</v>
      </c>
      <c r="G1701" s="4">
        <v>17</v>
      </c>
      <c r="H1701" s="8">
        <v>43360.947881944441</v>
      </c>
      <c r="I1701" s="11">
        <v>128.05199999999999</v>
      </c>
      <c r="J1701" s="11">
        <v>32.052</v>
      </c>
      <c r="K1701" s="27">
        <v>50</v>
      </c>
      <c r="L1701" s="27">
        <v>50</v>
      </c>
      <c r="M1701" s="9">
        <v>0</v>
      </c>
      <c r="N1701" s="12">
        <v>25.841999999999999</v>
      </c>
      <c r="O1701" s="11">
        <v>34.212102127370706</v>
      </c>
      <c r="P1701" s="31">
        <v>9.069059764705889E-2</v>
      </c>
      <c r="Q1701" s="31">
        <v>0.44200687294117635</v>
      </c>
      <c r="R1701" s="1" t="s">
        <v>441</v>
      </c>
      <c r="T1701" s="71" t="s">
        <v>626</v>
      </c>
    </row>
    <row r="1702" spans="1:20" ht="12.75" customHeight="1">
      <c r="A1702" s="1" t="s">
        <v>439</v>
      </c>
      <c r="B1702" s="1" t="s">
        <v>444</v>
      </c>
      <c r="C1702" s="1" t="s">
        <v>505</v>
      </c>
      <c r="D1702" s="5">
        <v>43361.350381944445</v>
      </c>
      <c r="E1702" s="1">
        <v>2018</v>
      </c>
      <c r="F1702" s="1">
        <v>9</v>
      </c>
      <c r="G1702" s="4">
        <v>18</v>
      </c>
      <c r="H1702" s="8">
        <v>43361.725381944445</v>
      </c>
      <c r="I1702" s="11">
        <v>128.417</v>
      </c>
      <c r="J1702" s="11">
        <v>31.56</v>
      </c>
      <c r="K1702" s="27">
        <v>0</v>
      </c>
      <c r="L1702" s="27">
        <v>0</v>
      </c>
      <c r="M1702" s="27">
        <v>0</v>
      </c>
      <c r="N1702" s="32">
        <v>28.2</v>
      </c>
      <c r="O1702" s="11">
        <v>34.107417927651916</v>
      </c>
      <c r="P1702" s="31">
        <v>-9.6447341176477686E-3</v>
      </c>
      <c r="Q1702" s="31">
        <v>-9.5823522352942447E-2</v>
      </c>
      <c r="R1702" s="1" t="s">
        <v>441</v>
      </c>
      <c r="T1702" s="71" t="s">
        <v>626</v>
      </c>
    </row>
    <row r="1703" spans="1:20" ht="12.75" customHeight="1">
      <c r="A1703" s="1" t="s">
        <v>439</v>
      </c>
      <c r="B1703" s="1" t="s">
        <v>444</v>
      </c>
      <c r="C1703" s="1" t="s">
        <v>505</v>
      </c>
      <c r="D1703" s="5">
        <v>43361.350381944445</v>
      </c>
      <c r="E1703" s="1">
        <v>2018</v>
      </c>
      <c r="F1703" s="1">
        <v>9</v>
      </c>
      <c r="G1703" s="4">
        <v>18</v>
      </c>
      <c r="H1703" s="8">
        <v>43361.725381944445</v>
      </c>
      <c r="I1703" s="11">
        <v>128.417</v>
      </c>
      <c r="J1703" s="11">
        <v>31.56</v>
      </c>
      <c r="K1703" s="27">
        <v>20</v>
      </c>
      <c r="L1703" s="27">
        <v>20</v>
      </c>
      <c r="M1703" s="9">
        <v>0</v>
      </c>
      <c r="N1703" s="12">
        <v>27.702000000000002</v>
      </c>
      <c r="O1703" s="11">
        <v>34.106668213852089</v>
      </c>
      <c r="P1703" s="31">
        <v>2.8638272941176268E-2</v>
      </c>
      <c r="Q1703" s="31">
        <v>0.10994067882352887</v>
      </c>
      <c r="R1703" s="1" t="s">
        <v>441</v>
      </c>
      <c r="T1703" s="71" t="s">
        <v>626</v>
      </c>
    </row>
    <row r="1704" spans="1:20" ht="12.75" customHeight="1">
      <c r="A1704" s="1" t="s">
        <v>439</v>
      </c>
      <c r="B1704" s="1" t="s">
        <v>444</v>
      </c>
      <c r="C1704" s="1" t="s">
        <v>505</v>
      </c>
      <c r="D1704" s="5">
        <v>43361.350381944445</v>
      </c>
      <c r="E1704" s="1">
        <v>2018</v>
      </c>
      <c r="F1704" s="1">
        <v>9</v>
      </c>
      <c r="G1704" s="4">
        <v>18</v>
      </c>
      <c r="H1704" s="8">
        <v>43361.725381944445</v>
      </c>
      <c r="I1704" s="11">
        <v>128.417</v>
      </c>
      <c r="J1704" s="11">
        <v>31.56</v>
      </c>
      <c r="K1704" s="27">
        <v>50</v>
      </c>
      <c r="L1704" s="27">
        <v>50</v>
      </c>
      <c r="M1704" s="9">
        <v>0</v>
      </c>
      <c r="N1704" s="12">
        <v>25.577999999999999</v>
      </c>
      <c r="O1704" s="11">
        <v>34.166489429630538</v>
      </c>
      <c r="P1704" s="31">
        <v>1.0595199999999583E-2</v>
      </c>
      <c r="Q1704" s="31">
        <v>0.11432503999999888</v>
      </c>
      <c r="R1704" s="1" t="s">
        <v>441</v>
      </c>
      <c r="T1704" s="71" t="s">
        <v>626</v>
      </c>
    </row>
    <row r="1705" spans="1:20" ht="12.75" customHeight="1">
      <c r="A1705" s="1" t="s">
        <v>439</v>
      </c>
      <c r="B1705" s="1" t="s">
        <v>445</v>
      </c>
      <c r="C1705" s="1" t="s">
        <v>505</v>
      </c>
      <c r="D1705" s="5">
        <v>43361.475740740738</v>
      </c>
      <c r="E1705" s="1">
        <v>2018</v>
      </c>
      <c r="F1705" s="1">
        <v>9</v>
      </c>
      <c r="G1705" s="4">
        <v>18</v>
      </c>
      <c r="H1705" s="8">
        <v>43361.850740740738</v>
      </c>
      <c r="I1705" s="11">
        <v>128.5</v>
      </c>
      <c r="J1705" s="11">
        <v>31.552</v>
      </c>
      <c r="K1705" s="27">
        <v>0</v>
      </c>
      <c r="L1705" s="27">
        <v>0</v>
      </c>
      <c r="M1705" s="27">
        <v>0</v>
      </c>
      <c r="N1705" s="32">
        <v>28</v>
      </c>
      <c r="O1705" s="11">
        <v>34.108566056237485</v>
      </c>
      <c r="P1705" s="31">
        <v>-5.0915294117626075E-4</v>
      </c>
      <c r="Q1705" s="31">
        <v>-6.2414458823530694E-2</v>
      </c>
      <c r="R1705" s="1" t="s">
        <v>441</v>
      </c>
      <c r="T1705" s="71" t="s">
        <v>626</v>
      </c>
    </row>
    <row r="1706" spans="1:20" ht="12.75" customHeight="1">
      <c r="A1706" s="1" t="s">
        <v>439</v>
      </c>
      <c r="B1706" s="1" t="s">
        <v>445</v>
      </c>
      <c r="C1706" s="1" t="s">
        <v>505</v>
      </c>
      <c r="D1706" s="5">
        <v>43361.475740740738</v>
      </c>
      <c r="E1706" s="1">
        <v>2018</v>
      </c>
      <c r="F1706" s="1">
        <v>9</v>
      </c>
      <c r="G1706" s="4">
        <v>18</v>
      </c>
      <c r="H1706" s="8">
        <v>43361.850740740738</v>
      </c>
      <c r="I1706" s="11">
        <v>128.5</v>
      </c>
      <c r="J1706" s="11">
        <v>31.552</v>
      </c>
      <c r="K1706" s="27">
        <v>20</v>
      </c>
      <c r="L1706" s="27">
        <v>20</v>
      </c>
      <c r="M1706" s="9">
        <v>0</v>
      </c>
      <c r="N1706" s="12">
        <v>27.724</v>
      </c>
      <c r="O1706" s="11">
        <v>34.078941418430382</v>
      </c>
      <c r="P1706" s="31">
        <v>-1.0797185882353233E-2</v>
      </c>
      <c r="Q1706" s="31">
        <v>-0.13040097764706005</v>
      </c>
      <c r="R1706" s="1" t="s">
        <v>441</v>
      </c>
      <c r="T1706" s="71" t="s">
        <v>626</v>
      </c>
    </row>
    <row r="1707" spans="1:20" ht="12.75" customHeight="1">
      <c r="A1707" s="1" t="s">
        <v>439</v>
      </c>
      <c r="B1707" s="1" t="s">
        <v>445</v>
      </c>
      <c r="C1707" s="1" t="s">
        <v>505</v>
      </c>
      <c r="D1707" s="5">
        <v>43361.475740740738</v>
      </c>
      <c r="E1707" s="1">
        <v>2018</v>
      </c>
      <c r="F1707" s="1">
        <v>9</v>
      </c>
      <c r="G1707" s="4">
        <v>18</v>
      </c>
      <c r="H1707" s="8">
        <v>43361.850740740738</v>
      </c>
      <c r="I1707" s="11">
        <v>128.5</v>
      </c>
      <c r="J1707" s="11">
        <v>31.552</v>
      </c>
      <c r="K1707" s="27">
        <v>50</v>
      </c>
      <c r="L1707" s="27">
        <v>50</v>
      </c>
      <c r="M1707" s="9">
        <v>0</v>
      </c>
      <c r="N1707" s="12">
        <v>26.635999999999999</v>
      </c>
      <c r="O1707" s="11">
        <v>34.153457302245251</v>
      </c>
      <c r="P1707" s="31">
        <v>1.3910117647064624E-4</v>
      </c>
      <c r="Q1707" s="31">
        <v>-0.14469931647058765</v>
      </c>
      <c r="R1707" s="1" t="s">
        <v>441</v>
      </c>
      <c r="T1707" s="71" t="s">
        <v>626</v>
      </c>
    </row>
    <row r="1708" spans="1:20" ht="12.75" customHeight="1">
      <c r="A1708" s="1" t="s">
        <v>439</v>
      </c>
      <c r="B1708" s="1" t="s">
        <v>446</v>
      </c>
      <c r="C1708" s="1" t="s">
        <v>505</v>
      </c>
      <c r="D1708" s="5">
        <v>43362.367164351854</v>
      </c>
      <c r="E1708" s="1">
        <v>2018</v>
      </c>
      <c r="F1708" s="1">
        <v>9</v>
      </c>
      <c r="G1708" s="4">
        <v>19</v>
      </c>
      <c r="H1708" s="8">
        <v>43362.742164351854</v>
      </c>
      <c r="I1708" s="11">
        <v>129.64400000000001</v>
      </c>
      <c r="J1708" s="11">
        <v>32.167000000000002</v>
      </c>
      <c r="K1708" s="27">
        <v>0</v>
      </c>
      <c r="L1708" s="27">
        <v>0</v>
      </c>
      <c r="M1708" s="27">
        <v>0</v>
      </c>
      <c r="N1708" s="32">
        <v>27.3</v>
      </c>
      <c r="O1708" s="11">
        <v>33.717323872737737</v>
      </c>
      <c r="P1708" s="31">
        <v>-0.1107603717647061</v>
      </c>
      <c r="Q1708" s="31">
        <v>-0.78358981529411942</v>
      </c>
      <c r="R1708" s="1" t="s">
        <v>441</v>
      </c>
      <c r="T1708" s="71" t="s">
        <v>626</v>
      </c>
    </row>
    <row r="1709" spans="1:20" ht="12.75" customHeight="1">
      <c r="A1709" s="1" t="s">
        <v>439</v>
      </c>
      <c r="B1709" s="1" t="s">
        <v>446</v>
      </c>
      <c r="C1709" s="1" t="s">
        <v>505</v>
      </c>
      <c r="D1709" s="5">
        <v>43362.367164351854</v>
      </c>
      <c r="E1709" s="1">
        <v>2018</v>
      </c>
      <c r="F1709" s="1">
        <v>9</v>
      </c>
      <c r="G1709" s="4">
        <v>19</v>
      </c>
      <c r="H1709" s="8">
        <v>43362.742164351854</v>
      </c>
      <c r="I1709" s="11">
        <v>129.64400000000001</v>
      </c>
      <c r="J1709" s="11">
        <v>32.167000000000002</v>
      </c>
      <c r="K1709" s="27">
        <v>20</v>
      </c>
      <c r="L1709" s="27">
        <v>20</v>
      </c>
      <c r="M1709" s="9">
        <v>0</v>
      </c>
      <c r="N1709" s="12">
        <v>27.164000000000001</v>
      </c>
      <c r="O1709" s="11">
        <v>33.893183660259318</v>
      </c>
      <c r="P1709" s="31">
        <v>4.5628352941169403E-3</v>
      </c>
      <c r="Q1709" s="31">
        <v>-0.38470549411764665</v>
      </c>
      <c r="R1709" s="1" t="s">
        <v>441</v>
      </c>
      <c r="T1709" s="71" t="s">
        <v>626</v>
      </c>
    </row>
    <row r="1710" spans="1:20" ht="12.75" customHeight="1">
      <c r="A1710" s="1" t="s">
        <v>439</v>
      </c>
      <c r="B1710" s="1" t="s">
        <v>446</v>
      </c>
      <c r="C1710" s="1" t="s">
        <v>505</v>
      </c>
      <c r="D1710" s="5">
        <v>43362.367164351854</v>
      </c>
      <c r="E1710" s="1">
        <v>2018</v>
      </c>
      <c r="F1710" s="1">
        <v>9</v>
      </c>
      <c r="G1710" s="4">
        <v>19</v>
      </c>
      <c r="H1710" s="8">
        <v>43362.742164351854</v>
      </c>
      <c r="I1710" s="11">
        <v>129.64400000000001</v>
      </c>
      <c r="J1710" s="11">
        <v>32.167000000000002</v>
      </c>
      <c r="K1710" s="27">
        <v>50</v>
      </c>
      <c r="L1710" s="27">
        <v>50</v>
      </c>
      <c r="M1710" s="9">
        <v>0</v>
      </c>
      <c r="N1710" s="12">
        <v>24.841999999999999</v>
      </c>
      <c r="O1710" s="11">
        <v>33.998880914657782</v>
      </c>
      <c r="P1710" s="31">
        <v>3.4447764705882733E-3</v>
      </c>
      <c r="Q1710" s="31">
        <v>-0.25476552941176323</v>
      </c>
      <c r="R1710" s="1" t="s">
        <v>441</v>
      </c>
      <c r="T1710" s="71" t="s">
        <v>626</v>
      </c>
    </row>
    <row r="1711" spans="1:20" ht="12.75" customHeight="1">
      <c r="A1711" s="1" t="s">
        <v>439</v>
      </c>
      <c r="B1711" s="1" t="s">
        <v>447</v>
      </c>
      <c r="C1711" s="1" t="s">
        <v>505</v>
      </c>
      <c r="D1711" s="5">
        <v>43362.502546296295</v>
      </c>
      <c r="E1711" s="1">
        <v>2018</v>
      </c>
      <c r="F1711" s="1">
        <v>9</v>
      </c>
      <c r="G1711" s="4">
        <v>19</v>
      </c>
      <c r="H1711" s="8">
        <v>43362.877546296295</v>
      </c>
      <c r="I1711" s="11">
        <v>129.583</v>
      </c>
      <c r="J1711" s="11">
        <v>32.040999999999997</v>
      </c>
      <c r="K1711" s="27">
        <v>0</v>
      </c>
      <c r="L1711" s="27">
        <v>0</v>
      </c>
      <c r="M1711" s="27">
        <v>0</v>
      </c>
      <c r="N1711" s="32">
        <v>27.6</v>
      </c>
      <c r="O1711" s="11">
        <v>33.960556592145743</v>
      </c>
      <c r="P1711" s="31">
        <v>-6.7584388235294224E-2</v>
      </c>
      <c r="Q1711" s="31">
        <v>-0.54976723529411764</v>
      </c>
      <c r="R1711" s="1" t="s">
        <v>441</v>
      </c>
      <c r="T1711" s="71" t="s">
        <v>626</v>
      </c>
    </row>
    <row r="1712" spans="1:20" ht="12.75" customHeight="1">
      <c r="A1712" s="1" t="s">
        <v>439</v>
      </c>
      <c r="B1712" s="1" t="s">
        <v>447</v>
      </c>
      <c r="C1712" s="1" t="s">
        <v>505</v>
      </c>
      <c r="D1712" s="5">
        <v>43362.502546296295</v>
      </c>
      <c r="E1712" s="1">
        <v>2018</v>
      </c>
      <c r="F1712" s="1">
        <v>9</v>
      </c>
      <c r="G1712" s="4">
        <v>19</v>
      </c>
      <c r="H1712" s="8">
        <v>43362.877546296295</v>
      </c>
      <c r="I1712" s="11">
        <v>129.583</v>
      </c>
      <c r="J1712" s="11">
        <v>32.040999999999997</v>
      </c>
      <c r="K1712" s="27">
        <v>20</v>
      </c>
      <c r="L1712" s="27">
        <v>20</v>
      </c>
      <c r="M1712" s="9">
        <v>0</v>
      </c>
      <c r="N1712" s="12">
        <v>27.632999999999999</v>
      </c>
      <c r="O1712" s="11">
        <v>34.013841257908702</v>
      </c>
      <c r="P1712" s="31">
        <v>-3.6867452941176548E-2</v>
      </c>
      <c r="Q1712" s="31">
        <v>-0.41865794117646971</v>
      </c>
      <c r="R1712" s="1" t="s">
        <v>441</v>
      </c>
      <c r="T1712" s="71" t="s">
        <v>626</v>
      </c>
    </row>
    <row r="1713" spans="1:20" ht="12.75" customHeight="1">
      <c r="A1713" s="1" t="s">
        <v>439</v>
      </c>
      <c r="B1713" s="1" t="s">
        <v>447</v>
      </c>
      <c r="C1713" s="1" t="s">
        <v>505</v>
      </c>
      <c r="D1713" s="5">
        <v>43362.502546296295</v>
      </c>
      <c r="E1713" s="1">
        <v>2018</v>
      </c>
      <c r="F1713" s="1">
        <v>9</v>
      </c>
      <c r="G1713" s="4">
        <v>19</v>
      </c>
      <c r="H1713" s="8">
        <v>43362.877546296295</v>
      </c>
      <c r="I1713" s="11">
        <v>129.583</v>
      </c>
      <c r="J1713" s="11">
        <v>32.040999999999997</v>
      </c>
      <c r="K1713" s="27">
        <v>50</v>
      </c>
      <c r="L1713" s="27">
        <v>50</v>
      </c>
      <c r="M1713" s="9">
        <v>0</v>
      </c>
      <c r="N1713" s="12">
        <v>25.030999999999999</v>
      </c>
      <c r="O1713" s="11">
        <v>34.072234072480782</v>
      </c>
      <c r="P1713" s="31">
        <v>-1.9404017647059124E-2</v>
      </c>
      <c r="Q1713" s="31">
        <v>-2.3568647058821668E-2</v>
      </c>
      <c r="R1713" s="1" t="s">
        <v>441</v>
      </c>
      <c r="T1713" s="71" t="s">
        <v>626</v>
      </c>
    </row>
    <row r="1714" spans="1:20" ht="12.75" customHeight="1">
      <c r="A1714" s="1" t="s">
        <v>448</v>
      </c>
      <c r="B1714" s="1">
        <v>1</v>
      </c>
      <c r="C1714" s="1" t="s">
        <v>505</v>
      </c>
      <c r="D1714" s="5">
        <v>43442</v>
      </c>
      <c r="E1714" s="1">
        <v>2018</v>
      </c>
      <c r="F1714" s="1">
        <v>12</v>
      </c>
      <c r="G1714" s="4">
        <v>8</v>
      </c>
      <c r="H1714" s="8">
        <v>0.81278935185185175</v>
      </c>
      <c r="I1714" s="11">
        <v>129.74566666666666</v>
      </c>
      <c r="J1714" s="11">
        <v>34.050833333333337</v>
      </c>
      <c r="K1714" s="9">
        <v>0</v>
      </c>
      <c r="L1714" s="9">
        <v>0</v>
      </c>
      <c r="M1714" s="27">
        <v>0</v>
      </c>
      <c r="N1714" s="12">
        <v>19.899999999999999</v>
      </c>
      <c r="O1714" s="11">
        <v>34.268224002414009</v>
      </c>
      <c r="P1714" s="31">
        <v>0.12305011764705887</v>
      </c>
      <c r="Q1714" s="31">
        <v>0.51217864705882477</v>
      </c>
      <c r="R1714" s="1" t="s">
        <v>441</v>
      </c>
      <c r="T1714" s="71" t="s">
        <v>626</v>
      </c>
    </row>
    <row r="1715" spans="1:20" ht="12.75" customHeight="1">
      <c r="A1715" s="1" t="s">
        <v>448</v>
      </c>
      <c r="B1715" s="1">
        <v>2</v>
      </c>
      <c r="C1715" s="1" t="s">
        <v>505</v>
      </c>
      <c r="D1715" s="5">
        <v>43442</v>
      </c>
      <c r="E1715" s="1">
        <v>2018</v>
      </c>
      <c r="F1715" s="1">
        <v>12</v>
      </c>
      <c r="G1715" s="4">
        <v>8</v>
      </c>
      <c r="H1715" s="8">
        <v>0.70833333333333337</v>
      </c>
      <c r="I1715" s="11">
        <v>129.75049999999999</v>
      </c>
      <c r="J1715" s="11">
        <v>34.217333333333336</v>
      </c>
      <c r="K1715" s="9">
        <v>0</v>
      </c>
      <c r="L1715" s="9">
        <v>0</v>
      </c>
      <c r="M1715" s="27">
        <v>0</v>
      </c>
      <c r="N1715" s="12">
        <v>19.899999999999999</v>
      </c>
      <c r="O1715" s="11">
        <v>34.300138961191067</v>
      </c>
      <c r="P1715" s="31">
        <v>9.1169752941176352E-2</v>
      </c>
      <c r="Q1715" s="31">
        <v>0.58024794117647005</v>
      </c>
      <c r="R1715" s="1" t="s">
        <v>441</v>
      </c>
      <c r="T1715" s="71" t="s">
        <v>626</v>
      </c>
    </row>
    <row r="1716" spans="1:20" ht="12.75" customHeight="1">
      <c r="A1716" s="1" t="s">
        <v>448</v>
      </c>
      <c r="B1716" s="1">
        <v>3</v>
      </c>
      <c r="C1716" s="1" t="s">
        <v>505</v>
      </c>
      <c r="D1716" s="5">
        <v>43443</v>
      </c>
      <c r="E1716" s="1">
        <v>2018</v>
      </c>
      <c r="F1716" s="1">
        <v>12</v>
      </c>
      <c r="G1716" s="4">
        <v>9</v>
      </c>
      <c r="H1716" s="8">
        <v>0.80208333333333337</v>
      </c>
      <c r="I1716" s="11">
        <v>130.24883333333332</v>
      </c>
      <c r="J1716" s="11">
        <v>34.214666666666666</v>
      </c>
      <c r="K1716" s="9">
        <v>0</v>
      </c>
      <c r="L1716" s="9">
        <v>0</v>
      </c>
      <c r="M1716" s="27">
        <v>0</v>
      </c>
      <c r="N1716" s="12">
        <v>19.5</v>
      </c>
      <c r="O1716" s="11">
        <v>34.278589967775488</v>
      </c>
      <c r="P1716" s="31">
        <v>9.5583588235294226E-2</v>
      </c>
      <c r="Q1716" s="31">
        <v>0.55710623529411585</v>
      </c>
      <c r="R1716" s="1" t="s">
        <v>441</v>
      </c>
      <c r="T1716" s="71" t="s">
        <v>626</v>
      </c>
    </row>
    <row r="1717" spans="1:20" ht="12.75" customHeight="1">
      <c r="A1717" s="1" t="s">
        <v>448</v>
      </c>
      <c r="B1717" s="1">
        <v>4</v>
      </c>
      <c r="C1717" s="1" t="s">
        <v>505</v>
      </c>
      <c r="D1717" s="5">
        <v>43443</v>
      </c>
      <c r="E1717" s="1">
        <v>2018</v>
      </c>
      <c r="F1717" s="1">
        <v>12</v>
      </c>
      <c r="G1717" s="4">
        <v>9</v>
      </c>
      <c r="H1717" s="8">
        <v>0.70694444444444438</v>
      </c>
      <c r="I1717" s="11">
        <v>130.31200000000001</v>
      </c>
      <c r="J1717" s="11">
        <v>34.332999999999998</v>
      </c>
      <c r="K1717" s="9">
        <v>0</v>
      </c>
      <c r="L1717" s="9">
        <v>0</v>
      </c>
      <c r="M1717" s="27">
        <v>0</v>
      </c>
      <c r="N1717" s="12">
        <v>19.3</v>
      </c>
      <c r="O1717" s="11">
        <v>34.303324343739746</v>
      </c>
      <c r="P1717" s="31">
        <v>0.10467512941176471</v>
      </c>
      <c r="Q1717" s="31">
        <v>0.26576641176470694</v>
      </c>
      <c r="R1717" s="1" t="s">
        <v>441</v>
      </c>
      <c r="T1717" s="71" t="s">
        <v>626</v>
      </c>
    </row>
    <row r="1718" spans="1:20" ht="12.75" customHeight="1">
      <c r="A1718" s="1" t="s">
        <v>448</v>
      </c>
      <c r="B1718" s="1" t="s">
        <v>440</v>
      </c>
      <c r="C1718" s="1" t="s">
        <v>505</v>
      </c>
      <c r="D1718" s="5">
        <v>43442</v>
      </c>
      <c r="E1718" s="1">
        <v>2018</v>
      </c>
      <c r="F1718" s="1">
        <v>12</v>
      </c>
      <c r="G1718" s="4">
        <v>8</v>
      </c>
      <c r="H1718" s="8">
        <v>0.64236111111111105</v>
      </c>
      <c r="I1718" s="11">
        <v>129.98983333333334</v>
      </c>
      <c r="J1718" s="11">
        <v>34.166666666666664</v>
      </c>
      <c r="K1718" s="9">
        <v>0</v>
      </c>
      <c r="L1718" s="9">
        <v>0</v>
      </c>
      <c r="M1718" s="27">
        <v>0</v>
      </c>
      <c r="N1718" s="12">
        <v>19.600000000000001</v>
      </c>
      <c r="O1718" s="11">
        <v>34.251891797506978</v>
      </c>
      <c r="P1718" s="31">
        <v>7.4477555294117703E-2</v>
      </c>
      <c r="Q1718" s="31">
        <v>0.20764475176470754</v>
      </c>
      <c r="R1718" s="1" t="s">
        <v>441</v>
      </c>
      <c r="T1718" s="71" t="s">
        <v>626</v>
      </c>
    </row>
    <row r="1719" spans="1:20" ht="12.75" customHeight="1">
      <c r="A1719" s="1" t="s">
        <v>448</v>
      </c>
      <c r="B1719" s="1" t="s">
        <v>442</v>
      </c>
      <c r="C1719" s="1" t="s">
        <v>505</v>
      </c>
      <c r="D1719" s="5">
        <v>43443</v>
      </c>
      <c r="E1719" s="1">
        <v>2018</v>
      </c>
      <c r="F1719" s="1">
        <v>12</v>
      </c>
      <c r="G1719" s="4">
        <v>9</v>
      </c>
      <c r="H1719" s="8">
        <v>0.62922453703703707</v>
      </c>
      <c r="I1719" s="11">
        <v>130.67699999999999</v>
      </c>
      <c r="J1719" s="11">
        <v>34.334000000000003</v>
      </c>
      <c r="K1719" s="9">
        <v>0</v>
      </c>
      <c r="L1719" s="9">
        <v>0</v>
      </c>
      <c r="M1719" s="27">
        <v>0</v>
      </c>
      <c r="N1719" s="12">
        <v>18.899999999999999</v>
      </c>
      <c r="O1719" s="11">
        <v>34.268544607357349</v>
      </c>
      <c r="P1719" s="31">
        <v>-4.8128223529411152E-3</v>
      </c>
      <c r="Q1719" s="31">
        <v>0.31904898588235397</v>
      </c>
      <c r="R1719" s="1" t="s">
        <v>441</v>
      </c>
      <c r="T1719" s="71" t="s">
        <v>626</v>
      </c>
    </row>
    <row r="1720" spans="1:20" ht="12.75" customHeight="1">
      <c r="A1720" s="1" t="s">
        <v>474</v>
      </c>
      <c r="B1720" s="1">
        <v>80</v>
      </c>
      <c r="C1720" s="1" t="s">
        <v>505</v>
      </c>
      <c r="D1720" s="5">
        <v>43584</v>
      </c>
      <c r="E1720" s="1">
        <f t="shared" ref="E1720:E1740" si="101">YEAR(D1720)</f>
        <v>2019</v>
      </c>
      <c r="F1720" s="1">
        <f t="shared" ref="F1720:F1740" si="102">MONTH(D1720)</f>
        <v>4</v>
      </c>
      <c r="G1720" s="4">
        <f t="shared" ref="G1720:G1740" si="103">DAY(D1720)</f>
        <v>29</v>
      </c>
      <c r="H1720" s="8">
        <v>0.22847222222222222</v>
      </c>
      <c r="I1720" s="11">
        <v>127.809</v>
      </c>
      <c r="J1720" s="11">
        <v>32.750999999999998</v>
      </c>
      <c r="K1720" s="9">
        <v>5</v>
      </c>
      <c r="L1720" s="9">
        <v>5</v>
      </c>
      <c r="M1720" s="9">
        <v>0</v>
      </c>
      <c r="N1720" s="12">
        <v>18.445285714285699</v>
      </c>
      <c r="O1720" s="11">
        <v>34.591142857142799</v>
      </c>
      <c r="P1720" s="33">
        <v>0.30330621411764724</v>
      </c>
      <c r="Q1720" s="33">
        <v>1.6972730470588235</v>
      </c>
      <c r="R1720" s="1" t="s">
        <v>280</v>
      </c>
      <c r="T1720" s="71" t="s">
        <v>626</v>
      </c>
    </row>
    <row r="1721" spans="1:20" ht="12.75" customHeight="1">
      <c r="A1721" s="1" t="s">
        <v>474</v>
      </c>
      <c r="B1721" s="1">
        <v>81</v>
      </c>
      <c r="C1721" s="1" t="s">
        <v>505</v>
      </c>
      <c r="D1721" s="5">
        <v>43584</v>
      </c>
      <c r="E1721" s="1">
        <f t="shared" si="101"/>
        <v>2019</v>
      </c>
      <c r="F1721" s="1">
        <f t="shared" si="102"/>
        <v>4</v>
      </c>
      <c r="G1721" s="4">
        <f t="shared" si="103"/>
        <v>29</v>
      </c>
      <c r="H1721" s="8">
        <v>6.805555555555555E-2</v>
      </c>
      <c r="I1721" s="11">
        <v>128.373666666666</v>
      </c>
      <c r="J1721" s="11">
        <v>32.717333333333301</v>
      </c>
      <c r="K1721" s="9">
        <v>5</v>
      </c>
      <c r="L1721" s="9">
        <v>5</v>
      </c>
      <c r="M1721" s="9">
        <v>0</v>
      </c>
      <c r="N1721" s="12">
        <v>17.527666666666601</v>
      </c>
      <c r="O1721" s="11">
        <v>34.623333333333299</v>
      </c>
      <c r="P1721" s="33">
        <v>0.2403703670588242</v>
      </c>
      <c r="Q1721" s="33">
        <v>1.4994696235294107</v>
      </c>
      <c r="R1721" s="1" t="s">
        <v>280</v>
      </c>
      <c r="T1721" s="71" t="s">
        <v>626</v>
      </c>
    </row>
    <row r="1722" spans="1:20" ht="12.75" customHeight="1">
      <c r="A1722" s="1" t="s">
        <v>474</v>
      </c>
      <c r="B1722" s="1">
        <v>82</v>
      </c>
      <c r="C1722" s="1" t="s">
        <v>505</v>
      </c>
      <c r="D1722" s="5">
        <v>43584</v>
      </c>
      <c r="E1722" s="1">
        <f t="shared" si="101"/>
        <v>2019</v>
      </c>
      <c r="F1722" s="1">
        <f t="shared" si="102"/>
        <v>4</v>
      </c>
      <c r="G1722" s="4">
        <f t="shared" si="103"/>
        <v>29</v>
      </c>
      <c r="H1722" s="8">
        <v>0.47152777777777777</v>
      </c>
      <c r="I1722" s="11">
        <v>128.25200000000001</v>
      </c>
      <c r="J1722" s="11">
        <v>33.253</v>
      </c>
      <c r="K1722" s="9">
        <v>0</v>
      </c>
      <c r="L1722" s="9">
        <v>0</v>
      </c>
      <c r="M1722" s="27">
        <v>0</v>
      </c>
      <c r="N1722" s="32">
        <v>17.800999999999998</v>
      </c>
      <c r="O1722" s="11">
        <v>34.599999999999994</v>
      </c>
      <c r="P1722" s="33">
        <v>0.19795052000000046</v>
      </c>
      <c r="Q1722" s="33">
        <v>1.4965972000000001</v>
      </c>
      <c r="R1722" s="1" t="s">
        <v>280</v>
      </c>
      <c r="T1722" s="71" t="s">
        <v>626</v>
      </c>
    </row>
    <row r="1723" spans="1:20" ht="12.75" customHeight="1">
      <c r="A1723" s="1" t="s">
        <v>474</v>
      </c>
      <c r="B1723" s="1">
        <v>83</v>
      </c>
      <c r="C1723" s="1" t="s">
        <v>505</v>
      </c>
      <c r="D1723" s="5">
        <v>43584</v>
      </c>
      <c r="E1723" s="1">
        <f t="shared" si="101"/>
        <v>2019</v>
      </c>
      <c r="F1723" s="1">
        <f t="shared" si="102"/>
        <v>4</v>
      </c>
      <c r="G1723" s="4">
        <f t="shared" si="103"/>
        <v>29</v>
      </c>
      <c r="H1723" s="8">
        <v>0.64374999999999993</v>
      </c>
      <c r="I1723" s="11">
        <v>128.77833333333299</v>
      </c>
      <c r="J1723" s="11">
        <v>33.247999999999998</v>
      </c>
      <c r="K1723" s="9">
        <v>5</v>
      </c>
      <c r="L1723" s="9">
        <v>5</v>
      </c>
      <c r="M1723" s="9">
        <v>0</v>
      </c>
      <c r="N1723" s="12">
        <v>17.090999999999998</v>
      </c>
      <c r="O1723" s="11">
        <v>34.4553333333333</v>
      </c>
      <c r="P1723" s="33">
        <v>0.16640415294117661</v>
      </c>
      <c r="Q1723" s="33">
        <v>1.1649017764705878</v>
      </c>
      <c r="R1723" s="1" t="s">
        <v>280</v>
      </c>
      <c r="T1723" s="71" t="s">
        <v>626</v>
      </c>
    </row>
    <row r="1724" spans="1:20" ht="12.75" customHeight="1">
      <c r="A1724" s="1" t="s">
        <v>474</v>
      </c>
      <c r="B1724" s="1">
        <v>84</v>
      </c>
      <c r="C1724" s="1" t="s">
        <v>505</v>
      </c>
      <c r="D1724" s="5">
        <v>43584</v>
      </c>
      <c r="E1724" s="1">
        <f t="shared" si="101"/>
        <v>2019</v>
      </c>
      <c r="F1724" s="1">
        <f t="shared" si="102"/>
        <v>4</v>
      </c>
      <c r="G1724" s="4">
        <f t="shared" si="103"/>
        <v>29</v>
      </c>
      <c r="H1724" s="8">
        <v>0.89097222222222217</v>
      </c>
      <c r="I1724" s="11">
        <v>128.943166666666</v>
      </c>
      <c r="J1724" s="11">
        <v>33.750999999999998</v>
      </c>
      <c r="K1724" s="9">
        <v>5</v>
      </c>
      <c r="L1724" s="9">
        <v>5</v>
      </c>
      <c r="M1724" s="9">
        <v>0</v>
      </c>
      <c r="N1724" s="12">
        <v>17.675999999999998</v>
      </c>
      <c r="O1724" s="11">
        <v>34.535999999999994</v>
      </c>
      <c r="P1724" s="33">
        <v>0.2140495458823537</v>
      </c>
      <c r="Q1724" s="33">
        <v>1.3311664529411757</v>
      </c>
      <c r="R1724" s="1" t="s">
        <v>280</v>
      </c>
      <c r="T1724" s="71" t="s">
        <v>626</v>
      </c>
    </row>
    <row r="1725" spans="1:20" ht="12.75" customHeight="1">
      <c r="A1725" s="1" t="s">
        <v>474</v>
      </c>
      <c r="B1725" s="1">
        <v>85</v>
      </c>
      <c r="C1725" s="1" t="s">
        <v>505</v>
      </c>
      <c r="D1725" s="5">
        <v>43584</v>
      </c>
      <c r="E1725" s="1">
        <f t="shared" si="101"/>
        <v>2019</v>
      </c>
      <c r="F1725" s="1">
        <f t="shared" si="102"/>
        <v>4</v>
      </c>
      <c r="G1725" s="4">
        <f t="shared" si="103"/>
        <v>29</v>
      </c>
      <c r="H1725" s="8">
        <v>0.93333333333333324</v>
      </c>
      <c r="I1725" s="11">
        <v>129.189666666666</v>
      </c>
      <c r="J1725" s="11">
        <v>33.744</v>
      </c>
      <c r="K1725" s="9">
        <v>5</v>
      </c>
      <c r="L1725" s="9">
        <v>5</v>
      </c>
      <c r="M1725" s="9">
        <v>0</v>
      </c>
      <c r="N1725" s="12">
        <v>17.431000000000001</v>
      </c>
      <c r="O1725" s="11">
        <v>34.467666666666595</v>
      </c>
      <c r="P1725" s="33">
        <v>0.17388645882352938</v>
      </c>
      <c r="Q1725" s="33">
        <v>1.1753027294117633</v>
      </c>
      <c r="R1725" s="1" t="s">
        <v>280</v>
      </c>
      <c r="T1725" s="71" t="s">
        <v>626</v>
      </c>
    </row>
    <row r="1726" spans="1:20" ht="12.75" customHeight="1">
      <c r="A1726" s="1" t="s">
        <v>474</v>
      </c>
      <c r="B1726" s="1">
        <v>86</v>
      </c>
      <c r="C1726" s="1" t="s">
        <v>505</v>
      </c>
      <c r="D1726" s="5">
        <v>43585</v>
      </c>
      <c r="E1726" s="1">
        <f t="shared" si="101"/>
        <v>2019</v>
      </c>
      <c r="F1726" s="1">
        <f t="shared" si="102"/>
        <v>4</v>
      </c>
      <c r="G1726" s="4">
        <f t="shared" si="103"/>
        <v>30</v>
      </c>
      <c r="H1726" s="8">
        <v>0.19166666666666665</v>
      </c>
      <c r="I1726" s="11">
        <v>129.656833333333</v>
      </c>
      <c r="J1726" s="11">
        <v>34.317500000000003</v>
      </c>
      <c r="K1726" s="9">
        <v>5</v>
      </c>
      <c r="L1726" s="9">
        <v>5</v>
      </c>
      <c r="M1726" s="9">
        <v>0</v>
      </c>
      <c r="N1726" s="12">
        <v>17.335999999999999</v>
      </c>
      <c r="O1726" s="11">
        <v>34.5296666666666</v>
      </c>
      <c r="P1726" s="33">
        <v>0.19055269176470624</v>
      </c>
      <c r="Q1726" s="33">
        <v>1.2899796058823512</v>
      </c>
      <c r="R1726" s="1" t="s">
        <v>280</v>
      </c>
      <c r="T1726" s="71" t="s">
        <v>626</v>
      </c>
    </row>
    <row r="1727" spans="1:20" ht="12.75" customHeight="1">
      <c r="A1727" s="1" t="s">
        <v>474</v>
      </c>
      <c r="B1727" s="1">
        <v>87</v>
      </c>
      <c r="C1727" s="1" t="s">
        <v>505</v>
      </c>
      <c r="D1727" s="5">
        <v>43585</v>
      </c>
      <c r="E1727" s="1">
        <f t="shared" si="101"/>
        <v>2019</v>
      </c>
      <c r="F1727" s="1">
        <f t="shared" si="102"/>
        <v>4</v>
      </c>
      <c r="G1727" s="4">
        <f t="shared" si="103"/>
        <v>30</v>
      </c>
      <c r="H1727" s="8">
        <v>0.40416666666666662</v>
      </c>
      <c r="I1727" s="11">
        <v>129.67099999999999</v>
      </c>
      <c r="J1727" s="11">
        <v>34.869333333333302</v>
      </c>
      <c r="K1727" s="9">
        <v>5</v>
      </c>
      <c r="L1727" s="9">
        <v>5</v>
      </c>
      <c r="M1727" s="9">
        <v>0</v>
      </c>
      <c r="N1727" s="12">
        <v>16.681000000000001</v>
      </c>
      <c r="O1727" s="11">
        <v>34.5268333333333</v>
      </c>
      <c r="P1727" s="33">
        <v>0.21337372470588223</v>
      </c>
      <c r="Q1727" s="33">
        <v>1.2065750823529413</v>
      </c>
      <c r="R1727" s="1" t="s">
        <v>280</v>
      </c>
      <c r="T1727" s="71" t="s">
        <v>626</v>
      </c>
    </row>
    <row r="1728" spans="1:20" ht="12.75" customHeight="1">
      <c r="A1728" s="1" t="s">
        <v>474</v>
      </c>
      <c r="B1728" s="1">
        <v>88</v>
      </c>
      <c r="C1728" s="1" t="s">
        <v>505</v>
      </c>
      <c r="D1728" s="5">
        <v>43585</v>
      </c>
      <c r="E1728" s="1">
        <f t="shared" si="101"/>
        <v>2019</v>
      </c>
      <c r="F1728" s="1">
        <f t="shared" si="102"/>
        <v>4</v>
      </c>
      <c r="G1728" s="4">
        <f t="shared" si="103"/>
        <v>30</v>
      </c>
      <c r="H1728" s="8">
        <v>0.41805555555555557</v>
      </c>
      <c r="I1728" s="11">
        <v>129.66800000000001</v>
      </c>
      <c r="J1728" s="11">
        <v>34.9345</v>
      </c>
      <c r="K1728" s="9">
        <v>5</v>
      </c>
      <c r="L1728" s="9">
        <v>5</v>
      </c>
      <c r="M1728" s="9">
        <v>0</v>
      </c>
      <c r="N1728" s="12">
        <v>16.697666666666599</v>
      </c>
      <c r="O1728" s="11">
        <v>34.524666666666597</v>
      </c>
      <c r="P1728" s="33">
        <v>0.20884846588235284</v>
      </c>
      <c r="Q1728" s="33">
        <v>1.3803406564705885</v>
      </c>
      <c r="R1728" s="1" t="s">
        <v>280</v>
      </c>
      <c r="T1728" s="71" t="s">
        <v>626</v>
      </c>
    </row>
    <row r="1729" spans="1:20" ht="12.75" customHeight="1">
      <c r="A1729" s="1" t="s">
        <v>474</v>
      </c>
      <c r="B1729" s="1">
        <v>89</v>
      </c>
      <c r="C1729" s="1" t="s">
        <v>505</v>
      </c>
      <c r="D1729" s="5">
        <v>43585</v>
      </c>
      <c r="E1729" s="1">
        <f t="shared" si="101"/>
        <v>2019</v>
      </c>
      <c r="F1729" s="1">
        <f t="shared" si="102"/>
        <v>4</v>
      </c>
      <c r="G1729" s="4">
        <f t="shared" si="103"/>
        <v>30</v>
      </c>
      <c r="H1729" s="8">
        <v>0.59444444444444444</v>
      </c>
      <c r="I1729" s="11">
        <v>130.24799999999999</v>
      </c>
      <c r="J1729" s="11">
        <v>34.979999999999997</v>
      </c>
      <c r="K1729" s="9">
        <v>0</v>
      </c>
      <c r="L1729" s="9">
        <v>0</v>
      </c>
      <c r="M1729" s="27">
        <v>0</v>
      </c>
      <c r="N1729" s="32">
        <v>16.600000000000001</v>
      </c>
      <c r="O1729" s="11">
        <v>34.542914050673659</v>
      </c>
      <c r="P1729" s="33">
        <v>0.16675190705882414</v>
      </c>
      <c r="Q1729" s="33">
        <v>1.2724782917647062</v>
      </c>
      <c r="R1729" s="1" t="s">
        <v>280</v>
      </c>
      <c r="S1729" s="1">
        <v>1</v>
      </c>
      <c r="T1729" s="71" t="s">
        <v>626</v>
      </c>
    </row>
    <row r="1730" spans="1:20" ht="12.75" customHeight="1">
      <c r="A1730" s="1" t="s">
        <v>474</v>
      </c>
      <c r="B1730" s="1">
        <v>89</v>
      </c>
      <c r="C1730" s="1" t="s">
        <v>505</v>
      </c>
      <c r="D1730" s="5">
        <v>43585</v>
      </c>
      <c r="E1730" s="1">
        <f t="shared" si="101"/>
        <v>2019</v>
      </c>
      <c r="F1730" s="1">
        <f t="shared" si="102"/>
        <v>4</v>
      </c>
      <c r="G1730" s="4">
        <f t="shared" si="103"/>
        <v>30</v>
      </c>
      <c r="H1730" s="8">
        <v>0.59444444444444444</v>
      </c>
      <c r="I1730" s="11">
        <v>130.24799999999999</v>
      </c>
      <c r="J1730" s="11">
        <v>34.979999999999997</v>
      </c>
      <c r="K1730" s="9">
        <v>9.9440000000000008</v>
      </c>
      <c r="L1730" s="9">
        <v>10</v>
      </c>
      <c r="M1730" s="9" t="s">
        <v>501</v>
      </c>
      <c r="N1730" s="12">
        <v>16.4907</v>
      </c>
      <c r="O1730" s="11">
        <v>34.531300000000002</v>
      </c>
      <c r="P1730" s="33">
        <v>0.18561358823529472</v>
      </c>
      <c r="Q1730" s="33">
        <v>1.3989059870588232</v>
      </c>
      <c r="R1730" s="1" t="s">
        <v>280</v>
      </c>
      <c r="S1730" s="1">
        <v>1</v>
      </c>
      <c r="T1730" s="71" t="s">
        <v>626</v>
      </c>
    </row>
    <row r="1731" spans="1:20" ht="12.75" customHeight="1">
      <c r="A1731" s="1" t="s">
        <v>474</v>
      </c>
      <c r="B1731" s="1">
        <v>89</v>
      </c>
      <c r="C1731" s="1" t="s">
        <v>505</v>
      </c>
      <c r="D1731" s="5">
        <v>43585</v>
      </c>
      <c r="E1731" s="1">
        <f t="shared" si="101"/>
        <v>2019</v>
      </c>
      <c r="F1731" s="1">
        <f t="shared" si="102"/>
        <v>4</v>
      </c>
      <c r="G1731" s="4">
        <f t="shared" si="103"/>
        <v>30</v>
      </c>
      <c r="H1731" s="8">
        <v>0.59444444444444444</v>
      </c>
      <c r="I1731" s="11">
        <v>130.24799999999999</v>
      </c>
      <c r="J1731" s="11">
        <v>34.979999999999997</v>
      </c>
      <c r="K1731" s="9">
        <v>19.584</v>
      </c>
      <c r="L1731" s="9">
        <v>20</v>
      </c>
      <c r="M1731" s="9" t="s">
        <v>501</v>
      </c>
      <c r="N1731" s="12">
        <v>16.394400000000001</v>
      </c>
      <c r="O1731" s="11">
        <v>34.515799999999999</v>
      </c>
      <c r="P1731" s="33">
        <v>0.19623766941176468</v>
      </c>
      <c r="Q1731" s="33">
        <v>1.2209737223529409</v>
      </c>
      <c r="R1731" s="1" t="s">
        <v>280</v>
      </c>
      <c r="S1731" s="1">
        <v>1</v>
      </c>
      <c r="T1731" s="71" t="s">
        <v>626</v>
      </c>
    </row>
    <row r="1732" spans="1:20" ht="12.75" customHeight="1">
      <c r="A1732" s="1" t="s">
        <v>474</v>
      </c>
      <c r="B1732" s="1">
        <v>89</v>
      </c>
      <c r="C1732" s="1" t="s">
        <v>505</v>
      </c>
      <c r="D1732" s="5">
        <v>43585</v>
      </c>
      <c r="E1732" s="1">
        <f t="shared" si="101"/>
        <v>2019</v>
      </c>
      <c r="F1732" s="1">
        <f t="shared" si="102"/>
        <v>4</v>
      </c>
      <c r="G1732" s="4">
        <f t="shared" si="103"/>
        <v>30</v>
      </c>
      <c r="H1732" s="8">
        <v>0.59444444444444444</v>
      </c>
      <c r="I1732" s="11">
        <v>130.24799999999999</v>
      </c>
      <c r="J1732" s="11">
        <v>34.979999999999997</v>
      </c>
      <c r="K1732" s="9">
        <v>29.765999999999998</v>
      </c>
      <c r="L1732" s="9">
        <v>30</v>
      </c>
      <c r="M1732" s="9" t="s">
        <v>501</v>
      </c>
      <c r="N1732" s="12">
        <v>16.182600000000001</v>
      </c>
      <c r="O1732" s="11">
        <v>34.482900000000001</v>
      </c>
      <c r="P1732" s="33">
        <v>0.19841821058823639</v>
      </c>
      <c r="Q1732" s="33">
        <v>1.2733839176470614</v>
      </c>
      <c r="R1732" s="1" t="s">
        <v>280</v>
      </c>
      <c r="S1732" s="1">
        <v>1</v>
      </c>
      <c r="T1732" s="71" t="s">
        <v>626</v>
      </c>
    </row>
    <row r="1733" spans="1:20" ht="12.75" customHeight="1">
      <c r="A1733" s="1" t="s">
        <v>474</v>
      </c>
      <c r="B1733" s="1">
        <v>89</v>
      </c>
      <c r="C1733" s="1" t="s">
        <v>505</v>
      </c>
      <c r="D1733" s="5">
        <v>43585</v>
      </c>
      <c r="E1733" s="1">
        <f t="shared" si="101"/>
        <v>2019</v>
      </c>
      <c r="F1733" s="1">
        <f t="shared" si="102"/>
        <v>4</v>
      </c>
      <c r="G1733" s="4">
        <f t="shared" si="103"/>
        <v>30</v>
      </c>
      <c r="H1733" s="8">
        <v>0.59444444444444444</v>
      </c>
      <c r="I1733" s="11">
        <v>130.24799999999999</v>
      </c>
      <c r="J1733" s="11">
        <v>34.979999999999997</v>
      </c>
      <c r="K1733" s="9">
        <v>49.737000000000002</v>
      </c>
      <c r="L1733" s="9">
        <v>50</v>
      </c>
      <c r="M1733" s="9" t="s">
        <v>501</v>
      </c>
      <c r="N1733" s="12">
        <v>15.5487</v>
      </c>
      <c r="O1733" s="11">
        <v>34.577500000000001</v>
      </c>
      <c r="P1733" s="33">
        <v>0.20760071176470607</v>
      </c>
      <c r="Q1733" s="33">
        <v>1.2845416929411773</v>
      </c>
      <c r="R1733" s="1" t="s">
        <v>280</v>
      </c>
      <c r="S1733" s="1">
        <v>1</v>
      </c>
      <c r="T1733" s="71" t="s">
        <v>626</v>
      </c>
    </row>
    <row r="1734" spans="1:20" ht="12.75" customHeight="1">
      <c r="A1734" s="1" t="s">
        <v>474</v>
      </c>
      <c r="B1734" s="1">
        <v>89</v>
      </c>
      <c r="C1734" s="1" t="s">
        <v>505</v>
      </c>
      <c r="D1734" s="5">
        <v>43585</v>
      </c>
      <c r="E1734" s="1">
        <f t="shared" si="101"/>
        <v>2019</v>
      </c>
      <c r="F1734" s="1">
        <f t="shared" si="102"/>
        <v>4</v>
      </c>
      <c r="G1734" s="4">
        <f t="shared" si="103"/>
        <v>30</v>
      </c>
      <c r="H1734" s="8">
        <v>0.59444444444444444</v>
      </c>
      <c r="I1734" s="11">
        <v>130.24799999999999</v>
      </c>
      <c r="J1734" s="11">
        <v>34.979999999999997</v>
      </c>
      <c r="K1734" s="9">
        <v>74.161000000000001</v>
      </c>
      <c r="L1734" s="9">
        <v>75</v>
      </c>
      <c r="M1734" s="9" t="s">
        <v>501</v>
      </c>
      <c r="N1734" s="12">
        <v>15.355700000000001</v>
      </c>
      <c r="O1734" s="11">
        <v>34.564999999999998</v>
      </c>
      <c r="P1734" s="33">
        <v>0.22666833294117605</v>
      </c>
      <c r="Q1734" s="33">
        <v>1.3268855082352946</v>
      </c>
      <c r="R1734" s="1" t="s">
        <v>280</v>
      </c>
      <c r="S1734" s="1">
        <v>1</v>
      </c>
      <c r="T1734" s="71" t="s">
        <v>626</v>
      </c>
    </row>
    <row r="1735" spans="1:20" ht="12.75" customHeight="1">
      <c r="A1735" s="1" t="s">
        <v>474</v>
      </c>
      <c r="B1735" s="1">
        <v>89</v>
      </c>
      <c r="C1735" s="1" t="s">
        <v>505</v>
      </c>
      <c r="D1735" s="5">
        <v>43585</v>
      </c>
      <c r="E1735" s="1">
        <f t="shared" si="101"/>
        <v>2019</v>
      </c>
      <c r="F1735" s="1">
        <f t="shared" si="102"/>
        <v>4</v>
      </c>
      <c r="G1735" s="4">
        <f t="shared" si="103"/>
        <v>30</v>
      </c>
      <c r="H1735" s="8">
        <v>0.59444444444444444</v>
      </c>
      <c r="I1735" s="11">
        <v>130.24799999999999</v>
      </c>
      <c r="J1735" s="11">
        <v>34.979999999999997</v>
      </c>
      <c r="K1735" s="9">
        <v>99.72</v>
      </c>
      <c r="L1735" s="9">
        <v>100</v>
      </c>
      <c r="M1735" s="9" t="s">
        <v>501</v>
      </c>
      <c r="N1735" s="12">
        <v>14.3278</v>
      </c>
      <c r="O1735" s="11">
        <v>34.511099999999999</v>
      </c>
      <c r="P1735" s="33">
        <v>0.2096479976470591</v>
      </c>
      <c r="Q1735" s="33">
        <v>1.1478850694117657</v>
      </c>
      <c r="R1735" s="1" t="s">
        <v>280</v>
      </c>
      <c r="S1735" s="1">
        <v>1</v>
      </c>
      <c r="T1735" s="71" t="s">
        <v>626</v>
      </c>
    </row>
    <row r="1736" spans="1:20" ht="12.75" customHeight="1">
      <c r="A1736" s="1" t="s">
        <v>474</v>
      </c>
      <c r="B1736" s="1">
        <v>89</v>
      </c>
      <c r="C1736" s="1" t="s">
        <v>505</v>
      </c>
      <c r="D1736" s="5">
        <v>43585</v>
      </c>
      <c r="E1736" s="1">
        <f t="shared" si="101"/>
        <v>2019</v>
      </c>
      <c r="F1736" s="1">
        <f t="shared" si="102"/>
        <v>4</v>
      </c>
      <c r="G1736" s="4">
        <f t="shared" si="103"/>
        <v>30</v>
      </c>
      <c r="H1736" s="8">
        <v>0.59444444444444444</v>
      </c>
      <c r="I1736" s="11">
        <v>130.24799999999999</v>
      </c>
      <c r="J1736" s="11">
        <v>34.979999999999997</v>
      </c>
      <c r="K1736" s="9">
        <v>120.086</v>
      </c>
      <c r="L1736" s="9">
        <v>120</v>
      </c>
      <c r="M1736" s="9" t="s">
        <v>501</v>
      </c>
      <c r="N1736" s="12">
        <v>9.1610999999999994</v>
      </c>
      <c r="O1736" s="11">
        <v>34.2973</v>
      </c>
      <c r="P1736" s="33">
        <v>0.11483079882352909</v>
      </c>
      <c r="Q1736" s="33">
        <v>0.29234726470588335</v>
      </c>
      <c r="R1736" s="1" t="s">
        <v>280</v>
      </c>
      <c r="S1736" s="1">
        <v>1</v>
      </c>
      <c r="T1736" s="71" t="s">
        <v>626</v>
      </c>
    </row>
    <row r="1737" spans="1:20" ht="12.75" customHeight="1">
      <c r="A1737" s="1" t="s">
        <v>474</v>
      </c>
      <c r="B1737" s="1">
        <v>90</v>
      </c>
      <c r="C1737" s="1" t="s">
        <v>505</v>
      </c>
      <c r="D1737" s="5">
        <v>43585</v>
      </c>
      <c r="E1737" s="1">
        <f t="shared" si="101"/>
        <v>2019</v>
      </c>
      <c r="F1737" s="1">
        <f t="shared" si="102"/>
        <v>4</v>
      </c>
      <c r="G1737" s="4">
        <f t="shared" si="103"/>
        <v>30</v>
      </c>
      <c r="H1737" s="8">
        <v>0.70833333333333337</v>
      </c>
      <c r="I1737" s="11">
        <v>130.25</v>
      </c>
      <c r="J1737" s="11">
        <v>34.714666666666602</v>
      </c>
      <c r="K1737" s="9">
        <v>5</v>
      </c>
      <c r="L1737" s="9">
        <v>5</v>
      </c>
      <c r="M1737" s="9" t="s">
        <v>501</v>
      </c>
      <c r="N1737" s="12">
        <v>16.991</v>
      </c>
      <c r="O1737" s="11">
        <v>34.521999999999998</v>
      </c>
      <c r="P1737" s="33">
        <v>0.2208051000000002</v>
      </c>
      <c r="Q1737" s="33">
        <v>1.2931683599999992</v>
      </c>
      <c r="R1737" s="1" t="s">
        <v>280</v>
      </c>
      <c r="T1737" s="71" t="s">
        <v>626</v>
      </c>
    </row>
    <row r="1738" spans="1:20" ht="12.75" customHeight="1">
      <c r="A1738" s="1" t="s">
        <v>474</v>
      </c>
      <c r="B1738" s="1">
        <v>91</v>
      </c>
      <c r="C1738" s="1" t="s">
        <v>505</v>
      </c>
      <c r="D1738" s="5">
        <v>43585</v>
      </c>
      <c r="E1738" s="1">
        <f t="shared" si="101"/>
        <v>2019</v>
      </c>
      <c r="F1738" s="1">
        <f t="shared" si="102"/>
        <v>4</v>
      </c>
      <c r="G1738" s="4">
        <f t="shared" si="103"/>
        <v>30</v>
      </c>
      <c r="H1738" s="8">
        <v>0.83124999999999993</v>
      </c>
      <c r="I1738" s="11">
        <v>130.25333333333299</v>
      </c>
      <c r="J1738" s="11">
        <v>34.384666666666597</v>
      </c>
      <c r="K1738" s="9">
        <v>5</v>
      </c>
      <c r="L1738" s="9">
        <v>5</v>
      </c>
      <c r="M1738" s="9" t="s">
        <v>501</v>
      </c>
      <c r="N1738" s="12">
        <v>17.1026666666666</v>
      </c>
      <c r="O1738" s="11">
        <v>34.593499999999899</v>
      </c>
      <c r="P1738" s="33">
        <v>0.27601519117647078</v>
      </c>
      <c r="Q1738" s="33">
        <v>1.4523611352941153</v>
      </c>
      <c r="R1738" s="1" t="s">
        <v>280</v>
      </c>
      <c r="T1738" s="71" t="s">
        <v>626</v>
      </c>
    </row>
    <row r="1739" spans="1:20" ht="12.75" customHeight="1">
      <c r="A1739" s="1" t="s">
        <v>474</v>
      </c>
      <c r="B1739" s="1">
        <v>92</v>
      </c>
      <c r="C1739" s="1" t="s">
        <v>505</v>
      </c>
      <c r="D1739" s="5">
        <v>43585</v>
      </c>
      <c r="E1739" s="1">
        <f t="shared" si="101"/>
        <v>2019</v>
      </c>
      <c r="F1739" s="1">
        <f t="shared" si="102"/>
        <v>4</v>
      </c>
      <c r="G1739" s="4">
        <f t="shared" si="103"/>
        <v>30</v>
      </c>
      <c r="H1739" s="8">
        <v>0.95138888888888884</v>
      </c>
      <c r="I1739" s="11">
        <v>130.25749999999999</v>
      </c>
      <c r="J1739" s="11">
        <v>34.049999999999997</v>
      </c>
      <c r="K1739" s="9">
        <v>5</v>
      </c>
      <c r="L1739" s="9">
        <v>5</v>
      </c>
      <c r="M1739" s="9" t="s">
        <v>501</v>
      </c>
      <c r="N1739" s="12">
        <v>16.550999999999998</v>
      </c>
      <c r="O1739" s="11">
        <v>34.5595</v>
      </c>
      <c r="P1739" s="33">
        <v>0.23258002235294084</v>
      </c>
      <c r="Q1739" s="33">
        <v>1.3245633905882368</v>
      </c>
      <c r="R1739" s="1" t="s">
        <v>280</v>
      </c>
      <c r="T1739" s="71" t="s">
        <v>626</v>
      </c>
    </row>
    <row r="1740" spans="1:20" ht="12.75" customHeight="1">
      <c r="A1740" s="1" t="s">
        <v>474</v>
      </c>
      <c r="B1740" s="1">
        <v>93</v>
      </c>
      <c r="C1740" s="1" t="s">
        <v>505</v>
      </c>
      <c r="D1740" s="5">
        <v>43585</v>
      </c>
      <c r="E1740" s="1">
        <f t="shared" si="101"/>
        <v>2019</v>
      </c>
      <c r="F1740" s="1">
        <f t="shared" si="102"/>
        <v>4</v>
      </c>
      <c r="G1740" s="4">
        <f t="shared" si="103"/>
        <v>30</v>
      </c>
      <c r="H1740" s="8">
        <v>7.4999999999999997E-2</v>
      </c>
      <c r="I1740" s="11">
        <v>129.62666666666601</v>
      </c>
      <c r="J1740" s="11">
        <v>33.978499999999997</v>
      </c>
      <c r="K1740" s="9">
        <v>5</v>
      </c>
      <c r="L1740" s="9">
        <v>5</v>
      </c>
      <c r="M1740" s="9" t="s">
        <v>501</v>
      </c>
      <c r="N1740" s="12">
        <v>17.271000000000001</v>
      </c>
      <c r="O1740" s="11">
        <v>34.538166666666598</v>
      </c>
      <c r="P1740" s="33">
        <v>0.21972694352941247</v>
      </c>
      <c r="Q1740" s="33">
        <v>1.3106539058823543</v>
      </c>
      <c r="R1740" s="1" t="s">
        <v>280</v>
      </c>
      <c r="T1740" s="71" t="s">
        <v>626</v>
      </c>
    </row>
    <row r="1741" spans="1:20" ht="12.75" customHeight="1">
      <c r="A1741" s="1" t="s">
        <v>475</v>
      </c>
      <c r="B1741" s="1" t="s">
        <v>191</v>
      </c>
      <c r="C1741" s="1" t="s">
        <v>505</v>
      </c>
      <c r="D1741" s="5">
        <f t="shared" ref="D1741:D1768" si="104">DATE(E1741,F1741,G1741)</f>
        <v>43614</v>
      </c>
      <c r="E1741" s="1">
        <v>2019</v>
      </c>
      <c r="F1741" s="1">
        <v>5</v>
      </c>
      <c r="G1741" s="4">
        <v>29</v>
      </c>
      <c r="H1741" s="8">
        <v>0.30624999999999997</v>
      </c>
      <c r="I1741" s="11">
        <v>130.48400000000001</v>
      </c>
      <c r="J1741" s="11">
        <v>34.200000000000003</v>
      </c>
      <c r="K1741" s="9">
        <v>5</v>
      </c>
      <c r="L1741" s="9">
        <v>5</v>
      </c>
      <c r="M1741" s="9" t="s">
        <v>501</v>
      </c>
      <c r="N1741" s="12">
        <v>19.894895666666603</v>
      </c>
      <c r="O1741" s="11">
        <v>34.532786666666595</v>
      </c>
      <c r="P1741" s="33">
        <v>0.28616076470588236</v>
      </c>
      <c r="Q1741" s="33">
        <v>1.5174152611764704</v>
      </c>
      <c r="R1741" s="1" t="s">
        <v>280</v>
      </c>
      <c r="T1741" s="71" t="s">
        <v>626</v>
      </c>
    </row>
    <row r="1742" spans="1:20" ht="12.75" customHeight="1">
      <c r="A1742" s="1" t="s">
        <v>475</v>
      </c>
      <c r="B1742" s="1" t="s">
        <v>52</v>
      </c>
      <c r="C1742" s="1" t="s">
        <v>505</v>
      </c>
      <c r="D1742" s="5">
        <f t="shared" si="104"/>
        <v>43614</v>
      </c>
      <c r="E1742" s="1">
        <v>2019</v>
      </c>
      <c r="F1742" s="1">
        <v>5</v>
      </c>
      <c r="G1742" s="4">
        <v>29</v>
      </c>
      <c r="H1742" s="8">
        <v>0.4291666666666667</v>
      </c>
      <c r="I1742" s="11">
        <v>130.51216666666599</v>
      </c>
      <c r="J1742" s="11">
        <v>34.346166666666598</v>
      </c>
      <c r="K1742" s="9">
        <v>5</v>
      </c>
      <c r="L1742" s="9">
        <v>5</v>
      </c>
      <c r="M1742" s="9" t="s">
        <v>501</v>
      </c>
      <c r="N1742" s="12">
        <v>19.971562333333303</v>
      </c>
      <c r="O1742" s="11">
        <v>34.37612</v>
      </c>
      <c r="P1742" s="33">
        <v>0.23747412588235317</v>
      </c>
      <c r="Q1742" s="33">
        <v>1.3201397564705886</v>
      </c>
      <c r="R1742" s="1" t="s">
        <v>280</v>
      </c>
      <c r="T1742" s="71" t="s">
        <v>626</v>
      </c>
    </row>
    <row r="1743" spans="1:20" ht="12.75" customHeight="1">
      <c r="A1743" s="1" t="s">
        <v>475</v>
      </c>
      <c r="B1743" s="1" t="s">
        <v>190</v>
      </c>
      <c r="C1743" s="1" t="s">
        <v>505</v>
      </c>
      <c r="D1743" s="5">
        <f t="shared" si="104"/>
        <v>43614</v>
      </c>
      <c r="E1743" s="1">
        <v>2019</v>
      </c>
      <c r="F1743" s="1">
        <v>5</v>
      </c>
      <c r="G1743" s="4">
        <v>29</v>
      </c>
      <c r="H1743" s="8">
        <v>0.55138888888888882</v>
      </c>
      <c r="I1743" s="11">
        <v>130.50349999999901</v>
      </c>
      <c r="J1743" s="11">
        <v>34.499000000000002</v>
      </c>
      <c r="K1743" s="9">
        <v>5</v>
      </c>
      <c r="L1743" s="9">
        <v>5</v>
      </c>
      <c r="M1743" s="9" t="s">
        <v>501</v>
      </c>
      <c r="N1743" s="12">
        <v>19.973229000000003</v>
      </c>
      <c r="O1743" s="11">
        <v>34.463953333333301</v>
      </c>
      <c r="P1743" s="33">
        <v>0.22876127294117676</v>
      </c>
      <c r="Q1743" s="33">
        <v>1.3734078117647091</v>
      </c>
      <c r="R1743" s="1" t="s">
        <v>280</v>
      </c>
      <c r="T1743" s="71" t="s">
        <v>626</v>
      </c>
    </row>
    <row r="1744" spans="1:20" ht="12.75" customHeight="1">
      <c r="A1744" s="1" t="s">
        <v>475</v>
      </c>
      <c r="B1744" s="1" t="s">
        <v>189</v>
      </c>
      <c r="C1744" s="1" t="s">
        <v>505</v>
      </c>
      <c r="D1744" s="5">
        <f t="shared" si="104"/>
        <v>43614</v>
      </c>
      <c r="E1744" s="1">
        <v>2019</v>
      </c>
      <c r="F1744" s="1">
        <v>5</v>
      </c>
      <c r="G1744" s="4">
        <v>29</v>
      </c>
      <c r="H1744" s="8">
        <v>0.67847222222222225</v>
      </c>
      <c r="I1744" s="11">
        <v>130.505</v>
      </c>
      <c r="J1744" s="11">
        <v>34.660166666666598</v>
      </c>
      <c r="K1744" s="9">
        <v>5</v>
      </c>
      <c r="L1744" s="9">
        <v>5</v>
      </c>
      <c r="M1744" s="9" t="s">
        <v>501</v>
      </c>
      <c r="N1744" s="12">
        <v>20.046562333333302</v>
      </c>
      <c r="O1744" s="11">
        <v>34.474620000000002</v>
      </c>
      <c r="P1744" s="33">
        <v>0.23443010352941274</v>
      </c>
      <c r="Q1744" s="33">
        <v>1.3754850541176484</v>
      </c>
      <c r="R1744" s="1" t="s">
        <v>280</v>
      </c>
      <c r="T1744" s="71" t="s">
        <v>626</v>
      </c>
    </row>
    <row r="1745" spans="1:20" ht="12.75" customHeight="1">
      <c r="A1745" s="1" t="s">
        <v>475</v>
      </c>
      <c r="B1745" s="1" t="s">
        <v>51</v>
      </c>
      <c r="C1745" s="1" t="s">
        <v>505</v>
      </c>
      <c r="D1745" s="5">
        <f t="shared" si="104"/>
        <v>43615</v>
      </c>
      <c r="E1745" s="1">
        <v>2019</v>
      </c>
      <c r="F1745" s="1">
        <v>5</v>
      </c>
      <c r="G1745" s="4">
        <v>30</v>
      </c>
      <c r="H1745" s="8">
        <v>0.60763888888888895</v>
      </c>
      <c r="I1745" s="11">
        <v>130.51816666666599</v>
      </c>
      <c r="J1745" s="11">
        <v>34.825000000000003</v>
      </c>
      <c r="K1745" s="9">
        <v>5</v>
      </c>
      <c r="L1745" s="9">
        <v>5</v>
      </c>
      <c r="M1745" s="9" t="s">
        <v>501</v>
      </c>
      <c r="N1745" s="12">
        <v>19.869895666666601</v>
      </c>
      <c r="O1745" s="11">
        <v>34.386786666666602</v>
      </c>
      <c r="P1745" s="33">
        <v>0.13181097411764719</v>
      </c>
      <c r="Q1745" s="33">
        <v>1.0563904564705897</v>
      </c>
      <c r="R1745" s="1" t="s">
        <v>280</v>
      </c>
      <c r="T1745" s="71" t="s">
        <v>626</v>
      </c>
    </row>
    <row r="1746" spans="1:20" ht="12.75" customHeight="1">
      <c r="A1746" s="1" t="s">
        <v>475</v>
      </c>
      <c r="B1746" s="1" t="s">
        <v>188</v>
      </c>
      <c r="C1746" s="1" t="s">
        <v>505</v>
      </c>
      <c r="D1746" s="5">
        <f t="shared" si="104"/>
        <v>43615</v>
      </c>
      <c r="E1746" s="1">
        <v>2019</v>
      </c>
      <c r="F1746" s="1">
        <v>5</v>
      </c>
      <c r="G1746" s="4">
        <v>30</v>
      </c>
      <c r="H1746" s="8">
        <v>0.48402777777777778</v>
      </c>
      <c r="I1746" s="11">
        <v>130.50349999999901</v>
      </c>
      <c r="J1746" s="11">
        <v>35.009</v>
      </c>
      <c r="K1746" s="9">
        <v>5</v>
      </c>
      <c r="L1746" s="9">
        <v>5</v>
      </c>
      <c r="M1746" s="9" t="s">
        <v>501</v>
      </c>
      <c r="N1746" s="12">
        <v>19.296562333333302</v>
      </c>
      <c r="O1746" s="11">
        <v>34.368786666666601</v>
      </c>
      <c r="P1746" s="33">
        <v>0.22028824470588271</v>
      </c>
      <c r="Q1746" s="33">
        <v>1.2012984188235301</v>
      </c>
      <c r="R1746" s="1" t="s">
        <v>280</v>
      </c>
      <c r="T1746" s="71" t="s">
        <v>626</v>
      </c>
    </row>
    <row r="1747" spans="1:20" ht="12.75" customHeight="1">
      <c r="A1747" s="1" t="s">
        <v>475</v>
      </c>
      <c r="B1747" s="1" t="s">
        <v>187</v>
      </c>
      <c r="C1747" s="1" t="s">
        <v>505</v>
      </c>
      <c r="D1747" s="5">
        <f t="shared" si="104"/>
        <v>43615</v>
      </c>
      <c r="E1747" s="1">
        <v>2019</v>
      </c>
      <c r="F1747" s="1">
        <v>5</v>
      </c>
      <c r="G1747" s="4">
        <v>30</v>
      </c>
      <c r="H1747" s="8">
        <v>0.36805555555555558</v>
      </c>
      <c r="I1747" s="11">
        <v>130.50133333333301</v>
      </c>
      <c r="J1747" s="11">
        <v>35.179333333333297</v>
      </c>
      <c r="K1747" s="9">
        <v>5</v>
      </c>
      <c r="L1747" s="9">
        <v>5</v>
      </c>
      <c r="M1747" s="9" t="s">
        <v>501</v>
      </c>
      <c r="N1747" s="12">
        <v>19.028229000000003</v>
      </c>
      <c r="O1747" s="11">
        <v>34.445786666666599</v>
      </c>
      <c r="P1747" s="33">
        <v>0.1978063152941183</v>
      </c>
      <c r="Q1747" s="33">
        <v>1.2813012611764716</v>
      </c>
      <c r="R1747" s="1" t="s">
        <v>280</v>
      </c>
      <c r="T1747" s="71" t="s">
        <v>626</v>
      </c>
    </row>
    <row r="1748" spans="1:20" ht="12.75" customHeight="1">
      <c r="A1748" s="1" t="s">
        <v>475</v>
      </c>
      <c r="B1748" s="1" t="s">
        <v>200</v>
      </c>
      <c r="C1748" s="1" t="s">
        <v>505</v>
      </c>
      <c r="D1748" s="5">
        <f t="shared" si="104"/>
        <v>43613</v>
      </c>
      <c r="E1748" s="1">
        <v>2019</v>
      </c>
      <c r="F1748" s="1">
        <v>5</v>
      </c>
      <c r="G1748" s="4">
        <v>28</v>
      </c>
      <c r="H1748" s="8">
        <v>0.74236111111111114</v>
      </c>
      <c r="I1748" s="11">
        <v>129.99700000000001</v>
      </c>
      <c r="J1748" s="11">
        <v>34.000500000000002</v>
      </c>
      <c r="K1748" s="9">
        <v>5</v>
      </c>
      <c r="L1748" s="9">
        <v>5</v>
      </c>
      <c r="M1748" s="9" t="s">
        <v>501</v>
      </c>
      <c r="N1748" s="12">
        <v>20.058229000000001</v>
      </c>
      <c r="O1748" s="11">
        <v>34.489786666666596</v>
      </c>
      <c r="P1748" s="33">
        <v>0.22155738588235341</v>
      </c>
      <c r="Q1748" s="33">
        <v>1.3857668235294121</v>
      </c>
      <c r="R1748" s="1" t="s">
        <v>280</v>
      </c>
      <c r="T1748" s="71" t="s">
        <v>626</v>
      </c>
    </row>
    <row r="1749" spans="1:20" ht="12.75" customHeight="1">
      <c r="A1749" s="1" t="s">
        <v>475</v>
      </c>
      <c r="B1749" s="1" t="s">
        <v>199</v>
      </c>
      <c r="C1749" s="1" t="s">
        <v>505</v>
      </c>
      <c r="D1749" s="5">
        <f t="shared" si="104"/>
        <v>43618</v>
      </c>
      <c r="E1749" s="1">
        <v>2019</v>
      </c>
      <c r="F1749" s="1">
        <v>6</v>
      </c>
      <c r="G1749" s="4">
        <v>2</v>
      </c>
      <c r="H1749" s="8">
        <v>0.2986111111111111</v>
      </c>
      <c r="I1749" s="11">
        <v>130.00983333333301</v>
      </c>
      <c r="J1749" s="11">
        <v>34.191000000000003</v>
      </c>
      <c r="K1749" s="9">
        <v>5</v>
      </c>
      <c r="L1749" s="9">
        <v>5</v>
      </c>
      <c r="M1749" s="9" t="s">
        <v>501</v>
      </c>
      <c r="N1749" s="12">
        <v>20.388229000000003</v>
      </c>
      <c r="O1749" s="11">
        <v>33.921453333333297</v>
      </c>
      <c r="P1749" s="33">
        <v>0.13808214313725475</v>
      </c>
      <c r="Q1749" s="33">
        <v>0.71160110588235526</v>
      </c>
      <c r="R1749" s="1" t="s">
        <v>280</v>
      </c>
      <c r="T1749" s="71" t="s">
        <v>626</v>
      </c>
    </row>
    <row r="1750" spans="1:20" ht="12.75" customHeight="1">
      <c r="A1750" s="1" t="s">
        <v>475</v>
      </c>
      <c r="B1750" s="1" t="s">
        <v>198</v>
      </c>
      <c r="C1750" s="1" t="s">
        <v>505</v>
      </c>
      <c r="D1750" s="5">
        <f t="shared" si="104"/>
        <v>43618</v>
      </c>
      <c r="E1750" s="1">
        <v>2019</v>
      </c>
      <c r="F1750" s="1">
        <v>6</v>
      </c>
      <c r="G1750" s="4">
        <v>2</v>
      </c>
      <c r="H1750" s="8">
        <v>0.41597222222222219</v>
      </c>
      <c r="I1750" s="11">
        <v>130.01</v>
      </c>
      <c r="J1750" s="11">
        <v>34.330666666666602</v>
      </c>
      <c r="K1750" s="9">
        <v>5</v>
      </c>
      <c r="L1750" s="9">
        <v>5</v>
      </c>
      <c r="M1750" s="9" t="s">
        <v>501</v>
      </c>
      <c r="N1750" s="12">
        <v>20.583229000000003</v>
      </c>
      <c r="O1750" s="11">
        <v>33.890619999999998</v>
      </c>
      <c r="P1750" s="33">
        <v>9.9284698823529638E-2</v>
      </c>
      <c r="Q1750" s="33">
        <v>0.55968583529412008</v>
      </c>
      <c r="R1750" s="1" t="s">
        <v>280</v>
      </c>
      <c r="T1750" s="71" t="s">
        <v>626</v>
      </c>
    </row>
    <row r="1751" spans="1:20" ht="12.75" customHeight="1">
      <c r="A1751" s="1" t="s">
        <v>475</v>
      </c>
      <c r="B1751" s="1" t="s">
        <v>197</v>
      </c>
      <c r="C1751" s="1" t="s">
        <v>505</v>
      </c>
      <c r="D1751" s="5">
        <f t="shared" si="104"/>
        <v>43617</v>
      </c>
      <c r="E1751" s="1">
        <v>2019</v>
      </c>
      <c r="F1751" s="1">
        <v>6</v>
      </c>
      <c r="G1751" s="4">
        <v>1</v>
      </c>
      <c r="H1751" s="8">
        <v>0.30555555555555552</v>
      </c>
      <c r="I1751" s="11">
        <v>130.00700000000001</v>
      </c>
      <c r="J1751" s="11">
        <v>34.505499999999998</v>
      </c>
      <c r="K1751" s="9">
        <v>5</v>
      </c>
      <c r="L1751" s="9">
        <v>5</v>
      </c>
      <c r="M1751" s="9" t="s">
        <v>501</v>
      </c>
      <c r="N1751" s="12">
        <v>19.908229000000002</v>
      </c>
      <c r="O1751" s="11">
        <v>33.789953333333301</v>
      </c>
      <c r="P1751" s="33">
        <v>8.2556209411765114E-2</v>
      </c>
      <c r="Q1751" s="33">
        <v>0.53434115764706291</v>
      </c>
      <c r="R1751" s="1" t="s">
        <v>280</v>
      </c>
      <c r="T1751" s="71" t="s">
        <v>626</v>
      </c>
    </row>
    <row r="1752" spans="1:20" ht="12.75" customHeight="1">
      <c r="A1752" s="1" t="s">
        <v>475</v>
      </c>
      <c r="B1752" s="1" t="s">
        <v>263</v>
      </c>
      <c r="C1752" s="1" t="s">
        <v>505</v>
      </c>
      <c r="D1752" s="5">
        <f t="shared" si="104"/>
        <v>43617</v>
      </c>
      <c r="E1752" s="1">
        <v>2019</v>
      </c>
      <c r="F1752" s="1">
        <v>6</v>
      </c>
      <c r="G1752" s="4">
        <v>1</v>
      </c>
      <c r="H1752" s="8">
        <v>0.41666666666666669</v>
      </c>
      <c r="I1752" s="11">
        <v>130.00166666666601</v>
      </c>
      <c r="J1752" s="11">
        <v>34.670999999999999</v>
      </c>
      <c r="K1752" s="9">
        <v>5</v>
      </c>
      <c r="L1752" s="9">
        <v>5</v>
      </c>
      <c r="M1752" s="9" t="s">
        <v>501</v>
      </c>
      <c r="N1752" s="12">
        <v>19.453229</v>
      </c>
      <c r="O1752" s="11">
        <v>34.264620000000001</v>
      </c>
      <c r="P1752" s="33">
        <v>0.17206088000000053</v>
      </c>
      <c r="Q1752" s="33">
        <v>1.0860404800000012</v>
      </c>
      <c r="R1752" s="1" t="s">
        <v>280</v>
      </c>
      <c r="T1752" s="71" t="s">
        <v>626</v>
      </c>
    </row>
    <row r="1753" spans="1:20" ht="12.75" customHeight="1">
      <c r="A1753" s="1" t="s">
        <v>475</v>
      </c>
      <c r="B1753" s="1" t="s">
        <v>195</v>
      </c>
      <c r="C1753" s="1" t="s">
        <v>505</v>
      </c>
      <c r="D1753" s="5">
        <f t="shared" si="104"/>
        <v>43616</v>
      </c>
      <c r="E1753" s="1">
        <v>2019</v>
      </c>
      <c r="F1753" s="1">
        <v>5</v>
      </c>
      <c r="G1753" s="4">
        <v>31</v>
      </c>
      <c r="H1753" s="8">
        <v>0.30555555555555552</v>
      </c>
      <c r="I1753" s="11">
        <v>130.015166666666</v>
      </c>
      <c r="J1753" s="11">
        <v>34.845500000000001</v>
      </c>
      <c r="K1753" s="9">
        <v>5</v>
      </c>
      <c r="L1753" s="9">
        <v>5</v>
      </c>
      <c r="M1753" s="9" t="s">
        <v>501</v>
      </c>
      <c r="N1753" s="12">
        <v>19.593229000000001</v>
      </c>
      <c r="O1753" s="11">
        <v>34.124786666666601</v>
      </c>
      <c r="P1753" s="33">
        <v>5.2797870588235263E-2</v>
      </c>
      <c r="Q1753" s="33">
        <v>0.75017708235294123</v>
      </c>
      <c r="R1753" s="1" t="s">
        <v>280</v>
      </c>
      <c r="T1753" s="71" t="s">
        <v>626</v>
      </c>
    </row>
    <row r="1754" spans="1:20" ht="12.75" customHeight="1">
      <c r="A1754" s="1" t="s">
        <v>475</v>
      </c>
      <c r="B1754" s="1" t="s">
        <v>203</v>
      </c>
      <c r="C1754" s="1" t="s">
        <v>505</v>
      </c>
      <c r="D1754" s="5">
        <f t="shared" si="104"/>
        <v>43619</v>
      </c>
      <c r="E1754" s="1">
        <v>2019</v>
      </c>
      <c r="F1754" s="1">
        <v>6</v>
      </c>
      <c r="G1754" s="4">
        <v>3</v>
      </c>
      <c r="H1754" s="8">
        <v>0.41180555555555554</v>
      </c>
      <c r="I1754" s="11">
        <v>129.34800000000001</v>
      </c>
      <c r="J1754" s="11">
        <v>33.67</v>
      </c>
      <c r="K1754" s="9">
        <v>5</v>
      </c>
      <c r="L1754" s="9">
        <v>5</v>
      </c>
      <c r="M1754" s="9" t="s">
        <v>501</v>
      </c>
      <c r="N1754" s="12">
        <v>20.928229000000002</v>
      </c>
      <c r="O1754" s="11">
        <v>34.143119999999996</v>
      </c>
      <c r="P1754" s="33">
        <v>0.19737118117647112</v>
      </c>
      <c r="Q1754" s="33">
        <v>1.031997364705882</v>
      </c>
      <c r="R1754" s="1" t="s">
        <v>280</v>
      </c>
      <c r="T1754" s="71" t="s">
        <v>626</v>
      </c>
    </row>
    <row r="1755" spans="1:20" ht="12.75" customHeight="1">
      <c r="A1755" s="1" t="s">
        <v>475</v>
      </c>
      <c r="B1755" s="1" t="s">
        <v>202</v>
      </c>
      <c r="C1755" s="1" t="s">
        <v>505</v>
      </c>
      <c r="D1755" s="5">
        <f t="shared" si="104"/>
        <v>43619</v>
      </c>
      <c r="E1755" s="1">
        <v>2019</v>
      </c>
      <c r="F1755" s="1">
        <v>6</v>
      </c>
      <c r="G1755" s="4">
        <v>3</v>
      </c>
      <c r="H1755" s="8">
        <v>0.53055555555555556</v>
      </c>
      <c r="I1755" s="11">
        <v>129.17566666666599</v>
      </c>
      <c r="J1755" s="11">
        <v>33.843333333333298</v>
      </c>
      <c r="K1755" s="9">
        <v>5</v>
      </c>
      <c r="L1755" s="9">
        <v>5</v>
      </c>
      <c r="M1755" s="9" t="s">
        <v>501</v>
      </c>
      <c r="N1755" s="12">
        <v>21.2298956666666</v>
      </c>
      <c r="O1755" s="11">
        <v>33.967453333333296</v>
      </c>
      <c r="P1755" s="33">
        <v>0.21269757176470616</v>
      </c>
      <c r="Q1755" s="33">
        <v>0.9198494870588263</v>
      </c>
      <c r="R1755" s="1" t="s">
        <v>280</v>
      </c>
      <c r="T1755" s="71" t="s">
        <v>626</v>
      </c>
    </row>
    <row r="1756" spans="1:20" ht="12.75" customHeight="1">
      <c r="A1756" s="1" t="s">
        <v>475</v>
      </c>
      <c r="B1756" s="1" t="s">
        <v>201</v>
      </c>
      <c r="C1756" s="1" t="s">
        <v>505</v>
      </c>
      <c r="D1756" s="5">
        <f t="shared" si="104"/>
        <v>43619</v>
      </c>
      <c r="E1756" s="1">
        <v>2019</v>
      </c>
      <c r="F1756" s="1">
        <v>6</v>
      </c>
      <c r="G1756" s="4">
        <v>3</v>
      </c>
      <c r="H1756" s="8">
        <v>0.66041666666666665</v>
      </c>
      <c r="I1756" s="11">
        <v>128.996833333333</v>
      </c>
      <c r="J1756" s="11">
        <v>33.988</v>
      </c>
      <c r="K1756" s="9">
        <v>5</v>
      </c>
      <c r="L1756" s="9">
        <v>5</v>
      </c>
      <c r="M1756" s="9" t="s">
        <v>501</v>
      </c>
      <c r="N1756" s="12">
        <v>21.219895666666602</v>
      </c>
      <c r="O1756" s="11">
        <v>33.736786666666596</v>
      </c>
      <c r="P1756" s="33">
        <v>0.11911956235294108</v>
      </c>
      <c r="Q1756" s="33">
        <v>0.43701248941176551</v>
      </c>
      <c r="R1756" s="1" t="s">
        <v>280</v>
      </c>
      <c r="T1756" s="71" t="s">
        <v>626</v>
      </c>
    </row>
    <row r="1757" spans="1:20" ht="12.75" customHeight="1">
      <c r="A1757" s="1" t="s">
        <v>475</v>
      </c>
      <c r="B1757" s="1" t="s">
        <v>204</v>
      </c>
      <c r="C1757" s="1" t="s">
        <v>505</v>
      </c>
      <c r="D1757" s="5">
        <f t="shared" si="104"/>
        <v>43619</v>
      </c>
      <c r="E1757" s="1">
        <v>2019</v>
      </c>
      <c r="F1757" s="1">
        <v>6</v>
      </c>
      <c r="G1757" s="4">
        <v>3</v>
      </c>
      <c r="H1757" s="8">
        <v>0.3125</v>
      </c>
      <c r="I1757" s="11">
        <v>129.17933333333301</v>
      </c>
      <c r="J1757" s="11">
        <v>33.591333333333303</v>
      </c>
      <c r="K1757" s="9">
        <v>5</v>
      </c>
      <c r="L1757" s="9">
        <v>5</v>
      </c>
      <c r="M1757" s="9" t="s">
        <v>501</v>
      </c>
      <c r="N1757" s="12">
        <v>20.738229</v>
      </c>
      <c r="O1757" s="11">
        <v>33.805619999999998</v>
      </c>
      <c r="P1757" s="33">
        <v>0.17187266722689154</v>
      </c>
      <c r="Q1757" s="33">
        <v>0.63431238319327754</v>
      </c>
      <c r="R1757" s="1" t="s">
        <v>280</v>
      </c>
      <c r="T1757" s="71" t="s">
        <v>626</v>
      </c>
    </row>
    <row r="1758" spans="1:20" ht="12.75" customHeight="1">
      <c r="A1758" s="1" t="s">
        <v>475</v>
      </c>
      <c r="B1758" s="1" t="s">
        <v>208</v>
      </c>
      <c r="C1758" s="1" t="s">
        <v>505</v>
      </c>
      <c r="D1758" s="5">
        <f t="shared" si="104"/>
        <v>43620</v>
      </c>
      <c r="E1758" s="1">
        <v>2019</v>
      </c>
      <c r="F1758" s="1">
        <v>6</v>
      </c>
      <c r="G1758" s="4">
        <v>4</v>
      </c>
      <c r="H1758" s="8">
        <v>0.69236111111111109</v>
      </c>
      <c r="I1758" s="11">
        <v>128.65383333333301</v>
      </c>
      <c r="J1758" s="11">
        <v>33.159999999999997</v>
      </c>
      <c r="K1758" s="9">
        <v>5</v>
      </c>
      <c r="L1758" s="9">
        <v>5</v>
      </c>
      <c r="M1758" s="9" t="s">
        <v>501</v>
      </c>
      <c r="N1758" s="12">
        <v>21.404895666666601</v>
      </c>
      <c r="O1758" s="11">
        <v>33.983286666666601</v>
      </c>
      <c r="P1758" s="33">
        <v>9.492376705882366E-2</v>
      </c>
      <c r="Q1758" s="33">
        <v>0.57704827058823582</v>
      </c>
      <c r="R1758" s="1" t="s">
        <v>280</v>
      </c>
      <c r="T1758" s="71" t="s">
        <v>626</v>
      </c>
    </row>
    <row r="1759" spans="1:20" ht="12.75" customHeight="1">
      <c r="A1759" s="1" t="s">
        <v>475</v>
      </c>
      <c r="B1759" s="1" t="s">
        <v>207</v>
      </c>
      <c r="C1759" s="1" t="s">
        <v>505</v>
      </c>
      <c r="D1759" s="5">
        <f t="shared" si="104"/>
        <v>43620</v>
      </c>
      <c r="E1759" s="1">
        <v>2019</v>
      </c>
      <c r="F1759" s="1">
        <v>6</v>
      </c>
      <c r="G1759" s="4">
        <v>4</v>
      </c>
      <c r="H1759" s="8">
        <v>0.55833333333333335</v>
      </c>
      <c r="I1759" s="11">
        <v>128.51033333333299</v>
      </c>
      <c r="J1759" s="11">
        <v>33.343000000000004</v>
      </c>
      <c r="K1759" s="9">
        <v>5</v>
      </c>
      <c r="L1759" s="9">
        <v>5</v>
      </c>
      <c r="M1759" s="9" t="s">
        <v>501</v>
      </c>
      <c r="N1759" s="12">
        <v>21.538229000000001</v>
      </c>
      <c r="O1759" s="11">
        <v>33.670453333333299</v>
      </c>
      <c r="P1759" s="33">
        <v>9.1333096470588071E-2</v>
      </c>
      <c r="Q1759" s="33">
        <v>0.38791656470588265</v>
      </c>
      <c r="R1759" s="1" t="s">
        <v>280</v>
      </c>
      <c r="T1759" s="71" t="s">
        <v>626</v>
      </c>
    </row>
    <row r="1760" spans="1:20" ht="12.75" customHeight="1">
      <c r="A1760" s="1" t="s">
        <v>475</v>
      </c>
      <c r="B1760" s="1" t="s">
        <v>206</v>
      </c>
      <c r="C1760" s="1" t="s">
        <v>505</v>
      </c>
      <c r="D1760" s="5">
        <f t="shared" si="104"/>
        <v>43620</v>
      </c>
      <c r="E1760" s="1">
        <v>2019</v>
      </c>
      <c r="F1760" s="1">
        <v>6</v>
      </c>
      <c r="G1760" s="4">
        <v>4</v>
      </c>
      <c r="H1760" s="8">
        <v>0.4291666666666667</v>
      </c>
      <c r="I1760" s="11">
        <v>128.285</v>
      </c>
      <c r="J1760" s="11">
        <v>33.503999999999998</v>
      </c>
      <c r="K1760" s="9">
        <v>5</v>
      </c>
      <c r="L1760" s="9">
        <v>5</v>
      </c>
      <c r="M1760" s="9" t="s">
        <v>501</v>
      </c>
      <c r="N1760" s="12">
        <v>21.448229000000001</v>
      </c>
      <c r="O1760" s="11">
        <v>33.386953333333295</v>
      </c>
      <c r="P1760" s="33">
        <v>3.2287865882353106E-2</v>
      </c>
      <c r="Q1760" s="33">
        <v>0.17405985882353114</v>
      </c>
      <c r="R1760" s="1" t="s">
        <v>280</v>
      </c>
      <c r="T1760" s="71" t="s">
        <v>626</v>
      </c>
    </row>
    <row r="1761" spans="1:20" ht="12.75" customHeight="1">
      <c r="A1761" s="1" t="s">
        <v>475</v>
      </c>
      <c r="B1761" s="1" t="s">
        <v>205</v>
      </c>
      <c r="C1761" s="1" t="s">
        <v>505</v>
      </c>
      <c r="D1761" s="5">
        <f t="shared" si="104"/>
        <v>43620</v>
      </c>
      <c r="E1761" s="1">
        <v>2019</v>
      </c>
      <c r="F1761" s="1">
        <v>6</v>
      </c>
      <c r="G1761" s="4">
        <v>4</v>
      </c>
      <c r="H1761" s="8">
        <v>0.30208333333333331</v>
      </c>
      <c r="I1761" s="11">
        <v>128.47616666666599</v>
      </c>
      <c r="J1761" s="11">
        <v>33.573999999999998</v>
      </c>
      <c r="K1761" s="9">
        <v>5</v>
      </c>
      <c r="L1761" s="9">
        <v>5</v>
      </c>
      <c r="M1761" s="9" t="s">
        <v>501</v>
      </c>
      <c r="N1761" s="12">
        <v>20.8065623333333</v>
      </c>
      <c r="O1761" s="11">
        <v>33.350286666666598</v>
      </c>
      <c r="P1761" s="33">
        <v>7.7944155294118023E-2</v>
      </c>
      <c r="Q1761" s="33">
        <v>9.530055294117723E-2</v>
      </c>
      <c r="R1761" s="1" t="s">
        <v>280</v>
      </c>
      <c r="T1761" s="71" t="s">
        <v>626</v>
      </c>
    </row>
    <row r="1762" spans="1:20" ht="12.75" customHeight="1">
      <c r="A1762" s="1" t="s">
        <v>475</v>
      </c>
      <c r="B1762" s="1" t="s">
        <v>210</v>
      </c>
      <c r="C1762" s="1" t="s">
        <v>505</v>
      </c>
      <c r="D1762" s="5">
        <f t="shared" si="104"/>
        <v>43620</v>
      </c>
      <c r="E1762" s="1">
        <v>2019</v>
      </c>
      <c r="F1762" s="1">
        <v>6</v>
      </c>
      <c r="G1762" s="4">
        <v>4</v>
      </c>
      <c r="H1762" s="8">
        <v>0.39930555555555558</v>
      </c>
      <c r="I1762" s="11">
        <v>128.278666666666</v>
      </c>
      <c r="J1762" s="11">
        <v>33.527000000000001</v>
      </c>
      <c r="K1762" s="9">
        <v>5</v>
      </c>
      <c r="L1762" s="9">
        <v>5</v>
      </c>
      <c r="M1762" s="9" t="s">
        <v>501</v>
      </c>
      <c r="N1762" s="12">
        <v>21.369895666666601</v>
      </c>
      <c r="O1762" s="11">
        <v>33.4594533333333</v>
      </c>
      <c r="P1762" s="33">
        <v>0.10001156470588191</v>
      </c>
      <c r="Q1762" s="33">
        <v>0.77035704705882324</v>
      </c>
      <c r="R1762" s="1" t="s">
        <v>280</v>
      </c>
      <c r="T1762" s="71" t="s">
        <v>626</v>
      </c>
    </row>
    <row r="1763" spans="1:20" ht="12.75" customHeight="1">
      <c r="A1763" s="1" t="s">
        <v>475</v>
      </c>
      <c r="B1763" s="1" t="s">
        <v>209</v>
      </c>
      <c r="C1763" s="1" t="s">
        <v>505</v>
      </c>
      <c r="D1763" s="5">
        <f t="shared" si="104"/>
        <v>43620</v>
      </c>
      <c r="E1763" s="1">
        <v>2019</v>
      </c>
      <c r="F1763" s="1">
        <v>6</v>
      </c>
      <c r="G1763" s="4">
        <v>4</v>
      </c>
      <c r="H1763" s="8">
        <v>0.30069444444444443</v>
      </c>
      <c r="I1763" s="11">
        <v>128.47416666666601</v>
      </c>
      <c r="J1763" s="11">
        <v>33.575000000000003</v>
      </c>
      <c r="K1763" s="9">
        <v>5</v>
      </c>
      <c r="L1763" s="9">
        <v>5</v>
      </c>
      <c r="M1763" s="9" t="s">
        <v>501</v>
      </c>
      <c r="N1763" s="12">
        <v>20.786562333333301</v>
      </c>
      <c r="O1763" s="11">
        <v>33.3432866666666</v>
      </c>
      <c r="P1763" s="33">
        <v>4.5932414117646481E-2</v>
      </c>
      <c r="Q1763" s="33">
        <v>0.3871835411764728</v>
      </c>
      <c r="R1763" s="1" t="s">
        <v>280</v>
      </c>
      <c r="T1763" s="71" t="s">
        <v>626</v>
      </c>
    </row>
    <row r="1764" spans="1:20" ht="12.75" customHeight="1">
      <c r="A1764" s="1" t="s">
        <v>475</v>
      </c>
      <c r="B1764" s="1" t="s">
        <v>261</v>
      </c>
      <c r="C1764" s="1" t="s">
        <v>505</v>
      </c>
      <c r="D1764" s="5">
        <f t="shared" si="104"/>
        <v>43617</v>
      </c>
      <c r="E1764" s="1">
        <v>2019</v>
      </c>
      <c r="F1764" s="1">
        <v>6</v>
      </c>
      <c r="G1764" s="4">
        <v>1</v>
      </c>
      <c r="H1764" s="8">
        <v>0.68402777777777779</v>
      </c>
      <c r="I1764" s="11">
        <v>130.24700000000001</v>
      </c>
      <c r="J1764" s="11">
        <v>34.327500000000001</v>
      </c>
      <c r="K1764" s="9">
        <v>5</v>
      </c>
      <c r="L1764" s="9">
        <v>5</v>
      </c>
      <c r="M1764" s="9" t="s">
        <v>501</v>
      </c>
      <c r="N1764" s="12">
        <v>20.808229000000001</v>
      </c>
      <c r="O1764" s="11">
        <v>34.144453333333296</v>
      </c>
      <c r="P1764" s="33">
        <v>0.14104258352941157</v>
      </c>
      <c r="Q1764" s="33">
        <v>0.94909843529411653</v>
      </c>
      <c r="R1764" s="1" t="s">
        <v>280</v>
      </c>
      <c r="T1764" s="71" t="s">
        <v>626</v>
      </c>
    </row>
    <row r="1765" spans="1:20" ht="12.75" customHeight="1">
      <c r="A1765" s="1" t="s">
        <v>475</v>
      </c>
      <c r="B1765" s="1" t="s">
        <v>260</v>
      </c>
      <c r="C1765" s="1" t="s">
        <v>505</v>
      </c>
      <c r="D1765" s="5">
        <f t="shared" si="104"/>
        <v>43617</v>
      </c>
      <c r="E1765" s="1">
        <v>2019</v>
      </c>
      <c r="F1765" s="1">
        <v>6</v>
      </c>
      <c r="G1765" s="4">
        <v>1</v>
      </c>
      <c r="H1765" s="8">
        <v>0.53472222222222221</v>
      </c>
      <c r="I1765" s="11">
        <v>130.25399999999999</v>
      </c>
      <c r="J1765" s="11">
        <v>34.676166666666603</v>
      </c>
      <c r="K1765" s="9">
        <v>5</v>
      </c>
      <c r="L1765" s="9">
        <v>5</v>
      </c>
      <c r="M1765" s="9" t="s">
        <v>501</v>
      </c>
      <c r="N1765" s="12">
        <v>19.821562333333301</v>
      </c>
      <c r="O1765" s="11">
        <v>34.408119999999997</v>
      </c>
      <c r="P1765" s="33">
        <v>0.269753585620915</v>
      </c>
      <c r="Q1765" s="33">
        <v>1.4655025228758163</v>
      </c>
      <c r="R1765" s="1" t="s">
        <v>280</v>
      </c>
      <c r="T1765" s="71" t="s">
        <v>626</v>
      </c>
    </row>
    <row r="1766" spans="1:20" ht="12.75" customHeight="1">
      <c r="A1766" s="1" t="s">
        <v>475</v>
      </c>
      <c r="B1766" s="1" t="s">
        <v>267</v>
      </c>
      <c r="C1766" s="1" t="s">
        <v>505</v>
      </c>
      <c r="D1766" s="5">
        <f t="shared" si="104"/>
        <v>43618</v>
      </c>
      <c r="E1766" s="1">
        <v>2019</v>
      </c>
      <c r="F1766" s="1">
        <v>6</v>
      </c>
      <c r="G1766" s="4">
        <v>2</v>
      </c>
      <c r="H1766" s="8">
        <v>0.71666666666666667</v>
      </c>
      <c r="I1766" s="11">
        <v>129.65199999999999</v>
      </c>
      <c r="J1766" s="11">
        <v>33.997166666666601</v>
      </c>
      <c r="K1766" s="9">
        <v>5</v>
      </c>
      <c r="L1766" s="9">
        <v>5</v>
      </c>
      <c r="M1766" s="9" t="s">
        <v>501</v>
      </c>
      <c r="N1766" s="12">
        <v>21.193229000000002</v>
      </c>
      <c r="O1766" s="11">
        <v>34.015453333333298</v>
      </c>
      <c r="P1766" s="33">
        <v>0.110674030588235</v>
      </c>
      <c r="Q1766" s="33">
        <v>0.75804690588235424</v>
      </c>
      <c r="R1766" s="1" t="s">
        <v>280</v>
      </c>
      <c r="T1766" s="71" t="s">
        <v>626</v>
      </c>
    </row>
    <row r="1767" spans="1:20" ht="12.75" customHeight="1">
      <c r="A1767" s="1" t="s">
        <v>475</v>
      </c>
      <c r="B1767" s="1" t="s">
        <v>266</v>
      </c>
      <c r="C1767" s="1" t="s">
        <v>505</v>
      </c>
      <c r="D1767" s="5">
        <f t="shared" si="104"/>
        <v>43618</v>
      </c>
      <c r="E1767" s="1">
        <v>2019</v>
      </c>
      <c r="F1767" s="1">
        <v>6</v>
      </c>
      <c r="G1767" s="4">
        <v>2</v>
      </c>
      <c r="H1767" s="8">
        <v>0.56041666666666667</v>
      </c>
      <c r="I1767" s="11">
        <v>129.64349999999999</v>
      </c>
      <c r="J1767" s="11">
        <v>34.356999999999999</v>
      </c>
      <c r="K1767" s="9">
        <v>5</v>
      </c>
      <c r="L1767" s="9">
        <v>5</v>
      </c>
      <c r="M1767" s="9" t="s">
        <v>501</v>
      </c>
      <c r="N1767" s="12">
        <v>20.498229000000002</v>
      </c>
      <c r="O1767" s="11">
        <v>34.382786666666597</v>
      </c>
      <c r="P1767" s="33">
        <v>0.18819600000000003</v>
      </c>
      <c r="Q1767" s="33">
        <v>1.3100717999999993</v>
      </c>
      <c r="R1767" s="1" t="s">
        <v>280</v>
      </c>
      <c r="T1767" s="71" t="s">
        <v>626</v>
      </c>
    </row>
    <row r="1768" spans="1:20" ht="12.75" customHeight="1">
      <c r="A1768" s="1" t="s">
        <v>475</v>
      </c>
      <c r="B1768" s="1" t="s">
        <v>265</v>
      </c>
      <c r="C1768" s="1" t="s">
        <v>505</v>
      </c>
      <c r="D1768" s="5">
        <f t="shared" si="104"/>
        <v>43616</v>
      </c>
      <c r="E1768" s="1">
        <v>2019</v>
      </c>
      <c r="F1768" s="1">
        <v>5</v>
      </c>
      <c r="G1768" s="4">
        <v>31</v>
      </c>
      <c r="H1768" s="8">
        <v>0.6166666666666667</v>
      </c>
      <c r="I1768" s="11">
        <v>129.65333333333299</v>
      </c>
      <c r="J1768" s="11">
        <v>34.659499999999902</v>
      </c>
      <c r="K1768" s="9">
        <v>5</v>
      </c>
      <c r="L1768" s="9">
        <v>5</v>
      </c>
      <c r="M1768" s="9" t="s">
        <v>501</v>
      </c>
      <c r="N1768" s="12">
        <v>19.244895666666601</v>
      </c>
      <c r="O1768" s="11">
        <v>34.187786666666597</v>
      </c>
      <c r="P1768" s="33">
        <v>0.10558775441176449</v>
      </c>
      <c r="Q1768" s="33">
        <v>0.83393229411764835</v>
      </c>
      <c r="R1768" s="1" t="s">
        <v>280</v>
      </c>
      <c r="T1768" s="71" t="s">
        <v>626</v>
      </c>
    </row>
    <row r="1769" spans="1:20" ht="12.75" customHeight="1">
      <c r="A1769" s="1" t="s">
        <v>498</v>
      </c>
      <c r="B1769" s="1" t="s">
        <v>113</v>
      </c>
      <c r="C1769" s="1" t="s">
        <v>505</v>
      </c>
      <c r="D1769" s="5">
        <v>43709</v>
      </c>
      <c r="E1769" s="1">
        <v>2019</v>
      </c>
      <c r="F1769" s="1">
        <v>9</v>
      </c>
      <c r="G1769" s="4">
        <v>1</v>
      </c>
      <c r="H1769" s="8">
        <v>0.65325231481481483</v>
      </c>
      <c r="I1769" s="11">
        <v>130.49199999999999</v>
      </c>
      <c r="J1769" s="11">
        <v>34.834833333333336</v>
      </c>
      <c r="K1769" s="9">
        <v>0</v>
      </c>
      <c r="L1769" s="9">
        <v>0</v>
      </c>
      <c r="M1769" s="27">
        <v>0</v>
      </c>
      <c r="N1769" s="12">
        <v>26.69</v>
      </c>
      <c r="O1769" s="11">
        <v>32.603086443315249</v>
      </c>
      <c r="P1769" s="33">
        <v>-0.38062516705882388</v>
      </c>
      <c r="Q1769" s="33">
        <v>-2.3375742035294111</v>
      </c>
      <c r="R1769" s="1" t="s">
        <v>500</v>
      </c>
      <c r="T1769" s="71" t="s">
        <v>626</v>
      </c>
    </row>
    <row r="1770" spans="1:20" ht="12.75" customHeight="1">
      <c r="A1770" s="1" t="s">
        <v>498</v>
      </c>
      <c r="B1770" s="1" t="s">
        <v>229</v>
      </c>
      <c r="C1770" s="1" t="s">
        <v>505</v>
      </c>
      <c r="D1770" s="5">
        <v>43709</v>
      </c>
      <c r="E1770" s="1">
        <v>2019</v>
      </c>
      <c r="F1770" s="1">
        <v>9</v>
      </c>
      <c r="G1770" s="4">
        <v>1</v>
      </c>
      <c r="H1770" s="8">
        <v>0.73918981481481483</v>
      </c>
      <c r="I1770" s="11">
        <v>130.58216666666667</v>
      </c>
      <c r="J1770" s="11">
        <v>34.666333333333334</v>
      </c>
      <c r="K1770" s="9">
        <v>0</v>
      </c>
      <c r="L1770" s="9">
        <v>0</v>
      </c>
      <c r="M1770" s="27">
        <v>0</v>
      </c>
      <c r="N1770" s="12">
        <v>25.74</v>
      </c>
      <c r="O1770" s="11">
        <v>31.715948646155073</v>
      </c>
      <c r="P1770" s="33">
        <v>-0.64971627294117651</v>
      </c>
      <c r="Q1770" s="33">
        <v>-4.4017964764705866</v>
      </c>
      <c r="R1770" s="1" t="s">
        <v>500</v>
      </c>
      <c r="T1770" s="71" t="s">
        <v>626</v>
      </c>
    </row>
    <row r="1771" spans="1:20" ht="12.75" customHeight="1">
      <c r="A1771" s="1" t="s">
        <v>498</v>
      </c>
      <c r="B1771" s="1" t="s">
        <v>123</v>
      </c>
      <c r="C1771" s="1" t="s">
        <v>505</v>
      </c>
      <c r="D1771" s="5">
        <v>43709</v>
      </c>
      <c r="E1771" s="1">
        <v>2019</v>
      </c>
      <c r="F1771" s="1">
        <v>9</v>
      </c>
      <c r="G1771" s="4">
        <v>1</v>
      </c>
      <c r="H1771" s="8">
        <v>0.86940972222222224</v>
      </c>
      <c r="I1771" s="11">
        <v>130.41583333333332</v>
      </c>
      <c r="J1771" s="11">
        <v>34.498333333333335</v>
      </c>
      <c r="K1771" s="9">
        <v>0</v>
      </c>
      <c r="L1771" s="9">
        <v>0</v>
      </c>
      <c r="M1771" s="27">
        <v>0</v>
      </c>
      <c r="N1771" s="12">
        <v>25.61</v>
      </c>
      <c r="O1771" s="11">
        <v>32.32806679203852</v>
      </c>
      <c r="P1771" s="33">
        <v>-0.43619713882352973</v>
      </c>
      <c r="Q1771" s="33">
        <v>-3.1090478094117637</v>
      </c>
      <c r="R1771" s="1" t="s">
        <v>500</v>
      </c>
      <c r="T1771" s="71" t="s">
        <v>626</v>
      </c>
    </row>
    <row r="1772" spans="1:20" ht="12.75" customHeight="1">
      <c r="A1772" s="1" t="s">
        <v>498</v>
      </c>
      <c r="B1772" s="1" t="s">
        <v>495</v>
      </c>
      <c r="C1772" s="1" t="s">
        <v>505</v>
      </c>
      <c r="D1772" s="5">
        <v>43710</v>
      </c>
      <c r="E1772" s="1">
        <v>2019</v>
      </c>
      <c r="F1772" s="1">
        <v>9</v>
      </c>
      <c r="G1772" s="4">
        <v>2</v>
      </c>
      <c r="H1772" s="8">
        <v>0.62891203703703702</v>
      </c>
      <c r="I1772" s="11">
        <v>130.67933333333335</v>
      </c>
      <c r="J1772" s="11">
        <v>34.334166666666668</v>
      </c>
      <c r="K1772" s="9">
        <v>0</v>
      </c>
      <c r="L1772" s="9">
        <v>0</v>
      </c>
      <c r="M1772" s="27">
        <v>0</v>
      </c>
      <c r="N1772" s="12">
        <v>26.52</v>
      </c>
      <c r="O1772" s="11">
        <v>32.165892637475338</v>
      </c>
      <c r="P1772" s="33">
        <v>-0.4475234447058829</v>
      </c>
      <c r="Q1772" s="33">
        <v>-3.0279073623529413</v>
      </c>
      <c r="R1772" s="1" t="s">
        <v>500</v>
      </c>
      <c r="T1772" s="71" t="s">
        <v>626</v>
      </c>
    </row>
    <row r="1773" spans="1:20" ht="12.75" customHeight="1">
      <c r="A1773" s="1" t="s">
        <v>498</v>
      </c>
      <c r="B1773" s="1" t="s">
        <v>127</v>
      </c>
      <c r="C1773" s="1" t="s">
        <v>505</v>
      </c>
      <c r="D1773" s="5">
        <v>43710</v>
      </c>
      <c r="E1773" s="1">
        <v>2019</v>
      </c>
      <c r="F1773" s="1">
        <v>9</v>
      </c>
      <c r="G1773" s="4">
        <v>2</v>
      </c>
      <c r="H1773" s="8">
        <v>0.73878472222222225</v>
      </c>
      <c r="I1773" s="11">
        <v>130.41683333333333</v>
      </c>
      <c r="J1773" s="11">
        <v>34.332500000000003</v>
      </c>
      <c r="K1773" s="9">
        <v>0</v>
      </c>
      <c r="L1773" s="9">
        <v>0</v>
      </c>
      <c r="M1773" s="27">
        <v>0</v>
      </c>
      <c r="N1773" s="12">
        <v>26.46</v>
      </c>
      <c r="O1773" s="11">
        <v>31.937089877740821</v>
      </c>
      <c r="P1773" s="33">
        <v>-0.49427794823529458</v>
      </c>
      <c r="Q1773" s="33">
        <v>-3.3381010141176457</v>
      </c>
      <c r="R1773" s="1" t="s">
        <v>500</v>
      </c>
      <c r="T1773" s="71" t="s">
        <v>626</v>
      </c>
    </row>
    <row r="1774" spans="1:20" ht="12.75" customHeight="1">
      <c r="A1774" s="1" t="s">
        <v>498</v>
      </c>
      <c r="B1774" s="1" t="s">
        <v>128</v>
      </c>
      <c r="C1774" s="1" t="s">
        <v>505</v>
      </c>
      <c r="D1774" s="5">
        <v>43710</v>
      </c>
      <c r="E1774" s="1">
        <v>2019</v>
      </c>
      <c r="F1774" s="1">
        <v>9</v>
      </c>
      <c r="G1774" s="4">
        <v>2</v>
      </c>
      <c r="H1774" s="8">
        <v>0.88388888888888895</v>
      </c>
      <c r="I1774" s="11">
        <v>130.13249999999999</v>
      </c>
      <c r="J1774" s="11">
        <v>34.165999999999997</v>
      </c>
      <c r="K1774" s="9">
        <v>0</v>
      </c>
      <c r="L1774" s="9">
        <v>0</v>
      </c>
      <c r="M1774" s="27">
        <v>0</v>
      </c>
      <c r="N1774" s="12">
        <v>26.48</v>
      </c>
      <c r="O1774" s="11">
        <v>32.048101249528244</v>
      </c>
      <c r="P1774" s="33">
        <v>-0.49587337411764754</v>
      </c>
      <c r="Q1774" s="33">
        <v>-3.4209851670588227</v>
      </c>
      <c r="R1774" s="1" t="s">
        <v>500</v>
      </c>
      <c r="T1774" s="71" t="s">
        <v>626</v>
      </c>
    </row>
    <row r="1775" spans="1:20" ht="12.75" customHeight="1">
      <c r="A1775" s="1" t="s">
        <v>498</v>
      </c>
      <c r="B1775" s="1" t="s">
        <v>496</v>
      </c>
      <c r="C1775" s="1" t="s">
        <v>505</v>
      </c>
      <c r="D1775" s="5">
        <v>43716</v>
      </c>
      <c r="E1775" s="1">
        <v>2019</v>
      </c>
      <c r="F1775" s="1">
        <v>9</v>
      </c>
      <c r="G1775" s="4">
        <v>8</v>
      </c>
      <c r="H1775" s="8">
        <v>0.70671296296296304</v>
      </c>
      <c r="I1775" s="11">
        <v>129.6558</v>
      </c>
      <c r="J1775" s="11">
        <v>34.3337</v>
      </c>
      <c r="K1775" s="9">
        <v>0</v>
      </c>
      <c r="L1775" s="9">
        <v>0</v>
      </c>
      <c r="M1775" s="27">
        <v>0</v>
      </c>
      <c r="N1775" s="12">
        <v>27.37</v>
      </c>
      <c r="O1775" s="11">
        <v>30.734401104607262</v>
      </c>
      <c r="P1775" s="33">
        <v>-0.7264550400000005</v>
      </c>
      <c r="Q1775" s="33">
        <v>-5.0241599799999994</v>
      </c>
      <c r="R1775" s="1" t="s">
        <v>500</v>
      </c>
      <c r="T1775" s="71" t="s">
        <v>626</v>
      </c>
    </row>
    <row r="1776" spans="1:20" ht="12.75" customHeight="1">
      <c r="A1776" s="1" t="s">
        <v>498</v>
      </c>
      <c r="B1776" s="1" t="s">
        <v>232</v>
      </c>
      <c r="C1776" s="1" t="s">
        <v>505</v>
      </c>
      <c r="D1776" s="5">
        <v>43716</v>
      </c>
      <c r="E1776" s="1">
        <v>2019</v>
      </c>
      <c r="F1776" s="1">
        <v>9</v>
      </c>
      <c r="G1776" s="4">
        <v>8</v>
      </c>
      <c r="H1776" s="8">
        <v>0.76236111111111116</v>
      </c>
      <c r="I1776" s="11">
        <v>129.7492</v>
      </c>
      <c r="J1776" s="11">
        <v>34.1663</v>
      </c>
      <c r="K1776" s="9">
        <v>0</v>
      </c>
      <c r="L1776" s="9">
        <v>0</v>
      </c>
      <c r="M1776" s="27">
        <v>0</v>
      </c>
      <c r="N1776" s="12">
        <v>27.24</v>
      </c>
      <c r="O1776" s="11">
        <v>31.012635320925359</v>
      </c>
      <c r="P1776" s="33">
        <v>-0.7185266258823535</v>
      </c>
      <c r="Q1776" s="33">
        <v>-4.7701020329411756</v>
      </c>
      <c r="R1776" s="1" t="s">
        <v>500</v>
      </c>
      <c r="T1776" s="71" t="s">
        <v>626</v>
      </c>
    </row>
    <row r="1777" spans="1:20" ht="12.75" customHeight="1">
      <c r="A1777" s="1" t="s">
        <v>498</v>
      </c>
      <c r="B1777" s="1" t="s">
        <v>234</v>
      </c>
      <c r="C1777" s="1" t="s">
        <v>505</v>
      </c>
      <c r="D1777" s="5">
        <v>43716</v>
      </c>
      <c r="E1777" s="1">
        <v>2019</v>
      </c>
      <c r="F1777" s="1">
        <v>9</v>
      </c>
      <c r="G1777" s="4">
        <v>8</v>
      </c>
      <c r="H1777" s="8">
        <v>0.89408564814814817</v>
      </c>
      <c r="I1777" s="11">
        <v>129.75129999999999</v>
      </c>
      <c r="J1777" s="11">
        <v>34.0017</v>
      </c>
      <c r="K1777" s="9">
        <v>0</v>
      </c>
      <c r="L1777" s="9">
        <v>0</v>
      </c>
      <c r="M1777" s="27">
        <v>0</v>
      </c>
      <c r="N1777" s="12">
        <v>27.65</v>
      </c>
      <c r="O1777" s="11">
        <v>32.110110739578431</v>
      </c>
      <c r="P1777" s="33">
        <v>-0.47167405176470645</v>
      </c>
      <c r="Q1777" s="33">
        <v>-3.0797419258823524</v>
      </c>
      <c r="R1777" s="1" t="s">
        <v>500</v>
      </c>
      <c r="T1777" s="71" t="s">
        <v>626</v>
      </c>
    </row>
    <row r="1778" spans="1:20" ht="12.75" customHeight="1">
      <c r="A1778" s="1" t="s">
        <v>498</v>
      </c>
      <c r="B1778" s="1" t="s">
        <v>126</v>
      </c>
      <c r="C1778" s="1" t="s">
        <v>505</v>
      </c>
      <c r="D1778" s="5">
        <v>43717</v>
      </c>
      <c r="E1778" s="1">
        <v>2019</v>
      </c>
      <c r="F1778" s="1">
        <v>9</v>
      </c>
      <c r="G1778" s="4">
        <v>9</v>
      </c>
      <c r="H1778" s="8">
        <v>0.6602662037037037</v>
      </c>
      <c r="I1778" s="11">
        <v>129.9907</v>
      </c>
      <c r="J1778" s="11">
        <v>34.834000000000003</v>
      </c>
      <c r="K1778" s="9">
        <v>0</v>
      </c>
      <c r="L1778" s="9">
        <v>0</v>
      </c>
      <c r="M1778" s="27">
        <v>0</v>
      </c>
      <c r="N1778" s="12">
        <v>28.18</v>
      </c>
      <c r="O1778" s="11">
        <v>31.895528739780868</v>
      </c>
      <c r="P1778" s="33">
        <v>-0.52440835764705884</v>
      </c>
      <c r="Q1778" s="33">
        <v>-3.4222987588235281</v>
      </c>
      <c r="R1778" s="1" t="s">
        <v>500</v>
      </c>
      <c r="T1778" s="71" t="s">
        <v>626</v>
      </c>
    </row>
    <row r="1779" spans="1:20" ht="12.75" customHeight="1">
      <c r="A1779" s="1" t="s">
        <v>498</v>
      </c>
      <c r="B1779" s="1" t="s">
        <v>134</v>
      </c>
      <c r="C1779" s="1" t="s">
        <v>505</v>
      </c>
      <c r="D1779" s="5">
        <v>43717</v>
      </c>
      <c r="E1779" s="1">
        <v>2019</v>
      </c>
      <c r="F1779" s="1">
        <v>9</v>
      </c>
      <c r="G1779" s="4">
        <v>9</v>
      </c>
      <c r="H1779" s="8">
        <v>0.73234953703703709</v>
      </c>
      <c r="I1779" s="11">
        <v>130.01849999999999</v>
      </c>
      <c r="J1779" s="11">
        <v>34.6663</v>
      </c>
      <c r="K1779" s="9">
        <v>0</v>
      </c>
      <c r="L1779" s="9">
        <v>0</v>
      </c>
      <c r="M1779" s="27">
        <v>0</v>
      </c>
      <c r="N1779" s="12">
        <v>27.55</v>
      </c>
      <c r="O1779" s="11">
        <v>31.836312475443943</v>
      </c>
      <c r="P1779" s="33">
        <v>-0.52476154352941196</v>
      </c>
      <c r="Q1779" s="33">
        <v>-3.5435211917647056</v>
      </c>
      <c r="R1779" s="1" t="s">
        <v>500</v>
      </c>
      <c r="T1779" s="71" t="s">
        <v>626</v>
      </c>
    </row>
    <row r="1780" spans="1:20" ht="12.75" customHeight="1">
      <c r="A1780" s="1" t="s">
        <v>498</v>
      </c>
      <c r="B1780" s="1" t="s">
        <v>236</v>
      </c>
      <c r="C1780" s="1" t="s">
        <v>505</v>
      </c>
      <c r="D1780" s="5">
        <v>43717</v>
      </c>
      <c r="E1780" s="1">
        <v>2019</v>
      </c>
      <c r="F1780" s="1">
        <v>9</v>
      </c>
      <c r="G1780" s="4">
        <v>9</v>
      </c>
      <c r="H1780" s="8">
        <v>0.87728009259259254</v>
      </c>
      <c r="I1780" s="11">
        <v>129.84700000000001</v>
      </c>
      <c r="J1780" s="11">
        <v>34.503500000000003</v>
      </c>
      <c r="K1780" s="9">
        <v>0</v>
      </c>
      <c r="L1780" s="9">
        <v>0</v>
      </c>
      <c r="M1780" s="27">
        <v>0</v>
      </c>
      <c r="N1780" s="12">
        <v>27.74</v>
      </c>
      <c r="O1780" s="11">
        <v>30.750562761201021</v>
      </c>
      <c r="P1780" s="33">
        <v>-0.76817968941176495</v>
      </c>
      <c r="Q1780" s="33">
        <v>-5.048676484705882</v>
      </c>
      <c r="R1780" s="1" t="s">
        <v>500</v>
      </c>
      <c r="T1780" s="71" t="s">
        <v>626</v>
      </c>
    </row>
    <row r="1781" spans="1:20" ht="12.75" customHeight="1">
      <c r="A1781" s="1" t="s">
        <v>498</v>
      </c>
      <c r="B1781" s="1" t="s">
        <v>131</v>
      </c>
      <c r="C1781" s="1" t="s">
        <v>505</v>
      </c>
      <c r="D1781" s="5">
        <v>43718</v>
      </c>
      <c r="E1781" s="1">
        <v>2019</v>
      </c>
      <c r="F1781" s="1">
        <v>9</v>
      </c>
      <c r="G1781" s="4">
        <v>10</v>
      </c>
      <c r="H1781" s="8">
        <v>0.64113425925925926</v>
      </c>
      <c r="I1781" s="11">
        <v>128.4897</v>
      </c>
      <c r="J1781" s="11">
        <v>33.498800000000003</v>
      </c>
      <c r="K1781" s="9">
        <v>0</v>
      </c>
      <c r="L1781" s="9">
        <v>0</v>
      </c>
      <c r="M1781" s="27">
        <v>0</v>
      </c>
      <c r="N1781" s="12">
        <v>28.43</v>
      </c>
      <c r="O1781" s="11">
        <v>33.124396358621546</v>
      </c>
      <c r="P1781" s="33">
        <v>-0.2398103247058827</v>
      </c>
      <c r="Q1781" s="33">
        <v>-1.4528508741176474</v>
      </c>
      <c r="R1781" s="1" t="s">
        <v>500</v>
      </c>
      <c r="T1781" s="71" t="s">
        <v>626</v>
      </c>
    </row>
    <row r="1782" spans="1:20" ht="12.75" customHeight="1">
      <c r="A1782" s="1" t="s">
        <v>498</v>
      </c>
      <c r="B1782" s="1" t="s">
        <v>136</v>
      </c>
      <c r="C1782" s="1" t="s">
        <v>505</v>
      </c>
      <c r="D1782" s="5">
        <v>43718</v>
      </c>
      <c r="E1782" s="1">
        <v>2019</v>
      </c>
      <c r="F1782" s="1">
        <v>9</v>
      </c>
      <c r="G1782" s="4">
        <v>10</v>
      </c>
      <c r="H1782" s="8">
        <v>0.73445601851851849</v>
      </c>
      <c r="I1782" s="11">
        <v>128.65</v>
      </c>
      <c r="J1782" s="11">
        <v>33.835299999999997</v>
      </c>
      <c r="K1782" s="9">
        <v>0</v>
      </c>
      <c r="L1782" s="9">
        <v>0</v>
      </c>
      <c r="M1782" s="27">
        <v>0</v>
      </c>
      <c r="N1782" s="12">
        <v>27.83</v>
      </c>
      <c r="O1782" s="11">
        <v>32.324868281823946</v>
      </c>
      <c r="P1782" s="33">
        <v>-0.37343195764705905</v>
      </c>
      <c r="Q1782" s="33">
        <v>-2.4627355729411766</v>
      </c>
      <c r="R1782" s="1" t="s">
        <v>500</v>
      </c>
      <c r="T1782" s="71" t="s">
        <v>626</v>
      </c>
    </row>
    <row r="1783" spans="1:20" ht="12.75" customHeight="1">
      <c r="A1783" s="1" t="s">
        <v>498</v>
      </c>
      <c r="B1783" s="1" t="s">
        <v>238</v>
      </c>
      <c r="C1783" s="1" t="s">
        <v>505</v>
      </c>
      <c r="D1783" s="5">
        <v>43718</v>
      </c>
      <c r="E1783" s="1">
        <v>2019</v>
      </c>
      <c r="F1783" s="1">
        <v>9</v>
      </c>
      <c r="G1783" s="4">
        <v>10</v>
      </c>
      <c r="H1783" s="8">
        <v>0.88482638888888887</v>
      </c>
      <c r="I1783" s="11">
        <v>128.71680000000001</v>
      </c>
      <c r="J1783" s="11">
        <v>33.666200000000003</v>
      </c>
      <c r="K1783" s="9">
        <v>0</v>
      </c>
      <c r="L1783" s="9">
        <v>0</v>
      </c>
      <c r="M1783" s="27">
        <v>0</v>
      </c>
      <c r="N1783" s="12">
        <v>28.01</v>
      </c>
      <c r="O1783" s="11">
        <v>33.181964128165625</v>
      </c>
      <c r="P1783" s="33">
        <v>-0.22502163058823577</v>
      </c>
      <c r="Q1783" s="33">
        <v>-1.3818006717647062</v>
      </c>
      <c r="R1783" s="1" t="s">
        <v>500</v>
      </c>
      <c r="T1783" s="71" t="s">
        <v>626</v>
      </c>
    </row>
    <row r="1784" spans="1:20" ht="12.75" customHeight="1">
      <c r="A1784" s="1" t="s">
        <v>498</v>
      </c>
      <c r="B1784" s="1" t="s">
        <v>235</v>
      </c>
      <c r="C1784" s="1" t="s">
        <v>505</v>
      </c>
      <c r="D1784" s="5">
        <v>43719</v>
      </c>
      <c r="E1784" s="1">
        <v>2019</v>
      </c>
      <c r="F1784" s="1">
        <v>9</v>
      </c>
      <c r="G1784" s="4">
        <v>11</v>
      </c>
      <c r="H1784" s="8">
        <v>0.77717592592592588</v>
      </c>
      <c r="I1784" s="11">
        <v>128.9922</v>
      </c>
      <c r="J1784" s="11">
        <v>32.332000000000001</v>
      </c>
      <c r="K1784" s="9">
        <v>0</v>
      </c>
      <c r="L1784" s="9">
        <v>0</v>
      </c>
      <c r="M1784" s="27">
        <v>0</v>
      </c>
      <c r="N1784" s="12">
        <v>28.3</v>
      </c>
      <c r="O1784" s="11">
        <v>33.412508476553555</v>
      </c>
      <c r="P1784" s="33">
        <v>-0.13806654352941194</v>
      </c>
      <c r="Q1784" s="33">
        <v>-1.1010291505882357</v>
      </c>
      <c r="R1784" s="1" t="s">
        <v>500</v>
      </c>
      <c r="T1784" s="71" t="s">
        <v>626</v>
      </c>
    </row>
    <row r="1785" spans="1:20" ht="12.75" customHeight="1">
      <c r="A1785" s="1" t="s">
        <v>498</v>
      </c>
      <c r="B1785" s="1" t="s">
        <v>237</v>
      </c>
      <c r="C1785" s="1" t="s">
        <v>505</v>
      </c>
      <c r="D1785" s="5">
        <v>43720</v>
      </c>
      <c r="E1785" s="1">
        <v>2019</v>
      </c>
      <c r="F1785" s="1">
        <v>9</v>
      </c>
      <c r="G1785" s="4">
        <v>12</v>
      </c>
      <c r="H1785" s="8">
        <v>0.77447916666666661</v>
      </c>
      <c r="I1785" s="11">
        <v>128.1583</v>
      </c>
      <c r="J1785" s="11">
        <v>33.001800000000003</v>
      </c>
      <c r="K1785" s="9">
        <v>0</v>
      </c>
      <c r="L1785" s="9">
        <v>0</v>
      </c>
      <c r="M1785" s="27">
        <v>0</v>
      </c>
      <c r="N1785" s="12">
        <v>28</v>
      </c>
      <c r="O1785" s="11">
        <v>33.530091220180346</v>
      </c>
      <c r="P1785" s="33">
        <v>-0.15436453647058901</v>
      </c>
      <c r="Q1785" s="33">
        <v>-0.82855766941176334</v>
      </c>
      <c r="R1785" s="1" t="s">
        <v>500</v>
      </c>
      <c r="T1785" s="71" t="s">
        <v>626</v>
      </c>
    </row>
    <row r="1786" spans="1:20" ht="12.75" customHeight="1">
      <c r="A1786" s="1" t="s">
        <v>498</v>
      </c>
      <c r="B1786" s="1" t="s">
        <v>239</v>
      </c>
      <c r="C1786" s="1" t="s">
        <v>505</v>
      </c>
      <c r="D1786" s="5">
        <v>43720</v>
      </c>
      <c r="E1786" s="1">
        <v>2019</v>
      </c>
      <c r="F1786" s="1">
        <v>9</v>
      </c>
      <c r="G1786" s="4">
        <v>12</v>
      </c>
      <c r="H1786" s="8">
        <v>0.96158564814814806</v>
      </c>
      <c r="I1786" s="11">
        <v>128.6643</v>
      </c>
      <c r="J1786" s="11">
        <v>33.1648</v>
      </c>
      <c r="K1786" s="9">
        <v>0</v>
      </c>
      <c r="L1786" s="9">
        <v>0</v>
      </c>
      <c r="M1786" s="27">
        <v>0</v>
      </c>
      <c r="N1786" s="12">
        <v>27.61</v>
      </c>
      <c r="O1786" s="11">
        <v>33.254916295075873</v>
      </c>
      <c r="P1786" s="33">
        <v>-0.19652752941176521</v>
      </c>
      <c r="Q1786" s="33">
        <v>-1.3212708282352938</v>
      </c>
      <c r="R1786" s="1" t="s">
        <v>500</v>
      </c>
      <c r="T1786" s="71" t="s">
        <v>626</v>
      </c>
    </row>
    <row r="1787" spans="1:20" ht="12.75" customHeight="1">
      <c r="A1787" s="1" t="s">
        <v>498</v>
      </c>
      <c r="B1787" s="1" t="s">
        <v>146</v>
      </c>
      <c r="C1787" s="1" t="s">
        <v>505</v>
      </c>
      <c r="D1787" s="5">
        <v>43721</v>
      </c>
      <c r="E1787" s="1">
        <v>2019</v>
      </c>
      <c r="F1787" s="1">
        <v>9</v>
      </c>
      <c r="G1787" s="4">
        <v>13</v>
      </c>
      <c r="H1787" s="8">
        <v>0.79945601851851855</v>
      </c>
      <c r="I1787" s="11">
        <v>127.99169999999999</v>
      </c>
      <c r="J1787" s="11">
        <v>32.501800000000003</v>
      </c>
      <c r="K1787" s="9">
        <v>0</v>
      </c>
      <c r="L1787" s="9">
        <v>0</v>
      </c>
      <c r="M1787" s="27">
        <v>0</v>
      </c>
      <c r="N1787" s="12">
        <v>28.05</v>
      </c>
      <c r="O1787" s="11">
        <v>33.658108980654696</v>
      </c>
      <c r="P1787" s="33">
        <v>-4.873796235294181E-2</v>
      </c>
      <c r="Q1787" s="33">
        <v>-0.53577782705882271</v>
      </c>
      <c r="R1787" s="1" t="s">
        <v>500</v>
      </c>
      <c r="T1787" s="71" t="s">
        <v>626</v>
      </c>
    </row>
    <row r="1788" spans="1:20" ht="12.75" customHeight="1">
      <c r="A1788" s="1" t="s">
        <v>498</v>
      </c>
      <c r="B1788" s="1" t="s">
        <v>240</v>
      </c>
      <c r="C1788" s="1" t="s">
        <v>505</v>
      </c>
      <c r="D1788" s="5">
        <v>43721</v>
      </c>
      <c r="E1788" s="1">
        <v>2019</v>
      </c>
      <c r="F1788" s="1">
        <v>9</v>
      </c>
      <c r="G1788" s="4">
        <v>13</v>
      </c>
      <c r="H1788" s="8">
        <v>0.88478009259259249</v>
      </c>
      <c r="I1788" s="11">
        <v>128.13200000000001</v>
      </c>
      <c r="J1788" s="11">
        <v>32.668199999999999</v>
      </c>
      <c r="K1788" s="9">
        <v>0</v>
      </c>
      <c r="L1788" s="9">
        <v>0</v>
      </c>
      <c r="M1788" s="27">
        <v>0</v>
      </c>
      <c r="N1788" s="12">
        <v>27.63</v>
      </c>
      <c r="O1788" s="11">
        <v>32.87094336362653</v>
      </c>
      <c r="P1788" s="33">
        <v>-0.28484585411764729</v>
      </c>
      <c r="Q1788" s="33">
        <v>-1.8331415023529427</v>
      </c>
      <c r="R1788" s="1" t="s">
        <v>500</v>
      </c>
      <c r="T1788" s="71" t="s">
        <v>626</v>
      </c>
    </row>
    <row r="1789" spans="1:20" ht="12.75" customHeight="1">
      <c r="A1789" s="1" t="s">
        <v>498</v>
      </c>
      <c r="B1789" s="1" t="s">
        <v>497</v>
      </c>
      <c r="C1789" s="1" t="s">
        <v>505</v>
      </c>
      <c r="D1789" s="5">
        <v>43722</v>
      </c>
      <c r="E1789" s="1">
        <v>2019</v>
      </c>
      <c r="F1789" s="1">
        <v>9</v>
      </c>
      <c r="G1789" s="4">
        <v>14</v>
      </c>
      <c r="H1789" s="8">
        <v>0.65472222222222221</v>
      </c>
      <c r="I1789" s="11">
        <v>127.9923</v>
      </c>
      <c r="J1789" s="11">
        <v>32.000799999999998</v>
      </c>
      <c r="K1789" s="9">
        <v>0</v>
      </c>
      <c r="L1789" s="9">
        <v>0</v>
      </c>
      <c r="M1789" s="27">
        <v>0</v>
      </c>
      <c r="N1789" s="12">
        <v>28.71</v>
      </c>
      <c r="O1789" s="11">
        <v>33.627348584028731</v>
      </c>
      <c r="P1789" s="33">
        <v>-0.12091652705882394</v>
      </c>
      <c r="Q1789" s="33">
        <v>-0.59826062117647183</v>
      </c>
      <c r="R1789" s="1" t="s">
        <v>500</v>
      </c>
      <c r="T1789" s="71" t="s">
        <v>626</v>
      </c>
    </row>
    <row r="1790" spans="1:20" ht="12.75" customHeight="1">
      <c r="A1790" s="1" t="s">
        <v>498</v>
      </c>
      <c r="B1790" s="1" t="s">
        <v>241</v>
      </c>
      <c r="C1790" s="1" t="s">
        <v>505</v>
      </c>
      <c r="D1790" s="5">
        <v>43722</v>
      </c>
      <c r="E1790" s="1">
        <v>2019</v>
      </c>
      <c r="F1790" s="1">
        <v>9</v>
      </c>
      <c r="G1790" s="4">
        <v>14</v>
      </c>
      <c r="H1790" s="8">
        <v>0.74454861111111104</v>
      </c>
      <c r="I1790" s="11">
        <v>128.13383333333334</v>
      </c>
      <c r="J1790" s="11">
        <v>32.333166666666664</v>
      </c>
      <c r="K1790" s="9">
        <v>0</v>
      </c>
      <c r="L1790" s="9">
        <v>0</v>
      </c>
      <c r="M1790" s="27">
        <v>0</v>
      </c>
      <c r="N1790" s="12">
        <v>28.42</v>
      </c>
      <c r="O1790" s="11">
        <v>33.246868749033133</v>
      </c>
      <c r="P1790" s="33">
        <v>-0.23177696000000059</v>
      </c>
      <c r="Q1790" s="33">
        <v>-1.1775313400000034</v>
      </c>
      <c r="R1790" s="1" t="s">
        <v>500</v>
      </c>
      <c r="T1790" s="71" t="s">
        <v>626</v>
      </c>
    </row>
    <row r="1791" spans="1:20" ht="12.75" customHeight="1">
      <c r="A1791" s="1" t="s">
        <v>498</v>
      </c>
      <c r="B1791" s="1" t="s">
        <v>443</v>
      </c>
      <c r="C1791" s="1" t="s">
        <v>505</v>
      </c>
      <c r="D1791" s="5">
        <v>43722</v>
      </c>
      <c r="E1791" s="1">
        <v>2019</v>
      </c>
      <c r="F1791" s="1">
        <v>9</v>
      </c>
      <c r="G1791" s="4">
        <v>14</v>
      </c>
      <c r="H1791" s="8">
        <v>0.87244212962962964</v>
      </c>
      <c r="I1791" s="11">
        <v>128.2003</v>
      </c>
      <c r="J1791" s="11">
        <v>32.166800000000002</v>
      </c>
      <c r="K1791" s="9">
        <v>0</v>
      </c>
      <c r="L1791" s="9">
        <v>0</v>
      </c>
      <c r="M1791" s="27">
        <v>0</v>
      </c>
      <c r="N1791" s="12">
        <v>28.51</v>
      </c>
      <c r="O1791" s="11">
        <v>33.42622106789517</v>
      </c>
      <c r="P1791" s="33">
        <v>-0.17275607294117679</v>
      </c>
      <c r="Q1791" s="33">
        <v>-0.93430761882352797</v>
      </c>
      <c r="R1791" s="1" t="s">
        <v>500</v>
      </c>
      <c r="T1791" s="71" t="s">
        <v>626</v>
      </c>
    </row>
    <row r="1792" spans="1:20" ht="12.75" customHeight="1">
      <c r="A1792" s="1" t="s">
        <v>498</v>
      </c>
      <c r="B1792" s="1" t="s">
        <v>244</v>
      </c>
      <c r="C1792" s="1" t="s">
        <v>505</v>
      </c>
      <c r="D1792" s="5">
        <v>43723</v>
      </c>
      <c r="E1792" s="1">
        <v>2019</v>
      </c>
      <c r="F1792" s="1">
        <v>9</v>
      </c>
      <c r="G1792" s="4">
        <v>15</v>
      </c>
      <c r="H1792" s="8">
        <v>0.65085648148148145</v>
      </c>
      <c r="I1792" s="11">
        <v>127.99299999999999</v>
      </c>
      <c r="J1792" s="11">
        <v>31.501000000000001</v>
      </c>
      <c r="K1792" s="9">
        <v>0</v>
      </c>
      <c r="L1792" s="9">
        <v>0</v>
      </c>
      <c r="M1792" s="27">
        <v>0</v>
      </c>
      <c r="N1792" s="12">
        <v>28.88</v>
      </c>
      <c r="O1792" s="11">
        <v>33.655069812827726</v>
      </c>
      <c r="P1792" s="33">
        <v>-0.14486515032679748</v>
      </c>
      <c r="Q1792" s="33">
        <v>-0.67997326209150444</v>
      </c>
      <c r="R1792" s="1" t="s">
        <v>500</v>
      </c>
      <c r="T1792" s="71" t="s">
        <v>626</v>
      </c>
    </row>
    <row r="1793" spans="1:20" ht="12.75" customHeight="1">
      <c r="A1793" s="1" t="s">
        <v>498</v>
      </c>
      <c r="B1793" s="1" t="s">
        <v>243</v>
      </c>
      <c r="C1793" s="1" t="s">
        <v>505</v>
      </c>
      <c r="D1793" s="5">
        <v>43723</v>
      </c>
      <c r="E1793" s="1">
        <v>2019</v>
      </c>
      <c r="F1793" s="1">
        <v>9</v>
      </c>
      <c r="G1793" s="4">
        <v>15</v>
      </c>
      <c r="H1793" s="8">
        <v>0.73486111111111108</v>
      </c>
      <c r="I1793" s="11">
        <v>128.31700000000001</v>
      </c>
      <c r="J1793" s="11">
        <v>31.499333333333333</v>
      </c>
      <c r="K1793" s="9">
        <v>0</v>
      </c>
      <c r="L1793" s="9">
        <v>0</v>
      </c>
      <c r="M1793" s="27">
        <v>0</v>
      </c>
      <c r="N1793" s="12">
        <v>28.93</v>
      </c>
      <c r="O1793" s="11">
        <v>33.592366328816198</v>
      </c>
      <c r="P1793" s="33">
        <v>-0.12548093882353006</v>
      </c>
      <c r="Q1793" s="33">
        <v>-0.72986391647058824</v>
      </c>
      <c r="R1793" s="1" t="s">
        <v>500</v>
      </c>
      <c r="T1793" s="71" t="s">
        <v>626</v>
      </c>
    </row>
    <row r="1794" spans="1:20" ht="12.75" customHeight="1">
      <c r="A1794" s="1" t="s">
        <v>498</v>
      </c>
      <c r="B1794" s="1" t="s">
        <v>245</v>
      </c>
      <c r="C1794" s="1" t="s">
        <v>505</v>
      </c>
      <c r="D1794" s="5">
        <v>43723</v>
      </c>
      <c r="E1794" s="1">
        <v>2019</v>
      </c>
      <c r="F1794" s="1">
        <v>9</v>
      </c>
      <c r="G1794" s="4">
        <v>15</v>
      </c>
      <c r="H1794" s="8">
        <v>0.84951388888888879</v>
      </c>
      <c r="I1794" s="11">
        <v>128.38383333333334</v>
      </c>
      <c r="J1794" s="11">
        <v>31.484333333333332</v>
      </c>
      <c r="K1794" s="9">
        <v>0</v>
      </c>
      <c r="L1794" s="9">
        <v>0</v>
      </c>
      <c r="M1794" s="27">
        <v>0</v>
      </c>
      <c r="N1794" s="12">
        <v>28.97</v>
      </c>
      <c r="O1794" s="11">
        <v>33.629459729270863</v>
      </c>
      <c r="P1794" s="33">
        <v>-0.15626333176470553</v>
      </c>
      <c r="Q1794" s="33">
        <v>-0.75975103529411925</v>
      </c>
      <c r="R1794" s="1" t="s">
        <v>500</v>
      </c>
      <c r="T1794" s="71" t="s">
        <v>626</v>
      </c>
    </row>
    <row r="1795" spans="1:20" ht="12.75" customHeight="1">
      <c r="A1795" s="1" t="s">
        <v>498</v>
      </c>
      <c r="B1795" s="1" t="s">
        <v>246</v>
      </c>
      <c r="C1795" s="1" t="s">
        <v>505</v>
      </c>
      <c r="D1795" s="5">
        <v>43724</v>
      </c>
      <c r="E1795" s="1">
        <v>2019</v>
      </c>
      <c r="F1795" s="1">
        <v>9</v>
      </c>
      <c r="G1795" s="4">
        <v>16</v>
      </c>
      <c r="H1795" s="8">
        <v>0.65871527777777772</v>
      </c>
      <c r="I1795" s="11">
        <v>129.32749999999999</v>
      </c>
      <c r="J1795" s="11">
        <v>32.163666666666664</v>
      </c>
      <c r="K1795" s="9">
        <v>0</v>
      </c>
      <c r="L1795" s="9">
        <v>0</v>
      </c>
      <c r="M1795" s="27">
        <v>0</v>
      </c>
      <c r="N1795" s="12">
        <v>27.16</v>
      </c>
      <c r="O1795" s="11">
        <v>33.168108780602509</v>
      </c>
      <c r="P1795" s="33">
        <v>-0.18828724470588254</v>
      </c>
      <c r="Q1795" s="33">
        <v>-1.3459384541176469</v>
      </c>
      <c r="R1795" s="1" t="s">
        <v>500</v>
      </c>
      <c r="T1795" s="71" t="s">
        <v>626</v>
      </c>
    </row>
    <row r="1796" spans="1:20" ht="12.75" customHeight="1">
      <c r="A1796" s="1" t="s">
        <v>498</v>
      </c>
      <c r="B1796" s="1" t="s">
        <v>444</v>
      </c>
      <c r="C1796" s="1" t="s">
        <v>505</v>
      </c>
      <c r="D1796" s="5">
        <v>43724</v>
      </c>
      <c r="E1796" s="1">
        <v>2019</v>
      </c>
      <c r="F1796" s="1">
        <v>9</v>
      </c>
      <c r="G1796" s="4">
        <v>16</v>
      </c>
      <c r="H1796" s="8">
        <v>0.73046296296296298</v>
      </c>
      <c r="I1796" s="11">
        <v>129.3485</v>
      </c>
      <c r="J1796" s="11">
        <v>31.999500000000001</v>
      </c>
      <c r="K1796" s="9">
        <v>0</v>
      </c>
      <c r="L1796" s="9">
        <v>0</v>
      </c>
      <c r="M1796" s="27">
        <v>0</v>
      </c>
      <c r="N1796" s="12">
        <v>27.62</v>
      </c>
      <c r="O1796" s="11">
        <v>33.086560398147668</v>
      </c>
      <c r="P1796" s="33">
        <v>-0.2428657364705884</v>
      </c>
      <c r="Q1796" s="33">
        <v>-1.6126015152941182</v>
      </c>
      <c r="R1796" s="1" t="s">
        <v>500</v>
      </c>
      <c r="T1796" s="71" t="s">
        <v>626</v>
      </c>
    </row>
    <row r="1797" spans="1:20" ht="12.75" customHeight="1">
      <c r="A1797" s="1" t="s">
        <v>498</v>
      </c>
      <c r="B1797" s="1" t="s">
        <v>445</v>
      </c>
      <c r="C1797" s="1" t="s">
        <v>505</v>
      </c>
      <c r="D1797" s="5">
        <v>43724</v>
      </c>
      <c r="E1797" s="1">
        <v>2019</v>
      </c>
      <c r="F1797" s="1">
        <v>9</v>
      </c>
      <c r="G1797" s="4">
        <v>16</v>
      </c>
      <c r="H1797" s="8">
        <v>0.85995370370370372</v>
      </c>
      <c r="I1797" s="11">
        <v>129.33449999999999</v>
      </c>
      <c r="J1797" s="11">
        <v>31.932166666666667</v>
      </c>
      <c r="K1797" s="9">
        <v>0</v>
      </c>
      <c r="L1797" s="9">
        <v>0</v>
      </c>
      <c r="M1797" s="27">
        <v>0</v>
      </c>
      <c r="N1797" s="12">
        <v>28.05</v>
      </c>
      <c r="O1797" s="11">
        <v>33.525982665814283</v>
      </c>
      <c r="P1797" s="33">
        <v>-0.11223741176470625</v>
      </c>
      <c r="Q1797" s="33">
        <v>-0.78532684235294248</v>
      </c>
      <c r="R1797" s="1" t="s">
        <v>500</v>
      </c>
      <c r="T1797" s="71" t="s">
        <v>626</v>
      </c>
    </row>
    <row r="1798" spans="1:20" ht="12.75" customHeight="1">
      <c r="A1798" s="26" t="s">
        <v>176</v>
      </c>
      <c r="B1798" s="26">
        <v>35</v>
      </c>
      <c r="C1798" s="26" t="s">
        <v>509</v>
      </c>
      <c r="D1798" s="25">
        <v>42947</v>
      </c>
      <c r="E1798" s="19">
        <f t="shared" ref="E1798:E1829" si="105">YEAR(D1798)</f>
        <v>2017</v>
      </c>
      <c r="F1798" s="19">
        <f t="shared" ref="F1798:F1829" si="106">MONTH(D1798)</f>
        <v>7</v>
      </c>
      <c r="G1798" s="30">
        <f t="shared" ref="G1798:G1829" si="107">DAY(D1798)</f>
        <v>31</v>
      </c>
      <c r="H1798" s="29" t="s">
        <v>287</v>
      </c>
      <c r="I1798" s="22">
        <v>134.98099999999999</v>
      </c>
      <c r="J1798" s="22">
        <v>37.523499999999999</v>
      </c>
      <c r="K1798" s="27">
        <v>10</v>
      </c>
      <c r="L1798" s="27">
        <v>10</v>
      </c>
      <c r="M1798" s="27" t="s">
        <v>287</v>
      </c>
      <c r="N1798" s="21">
        <v>24.206600000000002</v>
      </c>
      <c r="O1798" s="24">
        <v>34.3292</v>
      </c>
      <c r="P1798" s="20">
        <v>4.836256823529439E-2</v>
      </c>
      <c r="Q1798" s="20">
        <v>0.53431626117647291</v>
      </c>
      <c r="R1798" s="26" t="s">
        <v>279</v>
      </c>
      <c r="S1798" s="26"/>
      <c r="T1798" s="71" t="s">
        <v>626</v>
      </c>
    </row>
    <row r="1799" spans="1:20" ht="12.75" customHeight="1">
      <c r="A1799" s="26" t="s">
        <v>176</v>
      </c>
      <c r="B1799" s="26">
        <v>37</v>
      </c>
      <c r="C1799" s="26" t="s">
        <v>509</v>
      </c>
      <c r="D1799" s="25">
        <v>42947</v>
      </c>
      <c r="E1799" s="19">
        <f t="shared" si="105"/>
        <v>2017</v>
      </c>
      <c r="F1799" s="19">
        <f t="shared" si="106"/>
        <v>7</v>
      </c>
      <c r="G1799" s="30">
        <f t="shared" si="107"/>
        <v>31</v>
      </c>
      <c r="H1799" s="29" t="s">
        <v>287</v>
      </c>
      <c r="I1799" s="22">
        <v>135.29465999999999</v>
      </c>
      <c r="J1799" s="22">
        <v>37.296329999999998</v>
      </c>
      <c r="K1799" s="27">
        <v>10</v>
      </c>
      <c r="L1799" s="27">
        <v>10</v>
      </c>
      <c r="M1799" s="27" t="s">
        <v>287</v>
      </c>
      <c r="N1799" s="21">
        <v>26.383400000000002</v>
      </c>
      <c r="O1799" s="24">
        <v>33.924700000000001</v>
      </c>
      <c r="P1799" s="20">
        <v>-5.4947192941176226E-2</v>
      </c>
      <c r="Q1799" s="20">
        <v>-0.3568303847058818</v>
      </c>
      <c r="R1799" s="26" t="s">
        <v>279</v>
      </c>
      <c r="S1799" s="26">
        <v>1</v>
      </c>
      <c r="T1799" s="71" t="s">
        <v>626</v>
      </c>
    </row>
    <row r="1800" spans="1:20" ht="12.75" customHeight="1">
      <c r="A1800" s="26" t="s">
        <v>176</v>
      </c>
      <c r="B1800" s="26">
        <v>37</v>
      </c>
      <c r="C1800" s="26" t="s">
        <v>509</v>
      </c>
      <c r="D1800" s="25">
        <v>42947</v>
      </c>
      <c r="E1800" s="19">
        <f t="shared" si="105"/>
        <v>2017</v>
      </c>
      <c r="F1800" s="19">
        <f t="shared" si="106"/>
        <v>7</v>
      </c>
      <c r="G1800" s="30">
        <f t="shared" si="107"/>
        <v>31</v>
      </c>
      <c r="H1800" s="29" t="s">
        <v>287</v>
      </c>
      <c r="I1800" s="22">
        <v>135.29465999999999</v>
      </c>
      <c r="J1800" s="22">
        <v>37.296329999999998</v>
      </c>
      <c r="K1800" s="27">
        <v>50</v>
      </c>
      <c r="L1800" s="27">
        <v>50</v>
      </c>
      <c r="M1800" s="27" t="s">
        <v>287</v>
      </c>
      <c r="N1800" s="21">
        <v>17.1769</v>
      </c>
      <c r="O1800" s="24">
        <v>34.601799999999997</v>
      </c>
      <c r="P1800" s="20">
        <v>0.17740122588235341</v>
      </c>
      <c r="Q1800" s="20">
        <v>1.0253188494117644</v>
      </c>
      <c r="R1800" s="26" t="s">
        <v>279</v>
      </c>
      <c r="S1800" s="26">
        <v>1</v>
      </c>
      <c r="T1800" s="71" t="s">
        <v>626</v>
      </c>
    </row>
    <row r="1801" spans="1:20" ht="12.75" customHeight="1">
      <c r="A1801" s="26" t="s">
        <v>176</v>
      </c>
      <c r="B1801" s="26">
        <v>37</v>
      </c>
      <c r="C1801" s="26" t="s">
        <v>509</v>
      </c>
      <c r="D1801" s="25">
        <v>42947</v>
      </c>
      <c r="E1801" s="19">
        <f t="shared" si="105"/>
        <v>2017</v>
      </c>
      <c r="F1801" s="19">
        <f t="shared" si="106"/>
        <v>7</v>
      </c>
      <c r="G1801" s="30">
        <f t="shared" si="107"/>
        <v>31</v>
      </c>
      <c r="H1801" s="29" t="s">
        <v>287</v>
      </c>
      <c r="I1801" s="22">
        <v>135.29465999999999</v>
      </c>
      <c r="J1801" s="22">
        <v>37.296329999999998</v>
      </c>
      <c r="K1801" s="27">
        <v>100</v>
      </c>
      <c r="L1801" s="27">
        <v>100</v>
      </c>
      <c r="M1801" s="27" t="s">
        <v>287</v>
      </c>
      <c r="N1801" s="21">
        <v>12.387700000000001</v>
      </c>
      <c r="O1801" s="24">
        <v>34.395699999999998</v>
      </c>
      <c r="P1801" s="20">
        <v>0.15708328117647063</v>
      </c>
      <c r="Q1801" s="20">
        <v>0.70784994588235328</v>
      </c>
      <c r="R1801" s="26" t="s">
        <v>279</v>
      </c>
      <c r="S1801" s="26">
        <v>1</v>
      </c>
      <c r="T1801" s="71" t="s">
        <v>626</v>
      </c>
    </row>
    <row r="1802" spans="1:20" ht="12.75" customHeight="1">
      <c r="A1802" s="26" t="s">
        <v>176</v>
      </c>
      <c r="B1802" s="26">
        <v>37</v>
      </c>
      <c r="C1802" s="26" t="s">
        <v>509</v>
      </c>
      <c r="D1802" s="25">
        <v>42947</v>
      </c>
      <c r="E1802" s="19">
        <f t="shared" si="105"/>
        <v>2017</v>
      </c>
      <c r="F1802" s="19">
        <f t="shared" si="106"/>
        <v>7</v>
      </c>
      <c r="G1802" s="30">
        <f t="shared" si="107"/>
        <v>31</v>
      </c>
      <c r="H1802" s="29" t="s">
        <v>287</v>
      </c>
      <c r="I1802" s="22">
        <v>135.29465999999999</v>
      </c>
      <c r="J1802" s="22">
        <v>37.296329999999998</v>
      </c>
      <c r="K1802" s="27">
        <v>150</v>
      </c>
      <c r="L1802" s="27">
        <v>150</v>
      </c>
      <c r="M1802" s="27" t="s">
        <v>287</v>
      </c>
      <c r="N1802" s="21">
        <v>6.1839000000000004</v>
      </c>
      <c r="O1802" s="24">
        <v>34.050400000000003</v>
      </c>
      <c r="P1802" s="20">
        <v>2.9812440000000162E-2</v>
      </c>
      <c r="Q1802" s="20">
        <v>-0.2591254799999998</v>
      </c>
      <c r="R1802" s="26" t="s">
        <v>279</v>
      </c>
      <c r="S1802" s="26">
        <v>1</v>
      </c>
      <c r="T1802" s="71" t="s">
        <v>626</v>
      </c>
    </row>
    <row r="1803" spans="1:20" ht="12.75" customHeight="1">
      <c r="A1803" s="26" t="s">
        <v>176</v>
      </c>
      <c r="B1803" s="26">
        <v>37</v>
      </c>
      <c r="C1803" s="26" t="s">
        <v>509</v>
      </c>
      <c r="D1803" s="25">
        <v>42947</v>
      </c>
      <c r="E1803" s="19">
        <f t="shared" si="105"/>
        <v>2017</v>
      </c>
      <c r="F1803" s="19">
        <f t="shared" si="106"/>
        <v>7</v>
      </c>
      <c r="G1803" s="30">
        <f t="shared" si="107"/>
        <v>31</v>
      </c>
      <c r="H1803" s="29" t="s">
        <v>287</v>
      </c>
      <c r="I1803" s="22">
        <v>135.29465999999999</v>
      </c>
      <c r="J1803" s="22">
        <v>37.296329999999998</v>
      </c>
      <c r="K1803" s="27">
        <v>200</v>
      </c>
      <c r="L1803" s="27">
        <v>200</v>
      </c>
      <c r="M1803" s="27" t="s">
        <v>287</v>
      </c>
      <c r="N1803" s="21">
        <v>2.2143000000000002</v>
      </c>
      <c r="O1803" s="24">
        <v>33.985100000000003</v>
      </c>
      <c r="P1803" s="20">
        <v>-3.6446811764700993E-3</v>
      </c>
      <c r="Q1803" s="20">
        <v>-0.7489870058823529</v>
      </c>
      <c r="R1803" s="26" t="s">
        <v>279</v>
      </c>
      <c r="S1803" s="26">
        <v>1</v>
      </c>
      <c r="T1803" s="71" t="s">
        <v>626</v>
      </c>
    </row>
    <row r="1804" spans="1:20" ht="12.75" customHeight="1">
      <c r="A1804" s="26" t="s">
        <v>176</v>
      </c>
      <c r="B1804" s="26">
        <v>41</v>
      </c>
      <c r="C1804" s="26" t="s">
        <v>509</v>
      </c>
      <c r="D1804" s="25">
        <v>42948</v>
      </c>
      <c r="E1804" s="19">
        <f t="shared" si="105"/>
        <v>2017</v>
      </c>
      <c r="F1804" s="19">
        <f t="shared" si="106"/>
        <v>8</v>
      </c>
      <c r="G1804" s="30">
        <f t="shared" si="107"/>
        <v>1</v>
      </c>
      <c r="H1804" s="29" t="s">
        <v>287</v>
      </c>
      <c r="I1804" s="22">
        <v>135.92616000000001</v>
      </c>
      <c r="J1804" s="22">
        <v>36.892829999999996</v>
      </c>
      <c r="K1804" s="27">
        <v>10</v>
      </c>
      <c r="L1804" s="27">
        <v>10</v>
      </c>
      <c r="M1804" s="27" t="s">
        <v>287</v>
      </c>
      <c r="N1804" s="21">
        <v>26.341200000000001</v>
      </c>
      <c r="O1804" s="24">
        <v>33.7209</v>
      </c>
      <c r="P1804" s="20">
        <v>-4.4005842352940805E-2</v>
      </c>
      <c r="Q1804" s="20">
        <v>-0.72431009176470518</v>
      </c>
      <c r="R1804" s="26" t="s">
        <v>279</v>
      </c>
      <c r="S1804" s="26"/>
      <c r="T1804" s="71" t="s">
        <v>626</v>
      </c>
    </row>
    <row r="1805" spans="1:20" ht="12.75" customHeight="1">
      <c r="A1805" s="26" t="s">
        <v>176</v>
      </c>
      <c r="B1805" s="26">
        <v>43</v>
      </c>
      <c r="C1805" s="26" t="s">
        <v>509</v>
      </c>
      <c r="D1805" s="25">
        <v>42948</v>
      </c>
      <c r="E1805" s="19">
        <f t="shared" si="105"/>
        <v>2017</v>
      </c>
      <c r="F1805" s="19">
        <f t="shared" si="106"/>
        <v>8</v>
      </c>
      <c r="G1805" s="30">
        <f t="shared" si="107"/>
        <v>1</v>
      </c>
      <c r="H1805" s="29" t="s">
        <v>287</v>
      </c>
      <c r="I1805" s="22">
        <v>136.24065999999999</v>
      </c>
      <c r="J1805" s="22">
        <v>36.653170000000003</v>
      </c>
      <c r="K1805" s="27">
        <v>10</v>
      </c>
      <c r="L1805" s="27">
        <v>10</v>
      </c>
      <c r="M1805" s="27" t="s">
        <v>287</v>
      </c>
      <c r="N1805" s="21">
        <v>26.777200000000001</v>
      </c>
      <c r="O1805" s="24">
        <v>32.744799999999998</v>
      </c>
      <c r="P1805" s="20">
        <v>-0.19767448352941153</v>
      </c>
      <c r="Q1805" s="20">
        <v>-1.7516350376470582</v>
      </c>
      <c r="R1805" s="26" t="s">
        <v>279</v>
      </c>
      <c r="S1805" s="26"/>
      <c r="T1805" s="71" t="s">
        <v>626</v>
      </c>
    </row>
    <row r="1806" spans="1:20" ht="12.75" customHeight="1">
      <c r="A1806" s="26" t="s">
        <v>86</v>
      </c>
      <c r="B1806" s="26" t="s">
        <v>91</v>
      </c>
      <c r="C1806" s="26" t="s">
        <v>509</v>
      </c>
      <c r="D1806" s="25">
        <v>42239</v>
      </c>
      <c r="E1806" s="1">
        <f t="shared" si="105"/>
        <v>2015</v>
      </c>
      <c r="F1806" s="1">
        <f t="shared" si="106"/>
        <v>8</v>
      </c>
      <c r="G1806" s="4">
        <f t="shared" si="107"/>
        <v>23</v>
      </c>
      <c r="H1806" s="8">
        <v>0.28125</v>
      </c>
      <c r="I1806" s="22">
        <v>135.001</v>
      </c>
      <c r="J1806" s="22">
        <v>38.636000000000003</v>
      </c>
      <c r="K1806" s="27">
        <v>4.5</v>
      </c>
      <c r="L1806" s="27">
        <v>5</v>
      </c>
      <c r="M1806" s="9" t="s">
        <v>501</v>
      </c>
      <c r="N1806" s="21">
        <v>24.19558</v>
      </c>
      <c r="O1806" s="24">
        <v>32.495040000000003</v>
      </c>
      <c r="P1806" s="31">
        <v>-0.31</v>
      </c>
      <c r="Q1806" s="31">
        <v>-2.63</v>
      </c>
      <c r="R1806" s="26" t="s">
        <v>280</v>
      </c>
      <c r="S1806" s="26"/>
      <c r="T1806" s="71" t="s">
        <v>626</v>
      </c>
    </row>
    <row r="1807" spans="1:20" ht="12.75" customHeight="1">
      <c r="A1807" s="26" t="s">
        <v>86</v>
      </c>
      <c r="B1807" s="26" t="s">
        <v>92</v>
      </c>
      <c r="C1807" s="26" t="s">
        <v>509</v>
      </c>
      <c r="D1807" s="25">
        <v>42239</v>
      </c>
      <c r="E1807" s="1">
        <f t="shared" si="105"/>
        <v>2015</v>
      </c>
      <c r="F1807" s="1">
        <f t="shared" si="106"/>
        <v>8</v>
      </c>
      <c r="G1807" s="4">
        <f t="shared" si="107"/>
        <v>23</v>
      </c>
      <c r="H1807" s="8">
        <v>0.48749999999999999</v>
      </c>
      <c r="I1807" s="22">
        <v>135.167</v>
      </c>
      <c r="J1807" s="22">
        <v>38.643999999999998</v>
      </c>
      <c r="K1807" s="27">
        <v>4.5</v>
      </c>
      <c r="L1807" s="27">
        <v>5</v>
      </c>
      <c r="M1807" s="9" t="s">
        <v>501</v>
      </c>
      <c r="N1807" s="21">
        <v>24.148913333333301</v>
      </c>
      <c r="O1807" s="24">
        <v>32.661373333333302</v>
      </c>
      <c r="P1807" s="31">
        <v>-0.25</v>
      </c>
      <c r="Q1807" s="31">
        <v>-2.34</v>
      </c>
      <c r="R1807" s="26" t="s">
        <v>280</v>
      </c>
      <c r="S1807" s="26"/>
      <c r="T1807" s="71" t="s">
        <v>626</v>
      </c>
    </row>
    <row r="1808" spans="1:20" ht="12.75" customHeight="1">
      <c r="A1808" s="26" t="s">
        <v>86</v>
      </c>
      <c r="B1808" s="26" t="s">
        <v>93</v>
      </c>
      <c r="C1808" s="26" t="s">
        <v>509</v>
      </c>
      <c r="D1808" s="25">
        <v>42239</v>
      </c>
      <c r="E1808" s="1">
        <f t="shared" si="105"/>
        <v>2015</v>
      </c>
      <c r="F1808" s="1">
        <f t="shared" si="106"/>
        <v>8</v>
      </c>
      <c r="G1808" s="4">
        <f t="shared" si="107"/>
        <v>23</v>
      </c>
      <c r="H1808" s="8">
        <v>0.67708333333333337</v>
      </c>
      <c r="I1808" s="22">
        <v>135.333</v>
      </c>
      <c r="J1808" s="22">
        <v>39.003999999999998</v>
      </c>
      <c r="K1808" s="27">
        <v>4.5</v>
      </c>
      <c r="L1808" s="27">
        <v>5</v>
      </c>
      <c r="M1808" s="9" t="s">
        <v>501</v>
      </c>
      <c r="N1808" s="21">
        <v>25.415580000000002</v>
      </c>
      <c r="O1808" s="24">
        <v>33.637039999999999</v>
      </c>
      <c r="P1808" s="31">
        <v>-7.0000000000000007E-2</v>
      </c>
      <c r="Q1808" s="31">
        <v>-1.17</v>
      </c>
      <c r="R1808" s="26" t="s">
        <v>280</v>
      </c>
      <c r="S1808" s="26"/>
      <c r="T1808" s="71" t="s">
        <v>626</v>
      </c>
    </row>
    <row r="1809" spans="1:20" ht="12.75" customHeight="1">
      <c r="A1809" s="26" t="s">
        <v>86</v>
      </c>
      <c r="B1809" s="26" t="s">
        <v>178</v>
      </c>
      <c r="C1809" s="26" t="s">
        <v>509</v>
      </c>
      <c r="D1809" s="25">
        <v>42239</v>
      </c>
      <c r="E1809" s="1">
        <f t="shared" si="105"/>
        <v>2015</v>
      </c>
      <c r="F1809" s="1">
        <f t="shared" si="106"/>
        <v>8</v>
      </c>
      <c r="G1809" s="4">
        <f t="shared" si="107"/>
        <v>23</v>
      </c>
      <c r="H1809" s="8">
        <v>0.94305555555555554</v>
      </c>
      <c r="I1809" s="22">
        <v>135.31700000000001</v>
      </c>
      <c r="J1809" s="22">
        <v>38.637999999999998</v>
      </c>
      <c r="K1809" s="27">
        <v>4.5</v>
      </c>
      <c r="L1809" s="27">
        <v>5</v>
      </c>
      <c r="M1809" s="9" t="s">
        <v>501</v>
      </c>
      <c r="N1809" s="21">
        <v>24.275580000000001</v>
      </c>
      <c r="O1809" s="24">
        <v>32.586873333333301</v>
      </c>
      <c r="P1809" s="31">
        <v>-0.3</v>
      </c>
      <c r="Q1809" s="31">
        <v>-2.5</v>
      </c>
      <c r="R1809" s="26" t="s">
        <v>280</v>
      </c>
      <c r="S1809" s="26"/>
      <c r="T1809" s="71" t="s">
        <v>626</v>
      </c>
    </row>
    <row r="1810" spans="1:20" ht="12.75" customHeight="1">
      <c r="A1810" s="26" t="s">
        <v>86</v>
      </c>
      <c r="B1810" s="26" t="s">
        <v>94</v>
      </c>
      <c r="C1810" s="26" t="s">
        <v>509</v>
      </c>
      <c r="D1810" s="25">
        <v>42240</v>
      </c>
      <c r="E1810" s="1">
        <f t="shared" si="105"/>
        <v>2015</v>
      </c>
      <c r="F1810" s="1">
        <f t="shared" si="106"/>
        <v>8</v>
      </c>
      <c r="G1810" s="4">
        <f t="shared" si="107"/>
        <v>24</v>
      </c>
      <c r="H1810" s="8">
        <v>0.31180555555555556</v>
      </c>
      <c r="I1810" s="22">
        <v>136.4</v>
      </c>
      <c r="J1810" s="22">
        <v>39.198</v>
      </c>
      <c r="K1810" s="27">
        <v>4.5</v>
      </c>
      <c r="L1810" s="27">
        <v>5</v>
      </c>
      <c r="M1810" s="9" t="s">
        <v>501</v>
      </c>
      <c r="N1810" s="21">
        <v>25.395580000000002</v>
      </c>
      <c r="O1810" s="24">
        <v>33.511540000000004</v>
      </c>
      <c r="P1810" s="31">
        <v>-0.12</v>
      </c>
      <c r="Q1810" s="31">
        <v>-1.22</v>
      </c>
      <c r="R1810" s="26" t="s">
        <v>280</v>
      </c>
      <c r="S1810" s="26"/>
      <c r="T1810" s="71" t="s">
        <v>626</v>
      </c>
    </row>
    <row r="1811" spans="1:20" ht="12.75" customHeight="1">
      <c r="A1811" s="26" t="s">
        <v>86</v>
      </c>
      <c r="B1811" s="26" t="s">
        <v>95</v>
      </c>
      <c r="C1811" s="26" t="s">
        <v>509</v>
      </c>
      <c r="D1811" s="25">
        <v>42240</v>
      </c>
      <c r="E1811" s="1">
        <f t="shared" si="105"/>
        <v>2015</v>
      </c>
      <c r="F1811" s="1">
        <f t="shared" si="106"/>
        <v>8</v>
      </c>
      <c r="G1811" s="4">
        <f t="shared" si="107"/>
        <v>24</v>
      </c>
      <c r="H1811" s="8">
        <v>0.49305555555555558</v>
      </c>
      <c r="I1811" s="22">
        <v>137</v>
      </c>
      <c r="J1811" s="22">
        <v>39.667000000000002</v>
      </c>
      <c r="K1811" s="27">
        <v>4.5</v>
      </c>
      <c r="L1811" s="27">
        <v>5</v>
      </c>
      <c r="M1811" s="9" t="s">
        <v>501</v>
      </c>
      <c r="N1811" s="21">
        <v>23.920580000000001</v>
      </c>
      <c r="O1811" s="24">
        <v>33.6237066666666</v>
      </c>
      <c r="P1811" s="31">
        <v>-0.08</v>
      </c>
      <c r="Q1811" s="31">
        <v>-1.3</v>
      </c>
      <c r="R1811" s="26" t="s">
        <v>280</v>
      </c>
      <c r="S1811" s="26"/>
      <c r="T1811" s="71" t="s">
        <v>626</v>
      </c>
    </row>
    <row r="1812" spans="1:20" ht="12.75" customHeight="1">
      <c r="A1812" s="26" t="s">
        <v>86</v>
      </c>
      <c r="B1812" s="26" t="s">
        <v>96</v>
      </c>
      <c r="C1812" s="26" t="s">
        <v>509</v>
      </c>
      <c r="D1812" s="25">
        <v>42240</v>
      </c>
      <c r="E1812" s="1">
        <f t="shared" si="105"/>
        <v>2015</v>
      </c>
      <c r="F1812" s="1">
        <f t="shared" si="106"/>
        <v>8</v>
      </c>
      <c r="G1812" s="4">
        <f t="shared" si="107"/>
        <v>24</v>
      </c>
      <c r="H1812" s="8">
        <v>0.6972222222222223</v>
      </c>
      <c r="I1812" s="22">
        <v>137.16800000000001</v>
      </c>
      <c r="J1812" s="22">
        <v>39.655999999999999</v>
      </c>
      <c r="K1812" s="27">
        <v>4.5</v>
      </c>
      <c r="L1812" s="27">
        <v>5</v>
      </c>
      <c r="M1812" s="9" t="s">
        <v>501</v>
      </c>
      <c r="N1812" s="21">
        <v>24.823913333333302</v>
      </c>
      <c r="O1812" s="24">
        <v>33.665039999999998</v>
      </c>
      <c r="P1812" s="31">
        <v>-0.05</v>
      </c>
      <c r="Q1812" s="31">
        <v>-1.02</v>
      </c>
      <c r="R1812" s="26" t="s">
        <v>280</v>
      </c>
      <c r="S1812" s="26"/>
      <c r="T1812" s="71" t="s">
        <v>626</v>
      </c>
    </row>
    <row r="1813" spans="1:20" ht="12.75" customHeight="1">
      <c r="A1813" s="26" t="s">
        <v>86</v>
      </c>
      <c r="B1813" s="26" t="s">
        <v>97</v>
      </c>
      <c r="C1813" s="26" t="s">
        <v>509</v>
      </c>
      <c r="D1813" s="25">
        <v>42240</v>
      </c>
      <c r="E1813" s="1">
        <f t="shared" si="105"/>
        <v>2015</v>
      </c>
      <c r="F1813" s="1">
        <f t="shared" si="106"/>
        <v>8</v>
      </c>
      <c r="G1813" s="4">
        <f t="shared" si="107"/>
        <v>24</v>
      </c>
      <c r="H1813" s="8">
        <v>0.83333333333333337</v>
      </c>
      <c r="I1813" s="22">
        <v>137.227</v>
      </c>
      <c r="J1813" s="22">
        <v>39.533999999999999</v>
      </c>
      <c r="K1813" s="27">
        <v>4.5</v>
      </c>
      <c r="L1813" s="27">
        <v>5</v>
      </c>
      <c r="M1813" s="9" t="s">
        <v>501</v>
      </c>
      <c r="N1813" s="21">
        <v>24.975580000000001</v>
      </c>
      <c r="O1813" s="24">
        <v>33.694373333333303</v>
      </c>
      <c r="P1813" s="31">
        <v>-0.02</v>
      </c>
      <c r="Q1813" s="31">
        <v>-0.67</v>
      </c>
      <c r="R1813" s="26" t="s">
        <v>280</v>
      </c>
      <c r="S1813" s="26"/>
      <c r="T1813" s="71" t="s">
        <v>626</v>
      </c>
    </row>
    <row r="1814" spans="1:20" ht="12.75" customHeight="1">
      <c r="A1814" s="26" t="s">
        <v>141</v>
      </c>
      <c r="B1814" s="26" t="s">
        <v>215</v>
      </c>
      <c r="C1814" s="26" t="s">
        <v>509</v>
      </c>
      <c r="D1814" s="25">
        <v>42607</v>
      </c>
      <c r="E1814" s="1">
        <f t="shared" si="105"/>
        <v>2016</v>
      </c>
      <c r="F1814" s="1">
        <f t="shared" si="106"/>
        <v>8</v>
      </c>
      <c r="G1814" s="4">
        <f t="shared" si="107"/>
        <v>25</v>
      </c>
      <c r="H1814" s="8">
        <v>0.71752314814814822</v>
      </c>
      <c r="I1814" s="22">
        <v>136.00183333333334</v>
      </c>
      <c r="J1814" s="22">
        <v>39.597833333333334</v>
      </c>
      <c r="K1814" s="27">
        <v>0</v>
      </c>
      <c r="L1814" s="27">
        <v>0</v>
      </c>
      <c r="M1814" s="27">
        <v>0</v>
      </c>
      <c r="N1814" s="21">
        <v>27.5</v>
      </c>
      <c r="O1814" s="24">
        <v>32.577734854957214</v>
      </c>
      <c r="P1814" s="31">
        <v>-0.31289360705882374</v>
      </c>
      <c r="Q1814" s="31">
        <v>-2.2894935376470587</v>
      </c>
      <c r="R1814" s="26" t="s">
        <v>280</v>
      </c>
      <c r="S1814" s="26">
        <v>1</v>
      </c>
      <c r="T1814" s="71" t="s">
        <v>626</v>
      </c>
    </row>
    <row r="1815" spans="1:20" ht="12.75" customHeight="1">
      <c r="A1815" s="26" t="s">
        <v>141</v>
      </c>
      <c r="B1815" s="26" t="s">
        <v>215</v>
      </c>
      <c r="C1815" s="26" t="s">
        <v>508</v>
      </c>
      <c r="D1815" s="25">
        <v>42607</v>
      </c>
      <c r="E1815" s="1">
        <f t="shared" si="105"/>
        <v>2016</v>
      </c>
      <c r="F1815" s="1">
        <f t="shared" si="106"/>
        <v>8</v>
      </c>
      <c r="G1815" s="4">
        <f t="shared" si="107"/>
        <v>25</v>
      </c>
      <c r="H1815" s="8">
        <v>0.71752314814814822</v>
      </c>
      <c r="I1815" s="22">
        <v>136.00183333333334</v>
      </c>
      <c r="J1815" s="22">
        <v>39.597833333333334</v>
      </c>
      <c r="K1815" s="27">
        <v>9.8620000000000001</v>
      </c>
      <c r="L1815" s="27">
        <v>10</v>
      </c>
      <c r="M1815" s="27">
        <v>0</v>
      </c>
      <c r="N1815" s="21">
        <v>26.664000000000001</v>
      </c>
      <c r="O1815" s="24">
        <v>33.399700000000003</v>
      </c>
      <c r="P1815" s="31">
        <v>-0.14649832823529452</v>
      </c>
      <c r="Q1815" s="31">
        <v>-1.3611561505882337</v>
      </c>
      <c r="R1815" s="26" t="s">
        <v>280</v>
      </c>
      <c r="S1815" s="26">
        <v>1</v>
      </c>
      <c r="T1815" s="71" t="s">
        <v>626</v>
      </c>
    </row>
    <row r="1816" spans="1:20" ht="12.75" customHeight="1">
      <c r="A1816" s="26" t="s">
        <v>141</v>
      </c>
      <c r="B1816" s="26" t="s">
        <v>215</v>
      </c>
      <c r="C1816" s="26" t="s">
        <v>508</v>
      </c>
      <c r="D1816" s="25">
        <v>42607</v>
      </c>
      <c r="E1816" s="1">
        <f t="shared" si="105"/>
        <v>2016</v>
      </c>
      <c r="F1816" s="1">
        <f t="shared" si="106"/>
        <v>8</v>
      </c>
      <c r="G1816" s="4">
        <f t="shared" si="107"/>
        <v>25</v>
      </c>
      <c r="H1816" s="8">
        <v>0.71752314814814822</v>
      </c>
      <c r="I1816" s="22">
        <v>136.00183333333334</v>
      </c>
      <c r="J1816" s="22">
        <v>39.597833333333334</v>
      </c>
      <c r="K1816" s="27">
        <v>19.722999999999999</v>
      </c>
      <c r="L1816" s="27">
        <v>20</v>
      </c>
      <c r="M1816" s="27">
        <v>0</v>
      </c>
      <c r="N1816" s="21">
        <v>22.602799999999998</v>
      </c>
      <c r="O1816" s="24">
        <v>33.598399999999998</v>
      </c>
      <c r="P1816" s="31">
        <v>-9.8679549411764711E-2</v>
      </c>
      <c r="Q1816" s="31">
        <v>-0.8517731635294119</v>
      </c>
      <c r="R1816" s="26" t="s">
        <v>280</v>
      </c>
      <c r="S1816" s="26">
        <v>1</v>
      </c>
      <c r="T1816" s="71" t="s">
        <v>626</v>
      </c>
    </row>
    <row r="1817" spans="1:20" ht="12.75" customHeight="1">
      <c r="A1817" s="26" t="s">
        <v>141</v>
      </c>
      <c r="B1817" s="26" t="s">
        <v>215</v>
      </c>
      <c r="C1817" s="26" t="s">
        <v>508</v>
      </c>
      <c r="D1817" s="25">
        <v>42607</v>
      </c>
      <c r="E1817" s="1">
        <f t="shared" si="105"/>
        <v>2016</v>
      </c>
      <c r="F1817" s="1">
        <f t="shared" si="106"/>
        <v>8</v>
      </c>
      <c r="G1817" s="4">
        <f t="shared" si="107"/>
        <v>25</v>
      </c>
      <c r="H1817" s="8">
        <v>0.71752314814814822</v>
      </c>
      <c r="I1817" s="22">
        <v>136.00183333333334</v>
      </c>
      <c r="J1817" s="22">
        <v>39.597833333333334</v>
      </c>
      <c r="K1817" s="27">
        <v>49.601999999999997</v>
      </c>
      <c r="L1817" s="27">
        <v>50</v>
      </c>
      <c r="M1817" s="27">
        <v>0</v>
      </c>
      <c r="N1817" s="21">
        <v>9.0289999999999999</v>
      </c>
      <c r="O1817" s="24">
        <v>33.980499999999999</v>
      </c>
      <c r="P1817" s="31">
        <v>-2.4670830588235493E-2</v>
      </c>
      <c r="Q1817" s="31">
        <v>-0.45503357647059062</v>
      </c>
      <c r="R1817" s="26" t="s">
        <v>280</v>
      </c>
      <c r="S1817" s="26">
        <v>1</v>
      </c>
      <c r="T1817" s="71" t="s">
        <v>626</v>
      </c>
    </row>
    <row r="1818" spans="1:20" ht="12.75" customHeight="1">
      <c r="A1818" s="26" t="s">
        <v>141</v>
      </c>
      <c r="B1818" s="26" t="s">
        <v>215</v>
      </c>
      <c r="C1818" s="26" t="s">
        <v>508</v>
      </c>
      <c r="D1818" s="25">
        <v>42607</v>
      </c>
      <c r="E1818" s="1">
        <f t="shared" si="105"/>
        <v>2016</v>
      </c>
      <c r="F1818" s="1">
        <f t="shared" si="106"/>
        <v>8</v>
      </c>
      <c r="G1818" s="4">
        <f t="shared" si="107"/>
        <v>25</v>
      </c>
      <c r="H1818" s="8">
        <v>0.71752314814814822</v>
      </c>
      <c r="I1818" s="22">
        <v>136.00183333333334</v>
      </c>
      <c r="J1818" s="22">
        <v>39.597833333333334</v>
      </c>
      <c r="K1818" s="27">
        <v>74.543000000000006</v>
      </c>
      <c r="L1818" s="27">
        <v>75</v>
      </c>
      <c r="M1818" s="27">
        <v>0</v>
      </c>
      <c r="N1818" s="21">
        <v>6.2435</v>
      </c>
      <c r="O1818" s="24">
        <v>34.046100000000003</v>
      </c>
      <c r="P1818" s="31">
        <v>-4.2793117647059731E-3</v>
      </c>
      <c r="Q1818" s="31">
        <v>-0.29069510941176446</v>
      </c>
      <c r="R1818" s="26" t="s">
        <v>280</v>
      </c>
      <c r="S1818" s="26">
        <v>1</v>
      </c>
      <c r="T1818" s="71" t="s">
        <v>626</v>
      </c>
    </row>
    <row r="1819" spans="1:20" ht="12.75" customHeight="1">
      <c r="A1819" s="26" t="s">
        <v>141</v>
      </c>
      <c r="B1819" s="26" t="s">
        <v>215</v>
      </c>
      <c r="C1819" s="26" t="s">
        <v>508</v>
      </c>
      <c r="D1819" s="25">
        <v>42607</v>
      </c>
      <c r="E1819" s="1">
        <f t="shared" si="105"/>
        <v>2016</v>
      </c>
      <c r="F1819" s="1">
        <f t="shared" si="106"/>
        <v>8</v>
      </c>
      <c r="G1819" s="4">
        <f t="shared" si="107"/>
        <v>25</v>
      </c>
      <c r="H1819" s="8">
        <v>0.71752314814814822</v>
      </c>
      <c r="I1819" s="22">
        <v>136.00183333333334</v>
      </c>
      <c r="J1819" s="22">
        <v>39.597833333333334</v>
      </c>
      <c r="K1819" s="27">
        <v>99.655000000000001</v>
      </c>
      <c r="L1819" s="27">
        <v>100</v>
      </c>
      <c r="M1819" s="27">
        <v>0</v>
      </c>
      <c r="N1819" s="21">
        <v>4.6445999999999996</v>
      </c>
      <c r="O1819" s="24">
        <v>34.027500000000003</v>
      </c>
      <c r="P1819" s="31">
        <v>-5.916129411769333E-4</v>
      </c>
      <c r="Q1819" s="31">
        <v>-0.48898934235294078</v>
      </c>
      <c r="R1819" s="26" t="s">
        <v>280</v>
      </c>
      <c r="S1819" s="26">
        <v>1</v>
      </c>
      <c r="T1819" s="71" t="s">
        <v>626</v>
      </c>
    </row>
    <row r="1820" spans="1:20" ht="12.75" customHeight="1">
      <c r="A1820" s="26" t="s">
        <v>141</v>
      </c>
      <c r="B1820" s="26" t="s">
        <v>215</v>
      </c>
      <c r="C1820" s="26" t="s">
        <v>508</v>
      </c>
      <c r="D1820" s="25">
        <v>42607</v>
      </c>
      <c r="E1820" s="1">
        <f t="shared" si="105"/>
        <v>2016</v>
      </c>
      <c r="F1820" s="1">
        <f t="shared" si="106"/>
        <v>8</v>
      </c>
      <c r="G1820" s="4">
        <f t="shared" si="107"/>
        <v>25</v>
      </c>
      <c r="H1820" s="8">
        <v>0.71752314814814822</v>
      </c>
      <c r="I1820" s="22">
        <v>136.00183333333334</v>
      </c>
      <c r="J1820" s="22">
        <v>39.597833333333334</v>
      </c>
      <c r="K1820" s="27">
        <v>124.075</v>
      </c>
      <c r="L1820" s="27">
        <v>125</v>
      </c>
      <c r="M1820" s="27">
        <v>0</v>
      </c>
      <c r="N1820" s="21">
        <v>3.4967000000000001</v>
      </c>
      <c r="O1820" s="24">
        <v>34.015300000000003</v>
      </c>
      <c r="P1820" s="31">
        <v>-3.01781176470588E-2</v>
      </c>
      <c r="Q1820" s="31">
        <v>-0.64543463411764623</v>
      </c>
      <c r="R1820" s="26" t="s">
        <v>280</v>
      </c>
      <c r="S1820" s="26">
        <v>1</v>
      </c>
      <c r="T1820" s="71" t="s">
        <v>626</v>
      </c>
    </row>
    <row r="1821" spans="1:20" ht="12.75" customHeight="1">
      <c r="A1821" s="26" t="s">
        <v>141</v>
      </c>
      <c r="B1821" s="26" t="s">
        <v>215</v>
      </c>
      <c r="C1821" s="26" t="s">
        <v>508</v>
      </c>
      <c r="D1821" s="25">
        <v>42607</v>
      </c>
      <c r="E1821" s="1">
        <f t="shared" si="105"/>
        <v>2016</v>
      </c>
      <c r="F1821" s="1">
        <f t="shared" si="106"/>
        <v>8</v>
      </c>
      <c r="G1821" s="4">
        <f t="shared" si="107"/>
        <v>25</v>
      </c>
      <c r="H1821" s="8">
        <v>0.71752314814814822</v>
      </c>
      <c r="I1821" s="22">
        <v>136.00183333333334</v>
      </c>
      <c r="J1821" s="22">
        <v>39.597833333333334</v>
      </c>
      <c r="K1821" s="27">
        <v>149.39699999999999</v>
      </c>
      <c r="L1821" s="27">
        <v>150</v>
      </c>
      <c r="M1821" s="27">
        <v>0</v>
      </c>
      <c r="N1821" s="21">
        <v>2.5634999999999999</v>
      </c>
      <c r="O1821" s="24">
        <v>34.001199999999997</v>
      </c>
      <c r="P1821" s="31">
        <v>-4.0650858823529479E-2</v>
      </c>
      <c r="Q1821" s="31">
        <v>-0.69465751372548912</v>
      </c>
      <c r="R1821" s="26" t="s">
        <v>280</v>
      </c>
      <c r="S1821" s="26">
        <v>1</v>
      </c>
      <c r="T1821" s="71" t="s">
        <v>626</v>
      </c>
    </row>
    <row r="1822" spans="1:20" ht="12.75" customHeight="1">
      <c r="A1822" s="26" t="s">
        <v>141</v>
      </c>
      <c r="B1822" s="26" t="s">
        <v>215</v>
      </c>
      <c r="C1822" s="26" t="s">
        <v>508</v>
      </c>
      <c r="D1822" s="25">
        <v>42607</v>
      </c>
      <c r="E1822" s="1">
        <f t="shared" si="105"/>
        <v>2016</v>
      </c>
      <c r="F1822" s="1">
        <f t="shared" si="106"/>
        <v>8</v>
      </c>
      <c r="G1822" s="4">
        <f t="shared" si="107"/>
        <v>25</v>
      </c>
      <c r="H1822" s="8">
        <v>0.71752314814814822</v>
      </c>
      <c r="I1822" s="22">
        <v>136.00183333333334</v>
      </c>
      <c r="J1822" s="22">
        <v>39.597833333333334</v>
      </c>
      <c r="K1822" s="27">
        <v>199.94800000000001</v>
      </c>
      <c r="L1822" s="27">
        <v>200</v>
      </c>
      <c r="M1822" s="27">
        <v>0</v>
      </c>
      <c r="N1822" s="21">
        <v>1.7184999999999999</v>
      </c>
      <c r="O1822" s="24">
        <v>34.025100000000002</v>
      </c>
      <c r="P1822" s="31">
        <v>-2.816444000000029E-2</v>
      </c>
      <c r="Q1822" s="31">
        <v>-0.68472613999999954</v>
      </c>
      <c r="R1822" s="26" t="s">
        <v>280</v>
      </c>
      <c r="S1822" s="26">
        <v>1</v>
      </c>
      <c r="T1822" s="71" t="s">
        <v>626</v>
      </c>
    </row>
    <row r="1823" spans="1:20" ht="12.75" customHeight="1">
      <c r="A1823" s="26" t="s">
        <v>141</v>
      </c>
      <c r="B1823" s="26" t="s">
        <v>216</v>
      </c>
      <c r="C1823" s="26" t="s">
        <v>508</v>
      </c>
      <c r="D1823" s="25">
        <v>42607</v>
      </c>
      <c r="E1823" s="1">
        <f t="shared" si="105"/>
        <v>2016</v>
      </c>
      <c r="F1823" s="1">
        <f t="shared" si="106"/>
        <v>8</v>
      </c>
      <c r="G1823" s="4">
        <f t="shared" si="107"/>
        <v>25</v>
      </c>
      <c r="H1823" s="8">
        <v>0.84280092592592604</v>
      </c>
      <c r="I1823" s="22">
        <v>135.78983333333332</v>
      </c>
      <c r="J1823" s="22">
        <v>39.324833333333331</v>
      </c>
      <c r="K1823" s="27">
        <v>0</v>
      </c>
      <c r="L1823" s="27">
        <v>0</v>
      </c>
      <c r="M1823" s="27">
        <v>0</v>
      </c>
      <c r="N1823" s="21">
        <v>26.5</v>
      </c>
      <c r="O1823" s="24">
        <v>33.274036154514022</v>
      </c>
      <c r="P1823" s="31">
        <v>-0.13150492117647072</v>
      </c>
      <c r="Q1823" s="31">
        <v>-0.93618015294117551</v>
      </c>
      <c r="R1823" s="26" t="s">
        <v>280</v>
      </c>
      <c r="S1823" s="26">
        <v>1</v>
      </c>
      <c r="T1823" s="71" t="s">
        <v>626</v>
      </c>
    </row>
    <row r="1824" spans="1:20" ht="12.75" customHeight="1">
      <c r="A1824" s="26" t="s">
        <v>141</v>
      </c>
      <c r="B1824" s="26" t="s">
        <v>216</v>
      </c>
      <c r="C1824" s="26" t="s">
        <v>508</v>
      </c>
      <c r="D1824" s="25">
        <v>42607</v>
      </c>
      <c r="E1824" s="1">
        <f t="shared" si="105"/>
        <v>2016</v>
      </c>
      <c r="F1824" s="1">
        <f t="shared" si="106"/>
        <v>8</v>
      </c>
      <c r="G1824" s="4">
        <f t="shared" si="107"/>
        <v>25</v>
      </c>
      <c r="H1824" s="8">
        <v>0.84280092592592604</v>
      </c>
      <c r="I1824" s="22">
        <v>135.78983333333332</v>
      </c>
      <c r="J1824" s="22">
        <v>39.324833333333331</v>
      </c>
      <c r="K1824" s="27">
        <v>9.8320000000000007</v>
      </c>
      <c r="L1824" s="27">
        <v>10</v>
      </c>
      <c r="M1824" s="27">
        <v>0</v>
      </c>
      <c r="N1824" s="21">
        <v>26.6401</v>
      </c>
      <c r="O1824" s="24">
        <v>33.270000000000003</v>
      </c>
      <c r="P1824" s="31">
        <v>-0.15606936235294167</v>
      </c>
      <c r="Q1824" s="31">
        <v>-1.4030399658823516</v>
      </c>
      <c r="R1824" s="26" t="s">
        <v>280</v>
      </c>
      <c r="S1824" s="26">
        <v>1</v>
      </c>
      <c r="T1824" s="71" t="s">
        <v>626</v>
      </c>
    </row>
    <row r="1825" spans="1:20" ht="12.75" customHeight="1">
      <c r="A1825" s="26" t="s">
        <v>141</v>
      </c>
      <c r="B1825" s="26" t="s">
        <v>216</v>
      </c>
      <c r="C1825" s="26" t="s">
        <v>508</v>
      </c>
      <c r="D1825" s="25">
        <v>42607</v>
      </c>
      <c r="E1825" s="1">
        <f t="shared" si="105"/>
        <v>2016</v>
      </c>
      <c r="F1825" s="1">
        <f t="shared" si="106"/>
        <v>8</v>
      </c>
      <c r="G1825" s="4">
        <f t="shared" si="107"/>
        <v>25</v>
      </c>
      <c r="H1825" s="8">
        <v>0.84280092592592604</v>
      </c>
      <c r="I1825" s="22">
        <v>135.78983333333332</v>
      </c>
      <c r="J1825" s="22">
        <v>39.324833333333331</v>
      </c>
      <c r="K1825" s="27">
        <v>19.649000000000001</v>
      </c>
      <c r="L1825" s="27">
        <v>20</v>
      </c>
      <c r="M1825" s="27">
        <v>0</v>
      </c>
      <c r="N1825" s="21">
        <v>25.1099</v>
      </c>
      <c r="O1825" s="24">
        <v>33.481000000000002</v>
      </c>
      <c r="P1825" s="31">
        <v>-1.6070243529411776E-2</v>
      </c>
      <c r="Q1825" s="31">
        <v>-0.11878895882352936</v>
      </c>
      <c r="R1825" s="26" t="s">
        <v>280</v>
      </c>
      <c r="S1825" s="26">
        <v>1</v>
      </c>
      <c r="T1825" s="71" t="s">
        <v>626</v>
      </c>
    </row>
    <row r="1826" spans="1:20" ht="12.75" customHeight="1">
      <c r="A1826" s="26" t="s">
        <v>141</v>
      </c>
      <c r="B1826" s="26" t="s">
        <v>216</v>
      </c>
      <c r="C1826" s="26" t="s">
        <v>508</v>
      </c>
      <c r="D1826" s="25">
        <v>42607</v>
      </c>
      <c r="E1826" s="1">
        <f t="shared" si="105"/>
        <v>2016</v>
      </c>
      <c r="F1826" s="1">
        <f t="shared" si="106"/>
        <v>8</v>
      </c>
      <c r="G1826" s="4">
        <f t="shared" si="107"/>
        <v>25</v>
      </c>
      <c r="H1826" s="8">
        <v>0.84280092592592604</v>
      </c>
      <c r="I1826" s="22">
        <v>135.78983333333332</v>
      </c>
      <c r="J1826" s="22">
        <v>39.324833333333331</v>
      </c>
      <c r="K1826" s="27">
        <v>29.753</v>
      </c>
      <c r="L1826" s="27">
        <v>30</v>
      </c>
      <c r="M1826" s="27">
        <v>0</v>
      </c>
      <c r="N1826" s="21">
        <v>18.506399999999999</v>
      </c>
      <c r="O1826" s="24">
        <v>33.612499999999997</v>
      </c>
      <c r="P1826" s="31">
        <v>0.17837095529411728</v>
      </c>
      <c r="Q1826" s="31">
        <v>1.0506448282352938</v>
      </c>
      <c r="R1826" s="26" t="s">
        <v>280</v>
      </c>
      <c r="S1826" s="26">
        <v>1</v>
      </c>
      <c r="T1826" s="71" t="s">
        <v>626</v>
      </c>
    </row>
    <row r="1827" spans="1:20" ht="12.75" customHeight="1">
      <c r="A1827" s="26" t="s">
        <v>141</v>
      </c>
      <c r="B1827" s="26" t="s">
        <v>216</v>
      </c>
      <c r="C1827" s="26" t="s">
        <v>508</v>
      </c>
      <c r="D1827" s="25">
        <v>42607</v>
      </c>
      <c r="E1827" s="1">
        <f t="shared" si="105"/>
        <v>2016</v>
      </c>
      <c r="F1827" s="1">
        <f t="shared" si="106"/>
        <v>8</v>
      </c>
      <c r="G1827" s="4">
        <f t="shared" si="107"/>
        <v>25</v>
      </c>
      <c r="H1827" s="8">
        <v>0.84280092592592604</v>
      </c>
      <c r="I1827" s="22">
        <v>135.78983333333332</v>
      </c>
      <c r="J1827" s="22">
        <v>39.324833333333331</v>
      </c>
      <c r="K1827" s="27">
        <v>50.146999999999998</v>
      </c>
      <c r="L1827" s="27">
        <v>50</v>
      </c>
      <c r="M1827" s="27">
        <v>0</v>
      </c>
      <c r="N1827" s="21">
        <v>16.080300000000001</v>
      </c>
      <c r="O1827" s="24">
        <v>34.348399999999998</v>
      </c>
      <c r="P1827" s="31">
        <v>0.25691651411764727</v>
      </c>
      <c r="Q1827" s="31">
        <v>1.4539058752941152</v>
      </c>
      <c r="R1827" s="26" t="s">
        <v>280</v>
      </c>
      <c r="S1827" s="26">
        <v>1</v>
      </c>
      <c r="T1827" s="71" t="s">
        <v>626</v>
      </c>
    </row>
    <row r="1828" spans="1:20" ht="12.75" customHeight="1">
      <c r="A1828" s="26" t="s">
        <v>141</v>
      </c>
      <c r="B1828" s="26" t="s">
        <v>216</v>
      </c>
      <c r="C1828" s="26" t="s">
        <v>508</v>
      </c>
      <c r="D1828" s="25">
        <v>42607</v>
      </c>
      <c r="E1828" s="1">
        <f t="shared" si="105"/>
        <v>2016</v>
      </c>
      <c r="F1828" s="1">
        <f t="shared" si="106"/>
        <v>8</v>
      </c>
      <c r="G1828" s="4">
        <f t="shared" si="107"/>
        <v>25</v>
      </c>
      <c r="H1828" s="8">
        <v>0.84280092592592604</v>
      </c>
      <c r="I1828" s="22">
        <v>135.78983333333332</v>
      </c>
      <c r="J1828" s="22">
        <v>39.324833333333331</v>
      </c>
      <c r="K1828" s="27">
        <v>74.509</v>
      </c>
      <c r="L1828" s="27">
        <v>75</v>
      </c>
      <c r="M1828" s="27">
        <v>0</v>
      </c>
      <c r="N1828" s="21">
        <v>11.9437</v>
      </c>
      <c r="O1828" s="24">
        <v>34.114199999999997</v>
      </c>
      <c r="P1828" s="31">
        <v>0.12611952941176474</v>
      </c>
      <c r="Q1828" s="31">
        <v>0.18531151999999906</v>
      </c>
      <c r="R1828" s="26" t="s">
        <v>280</v>
      </c>
      <c r="S1828" s="26">
        <v>1</v>
      </c>
      <c r="T1828" s="71" t="s">
        <v>626</v>
      </c>
    </row>
    <row r="1829" spans="1:20" ht="12.75" customHeight="1">
      <c r="A1829" s="26" t="s">
        <v>141</v>
      </c>
      <c r="B1829" s="26" t="s">
        <v>216</v>
      </c>
      <c r="C1829" s="26" t="s">
        <v>508</v>
      </c>
      <c r="D1829" s="25">
        <v>42607</v>
      </c>
      <c r="E1829" s="1">
        <f t="shared" si="105"/>
        <v>2016</v>
      </c>
      <c r="F1829" s="1">
        <f t="shared" si="106"/>
        <v>8</v>
      </c>
      <c r="G1829" s="4">
        <f t="shared" si="107"/>
        <v>25</v>
      </c>
      <c r="H1829" s="8">
        <v>0.84280092592592604</v>
      </c>
      <c r="I1829" s="22">
        <v>135.78983333333332</v>
      </c>
      <c r="J1829" s="22">
        <v>39.324833333333331</v>
      </c>
      <c r="K1829" s="27">
        <v>99.727000000000004</v>
      </c>
      <c r="L1829" s="27">
        <v>100</v>
      </c>
      <c r="M1829" s="27">
        <v>0</v>
      </c>
      <c r="N1829" s="21">
        <v>8.0280000000000005</v>
      </c>
      <c r="O1829" s="24">
        <v>34.053100000000001</v>
      </c>
      <c r="P1829" s="31">
        <v>4.8502235294117346E-2</v>
      </c>
      <c r="Q1829" s="31">
        <v>-0.13846625999999951</v>
      </c>
      <c r="R1829" s="26" t="s">
        <v>280</v>
      </c>
      <c r="S1829" s="26">
        <v>1</v>
      </c>
      <c r="T1829" s="71" t="s">
        <v>626</v>
      </c>
    </row>
    <row r="1830" spans="1:20" ht="12.75" customHeight="1">
      <c r="A1830" s="26" t="s">
        <v>141</v>
      </c>
      <c r="B1830" s="26" t="s">
        <v>216</v>
      </c>
      <c r="C1830" s="26" t="s">
        <v>508</v>
      </c>
      <c r="D1830" s="25">
        <v>42607</v>
      </c>
      <c r="E1830" s="1">
        <f t="shared" ref="E1830:E1861" si="108">YEAR(D1830)</f>
        <v>2016</v>
      </c>
      <c r="F1830" s="1">
        <f t="shared" ref="F1830:F1861" si="109">MONTH(D1830)</f>
        <v>8</v>
      </c>
      <c r="G1830" s="4">
        <f t="shared" ref="G1830:G1861" si="110">DAY(D1830)</f>
        <v>25</v>
      </c>
      <c r="H1830" s="8">
        <v>0.84280092592592604</v>
      </c>
      <c r="I1830" s="22">
        <v>135.78983333333332</v>
      </c>
      <c r="J1830" s="22">
        <v>39.324833333333331</v>
      </c>
      <c r="K1830" s="27">
        <v>124.70399999999999</v>
      </c>
      <c r="L1830" s="27">
        <v>125</v>
      </c>
      <c r="M1830" s="27">
        <v>0</v>
      </c>
      <c r="N1830" s="21">
        <v>5.0716999999999999</v>
      </c>
      <c r="O1830" s="24">
        <v>34.0244</v>
      </c>
      <c r="P1830" s="31">
        <v>1.0363941176470437E-2</v>
      </c>
      <c r="Q1830" s="31">
        <v>-0.64272964000000066</v>
      </c>
      <c r="R1830" s="26" t="s">
        <v>280</v>
      </c>
      <c r="S1830" s="26">
        <v>1</v>
      </c>
      <c r="T1830" s="71" t="s">
        <v>626</v>
      </c>
    </row>
    <row r="1831" spans="1:20" ht="12.75" customHeight="1">
      <c r="A1831" s="26" t="s">
        <v>141</v>
      </c>
      <c r="B1831" s="26" t="s">
        <v>216</v>
      </c>
      <c r="C1831" s="26" t="s">
        <v>508</v>
      </c>
      <c r="D1831" s="25">
        <v>42607</v>
      </c>
      <c r="E1831" s="1">
        <f t="shared" si="108"/>
        <v>2016</v>
      </c>
      <c r="F1831" s="1">
        <f t="shared" si="109"/>
        <v>8</v>
      </c>
      <c r="G1831" s="4">
        <f t="shared" si="110"/>
        <v>25</v>
      </c>
      <c r="H1831" s="8">
        <v>0.84280092592592604</v>
      </c>
      <c r="I1831" s="22">
        <v>135.78983333333332</v>
      </c>
      <c r="J1831" s="22">
        <v>39.324833333333331</v>
      </c>
      <c r="K1831" s="27">
        <v>148.66399999999999</v>
      </c>
      <c r="L1831" s="27">
        <v>150</v>
      </c>
      <c r="M1831" s="27">
        <v>0</v>
      </c>
      <c r="N1831" s="21">
        <v>3.0871</v>
      </c>
      <c r="O1831" s="24">
        <v>33.948900000000002</v>
      </c>
      <c r="P1831" s="31">
        <v>-4.5478852941176484E-2</v>
      </c>
      <c r="Q1831" s="31">
        <v>-0.96689978000000032</v>
      </c>
      <c r="R1831" s="26" t="s">
        <v>280</v>
      </c>
      <c r="S1831" s="26">
        <v>1</v>
      </c>
      <c r="T1831" s="71" t="s">
        <v>626</v>
      </c>
    </row>
    <row r="1832" spans="1:20" ht="12.75" customHeight="1">
      <c r="A1832" s="26" t="s">
        <v>141</v>
      </c>
      <c r="B1832" s="26" t="s">
        <v>216</v>
      </c>
      <c r="C1832" s="26" t="s">
        <v>508</v>
      </c>
      <c r="D1832" s="25">
        <v>42607</v>
      </c>
      <c r="E1832" s="1">
        <f t="shared" si="108"/>
        <v>2016</v>
      </c>
      <c r="F1832" s="1">
        <f t="shared" si="109"/>
        <v>8</v>
      </c>
      <c r="G1832" s="4">
        <f t="shared" si="110"/>
        <v>25</v>
      </c>
      <c r="H1832" s="8">
        <v>0.84280092592592604</v>
      </c>
      <c r="I1832" s="22">
        <v>135.78983333333332</v>
      </c>
      <c r="J1832" s="22">
        <v>39.324833333333331</v>
      </c>
      <c r="K1832" s="27">
        <v>198.98400000000001</v>
      </c>
      <c r="L1832" s="27">
        <v>200</v>
      </c>
      <c r="M1832" s="27">
        <v>0</v>
      </c>
      <c r="N1832" s="21">
        <v>2.165</v>
      </c>
      <c r="O1832" s="24">
        <v>33.966700000000003</v>
      </c>
      <c r="P1832" s="31">
        <v>-1.4031470588238282E-3</v>
      </c>
      <c r="Q1832" s="31">
        <v>-0.9642340400000009</v>
      </c>
      <c r="R1832" s="26" t="s">
        <v>280</v>
      </c>
      <c r="S1832" s="26">
        <v>1</v>
      </c>
      <c r="T1832" s="71" t="s">
        <v>626</v>
      </c>
    </row>
    <row r="1833" spans="1:20" ht="12.75" customHeight="1">
      <c r="A1833" s="26" t="s">
        <v>141</v>
      </c>
      <c r="B1833" s="26" t="s">
        <v>217</v>
      </c>
      <c r="C1833" s="26" t="s">
        <v>508</v>
      </c>
      <c r="D1833" s="25">
        <v>42608</v>
      </c>
      <c r="E1833" s="1">
        <f t="shared" si="108"/>
        <v>2016</v>
      </c>
      <c r="F1833" s="1">
        <f t="shared" si="109"/>
        <v>8</v>
      </c>
      <c r="G1833" s="4">
        <f t="shared" si="110"/>
        <v>26</v>
      </c>
      <c r="H1833" s="8">
        <v>8.50462962962963E-2</v>
      </c>
      <c r="I1833" s="22">
        <v>136.06283333333334</v>
      </c>
      <c r="J1833" s="22">
        <v>39.172333333333334</v>
      </c>
      <c r="K1833" s="27">
        <v>0</v>
      </c>
      <c r="L1833" s="27">
        <v>0</v>
      </c>
      <c r="M1833" s="27">
        <v>0</v>
      </c>
      <c r="N1833" s="21">
        <v>26.8</v>
      </c>
      <c r="O1833" s="24">
        <v>32.832276460665803</v>
      </c>
      <c r="P1833" s="31">
        <v>-0.2180109411764708</v>
      </c>
      <c r="Q1833" s="31">
        <v>-1.8543834800000001</v>
      </c>
      <c r="R1833" s="26" t="s">
        <v>280</v>
      </c>
      <c r="S1833" s="26">
        <v>1</v>
      </c>
      <c r="T1833" s="71" t="s">
        <v>626</v>
      </c>
    </row>
    <row r="1834" spans="1:20" ht="12.75" customHeight="1">
      <c r="A1834" s="26" t="s">
        <v>141</v>
      </c>
      <c r="B1834" s="26" t="s">
        <v>217</v>
      </c>
      <c r="C1834" s="26" t="s">
        <v>508</v>
      </c>
      <c r="D1834" s="25">
        <v>42608</v>
      </c>
      <c r="E1834" s="1">
        <f t="shared" si="108"/>
        <v>2016</v>
      </c>
      <c r="F1834" s="1">
        <f t="shared" si="109"/>
        <v>8</v>
      </c>
      <c r="G1834" s="4">
        <f t="shared" si="110"/>
        <v>26</v>
      </c>
      <c r="H1834" s="8">
        <v>8.50462962962963E-2</v>
      </c>
      <c r="I1834" s="22">
        <v>136.06283333333334</v>
      </c>
      <c r="J1834" s="22">
        <v>39.172333333333334</v>
      </c>
      <c r="K1834" s="27">
        <v>9.9540000000000006</v>
      </c>
      <c r="L1834" s="27">
        <v>10</v>
      </c>
      <c r="M1834" s="27">
        <v>0</v>
      </c>
      <c r="N1834" s="21">
        <v>27.035699999999999</v>
      </c>
      <c r="O1834" s="24">
        <v>33.040700000000001</v>
      </c>
      <c r="P1834" s="31">
        <v>-8.4897352941175619E-3</v>
      </c>
      <c r="Q1834" s="31">
        <v>-0.52122498000000128</v>
      </c>
      <c r="R1834" s="26" t="s">
        <v>280</v>
      </c>
      <c r="S1834" s="26">
        <v>1</v>
      </c>
      <c r="T1834" s="71" t="s">
        <v>626</v>
      </c>
    </row>
    <row r="1835" spans="1:20" ht="12.75" customHeight="1">
      <c r="A1835" s="26" t="s">
        <v>141</v>
      </c>
      <c r="B1835" s="26" t="s">
        <v>217</v>
      </c>
      <c r="C1835" s="26" t="s">
        <v>508</v>
      </c>
      <c r="D1835" s="25">
        <v>42608</v>
      </c>
      <c r="E1835" s="1">
        <f t="shared" si="108"/>
        <v>2016</v>
      </c>
      <c r="F1835" s="1">
        <f t="shared" si="109"/>
        <v>8</v>
      </c>
      <c r="G1835" s="4">
        <f t="shared" si="110"/>
        <v>26</v>
      </c>
      <c r="H1835" s="8">
        <v>8.50462962962963E-2</v>
      </c>
      <c r="I1835" s="22">
        <v>136.06283333333334</v>
      </c>
      <c r="J1835" s="22">
        <v>39.172333333333334</v>
      </c>
      <c r="K1835" s="27">
        <v>20.574000000000002</v>
      </c>
      <c r="L1835" s="27">
        <v>20</v>
      </c>
      <c r="M1835" s="27">
        <v>0</v>
      </c>
      <c r="N1835" s="21">
        <v>26.3658</v>
      </c>
      <c r="O1835" s="24">
        <v>33.505499999999998</v>
      </c>
      <c r="P1835" s="31">
        <v>3.5131088235294206E-2</v>
      </c>
      <c r="Q1835" s="31">
        <v>-0.39187312000000141</v>
      </c>
      <c r="R1835" s="26" t="s">
        <v>280</v>
      </c>
      <c r="S1835" s="26">
        <v>1</v>
      </c>
      <c r="T1835" s="71" t="s">
        <v>626</v>
      </c>
    </row>
    <row r="1836" spans="1:20" ht="12.75" customHeight="1">
      <c r="A1836" s="26" t="s">
        <v>141</v>
      </c>
      <c r="B1836" s="26" t="s">
        <v>217</v>
      </c>
      <c r="C1836" s="26" t="s">
        <v>508</v>
      </c>
      <c r="D1836" s="25">
        <v>42608</v>
      </c>
      <c r="E1836" s="1">
        <f t="shared" si="108"/>
        <v>2016</v>
      </c>
      <c r="F1836" s="1">
        <f t="shared" si="109"/>
        <v>8</v>
      </c>
      <c r="G1836" s="4">
        <f t="shared" si="110"/>
        <v>26</v>
      </c>
      <c r="H1836" s="8">
        <v>8.50462962962963E-2</v>
      </c>
      <c r="I1836" s="22">
        <v>136.06283333333334</v>
      </c>
      <c r="J1836" s="22">
        <v>39.172333333333334</v>
      </c>
      <c r="K1836" s="27">
        <v>30.312000000000001</v>
      </c>
      <c r="L1836" s="27">
        <v>30</v>
      </c>
      <c r="M1836" s="27">
        <v>0</v>
      </c>
      <c r="N1836" s="21">
        <v>19.2745</v>
      </c>
      <c r="O1836" s="24">
        <v>33.877400000000002</v>
      </c>
      <c r="P1836" s="31">
        <v>6.0756127450980246E-2</v>
      </c>
      <c r="Q1836" s="31">
        <v>-0.28634366666666722</v>
      </c>
      <c r="R1836" s="26" t="s">
        <v>280</v>
      </c>
      <c r="S1836" s="26">
        <v>1</v>
      </c>
      <c r="T1836" s="71" t="s">
        <v>626</v>
      </c>
    </row>
    <row r="1837" spans="1:20" ht="12.75" customHeight="1">
      <c r="A1837" s="26" t="s">
        <v>141</v>
      </c>
      <c r="B1837" s="26" t="s">
        <v>217</v>
      </c>
      <c r="C1837" s="26" t="s">
        <v>508</v>
      </c>
      <c r="D1837" s="25">
        <v>42608</v>
      </c>
      <c r="E1837" s="1">
        <f t="shared" si="108"/>
        <v>2016</v>
      </c>
      <c r="F1837" s="1">
        <f t="shared" si="109"/>
        <v>8</v>
      </c>
      <c r="G1837" s="4">
        <f t="shared" si="110"/>
        <v>26</v>
      </c>
      <c r="H1837" s="8">
        <v>8.50462962962963E-2</v>
      </c>
      <c r="I1837" s="22">
        <v>136.06283333333334</v>
      </c>
      <c r="J1837" s="22">
        <v>39.172333333333334</v>
      </c>
      <c r="K1837" s="27">
        <v>50.344000000000001</v>
      </c>
      <c r="L1837" s="27">
        <v>50</v>
      </c>
      <c r="M1837" s="27">
        <v>0</v>
      </c>
      <c r="N1837" s="21">
        <v>10.0219</v>
      </c>
      <c r="O1837" s="24">
        <v>34.020400000000002</v>
      </c>
      <c r="P1837" s="31">
        <v>9.7899999999984111E-4</v>
      </c>
      <c r="Q1837" s="31">
        <v>-0.67002173999999926</v>
      </c>
      <c r="R1837" s="26" t="s">
        <v>280</v>
      </c>
      <c r="S1837" s="26">
        <v>1</v>
      </c>
      <c r="T1837" s="71" t="s">
        <v>626</v>
      </c>
    </row>
    <row r="1838" spans="1:20" ht="12.75" customHeight="1">
      <c r="A1838" s="26" t="s">
        <v>141</v>
      </c>
      <c r="B1838" s="26" t="s">
        <v>217</v>
      </c>
      <c r="C1838" s="26" t="s">
        <v>508</v>
      </c>
      <c r="D1838" s="25">
        <v>42608</v>
      </c>
      <c r="E1838" s="1">
        <f t="shared" si="108"/>
        <v>2016</v>
      </c>
      <c r="F1838" s="1">
        <f t="shared" si="109"/>
        <v>8</v>
      </c>
      <c r="G1838" s="4">
        <f t="shared" si="110"/>
        <v>26</v>
      </c>
      <c r="H1838" s="8">
        <v>8.50462962962963E-2</v>
      </c>
      <c r="I1838" s="22">
        <v>136.06283333333334</v>
      </c>
      <c r="J1838" s="22">
        <v>39.172333333333334</v>
      </c>
      <c r="K1838" s="27">
        <v>74.924999999999997</v>
      </c>
      <c r="L1838" s="27">
        <v>75</v>
      </c>
      <c r="M1838" s="27">
        <v>0</v>
      </c>
      <c r="N1838" s="21">
        <v>6.4603999999999999</v>
      </c>
      <c r="O1838" s="24">
        <v>34.033299999999997</v>
      </c>
      <c r="P1838" s="31">
        <v>-2.1489794117647287E-2</v>
      </c>
      <c r="Q1838" s="31">
        <v>-0.65833171999999962</v>
      </c>
      <c r="R1838" s="26" t="s">
        <v>280</v>
      </c>
      <c r="S1838" s="26">
        <v>1</v>
      </c>
      <c r="T1838" s="71" t="s">
        <v>626</v>
      </c>
    </row>
    <row r="1839" spans="1:20" ht="12.75" customHeight="1">
      <c r="A1839" s="26" t="s">
        <v>141</v>
      </c>
      <c r="B1839" s="26" t="s">
        <v>217</v>
      </c>
      <c r="C1839" s="26" t="s">
        <v>508</v>
      </c>
      <c r="D1839" s="25">
        <v>42608</v>
      </c>
      <c r="E1839" s="1">
        <f t="shared" si="108"/>
        <v>2016</v>
      </c>
      <c r="F1839" s="1">
        <f t="shared" si="109"/>
        <v>8</v>
      </c>
      <c r="G1839" s="4">
        <f t="shared" si="110"/>
        <v>26</v>
      </c>
      <c r="H1839" s="8">
        <v>8.50462962962963E-2</v>
      </c>
      <c r="I1839" s="22">
        <v>136.06283333333334</v>
      </c>
      <c r="J1839" s="22">
        <v>39.172333333333334</v>
      </c>
      <c r="K1839" s="27">
        <v>99.924999999999997</v>
      </c>
      <c r="L1839" s="27">
        <v>100</v>
      </c>
      <c r="M1839" s="27">
        <v>0</v>
      </c>
      <c r="N1839" s="21">
        <v>4.3117999999999999</v>
      </c>
      <c r="O1839" s="24">
        <v>34.0032</v>
      </c>
      <c r="P1839" s="31">
        <v>-3.3376588235294324E-2</v>
      </c>
      <c r="Q1839" s="31">
        <v>-0.86087026000000222</v>
      </c>
      <c r="R1839" s="26" t="s">
        <v>280</v>
      </c>
      <c r="S1839" s="26">
        <v>1</v>
      </c>
      <c r="T1839" s="71" t="s">
        <v>626</v>
      </c>
    </row>
    <row r="1840" spans="1:20" ht="12.75" customHeight="1">
      <c r="A1840" s="26" t="s">
        <v>141</v>
      </c>
      <c r="B1840" s="26" t="s">
        <v>217</v>
      </c>
      <c r="C1840" s="26" t="s">
        <v>508</v>
      </c>
      <c r="D1840" s="25">
        <v>42608</v>
      </c>
      <c r="E1840" s="1">
        <f t="shared" si="108"/>
        <v>2016</v>
      </c>
      <c r="F1840" s="1">
        <f t="shared" si="109"/>
        <v>8</v>
      </c>
      <c r="G1840" s="4">
        <f t="shared" si="110"/>
        <v>26</v>
      </c>
      <c r="H1840" s="8">
        <v>8.50462962962963E-2</v>
      </c>
      <c r="I1840" s="22">
        <v>136.06283333333334</v>
      </c>
      <c r="J1840" s="22">
        <v>39.172333333333334</v>
      </c>
      <c r="K1840" s="27">
        <v>149.53299999999999</v>
      </c>
      <c r="L1840" s="27">
        <v>150</v>
      </c>
      <c r="M1840" s="27">
        <v>0</v>
      </c>
      <c r="N1840" s="21">
        <v>2.2158000000000002</v>
      </c>
      <c r="O1840" s="24">
        <v>34.0304</v>
      </c>
      <c r="P1840" s="31">
        <v>3.1659617647058713E-2</v>
      </c>
      <c r="Q1840" s="31">
        <v>-0.58355252000000135</v>
      </c>
      <c r="R1840" s="26" t="s">
        <v>280</v>
      </c>
      <c r="S1840" s="26">
        <v>1</v>
      </c>
      <c r="T1840" s="71" t="s">
        <v>626</v>
      </c>
    </row>
    <row r="1841" spans="1:20" ht="12.75" customHeight="1">
      <c r="A1841" s="26" t="s">
        <v>141</v>
      </c>
      <c r="B1841" s="26" t="s">
        <v>217</v>
      </c>
      <c r="C1841" s="26" t="s">
        <v>508</v>
      </c>
      <c r="D1841" s="25">
        <v>42608</v>
      </c>
      <c r="E1841" s="1">
        <f t="shared" si="108"/>
        <v>2016</v>
      </c>
      <c r="F1841" s="1">
        <f t="shared" si="109"/>
        <v>8</v>
      </c>
      <c r="G1841" s="4">
        <f t="shared" si="110"/>
        <v>26</v>
      </c>
      <c r="H1841" s="6">
        <v>8.50462962962963E-2</v>
      </c>
      <c r="I1841" s="22">
        <v>136.06283333333334</v>
      </c>
      <c r="J1841" s="22">
        <v>39.172333333333334</v>
      </c>
      <c r="K1841" s="27">
        <v>199.12100000000001</v>
      </c>
      <c r="L1841" s="27">
        <v>200</v>
      </c>
      <c r="M1841" s="27">
        <v>0</v>
      </c>
      <c r="N1841" s="21">
        <v>1.4518</v>
      </c>
      <c r="O1841" s="24">
        <v>34.033700000000003</v>
      </c>
      <c r="P1841" s="31">
        <v>-1.7981764705881087E-3</v>
      </c>
      <c r="Q1841" s="31">
        <v>-0.80374726000000152</v>
      </c>
      <c r="R1841" s="26" t="s">
        <v>280</v>
      </c>
      <c r="S1841" s="26">
        <v>1</v>
      </c>
      <c r="T1841" s="71" t="s">
        <v>626</v>
      </c>
    </row>
    <row r="1842" spans="1:20" ht="12.75" customHeight="1">
      <c r="A1842" s="26" t="s">
        <v>141</v>
      </c>
      <c r="B1842" s="26" t="s">
        <v>218</v>
      </c>
      <c r="C1842" s="26" t="s">
        <v>508</v>
      </c>
      <c r="D1842" s="25">
        <v>42608</v>
      </c>
      <c r="E1842" s="1">
        <f t="shared" si="108"/>
        <v>2016</v>
      </c>
      <c r="F1842" s="1">
        <f t="shared" si="109"/>
        <v>8</v>
      </c>
      <c r="G1842" s="4">
        <f t="shared" si="110"/>
        <v>26</v>
      </c>
      <c r="H1842" s="6">
        <v>0.7154166666666667</v>
      </c>
      <c r="I1842" s="22">
        <v>135.60249999999999</v>
      </c>
      <c r="J1842" s="22">
        <v>40.166833333333336</v>
      </c>
      <c r="K1842" s="27">
        <v>0</v>
      </c>
      <c r="L1842" s="27">
        <v>0</v>
      </c>
      <c r="M1842" s="27">
        <v>0</v>
      </c>
      <c r="N1842" s="21">
        <v>25.6</v>
      </c>
      <c r="O1842" s="24">
        <v>33.316941647368076</v>
      </c>
      <c r="P1842" s="31">
        <v>-0.1471809705882352</v>
      </c>
      <c r="Q1842" s="31">
        <v>-1.6336694400000003</v>
      </c>
      <c r="R1842" s="26" t="s">
        <v>280</v>
      </c>
      <c r="S1842" s="26">
        <v>1</v>
      </c>
      <c r="T1842" s="71" t="s">
        <v>626</v>
      </c>
    </row>
    <row r="1843" spans="1:20" ht="12.75" customHeight="1">
      <c r="A1843" s="26" t="s">
        <v>141</v>
      </c>
      <c r="B1843" s="26" t="s">
        <v>218</v>
      </c>
      <c r="C1843" s="26" t="s">
        <v>508</v>
      </c>
      <c r="D1843" s="25">
        <v>42608</v>
      </c>
      <c r="E1843" s="1">
        <f t="shared" si="108"/>
        <v>2016</v>
      </c>
      <c r="F1843" s="1">
        <f t="shared" si="109"/>
        <v>8</v>
      </c>
      <c r="G1843" s="4">
        <f t="shared" si="110"/>
        <v>26</v>
      </c>
      <c r="H1843" s="6">
        <v>0.7154166666666667</v>
      </c>
      <c r="I1843" s="22">
        <v>135.60249999999999</v>
      </c>
      <c r="J1843" s="22">
        <v>40.166833333333336</v>
      </c>
      <c r="K1843" s="27">
        <v>10.221</v>
      </c>
      <c r="L1843" s="27">
        <v>10</v>
      </c>
      <c r="M1843" s="27">
        <v>0</v>
      </c>
      <c r="N1843" s="21">
        <v>25.7927</v>
      </c>
      <c r="O1843" s="24">
        <v>33.237499999999997</v>
      </c>
      <c r="P1843" s="31">
        <v>-0.18206897058823546</v>
      </c>
      <c r="Q1843" s="31">
        <v>-1.5473804447058832</v>
      </c>
      <c r="R1843" s="26" t="s">
        <v>280</v>
      </c>
      <c r="S1843" s="26">
        <v>1</v>
      </c>
      <c r="T1843" s="71" t="s">
        <v>626</v>
      </c>
    </row>
    <row r="1844" spans="1:20">
      <c r="A1844" s="26" t="s">
        <v>141</v>
      </c>
      <c r="B1844" s="26" t="s">
        <v>218</v>
      </c>
      <c r="C1844" s="26" t="s">
        <v>508</v>
      </c>
      <c r="D1844" s="25">
        <v>42608</v>
      </c>
      <c r="E1844" s="1">
        <f t="shared" si="108"/>
        <v>2016</v>
      </c>
      <c r="F1844" s="1">
        <f t="shared" si="109"/>
        <v>8</v>
      </c>
      <c r="G1844" s="4">
        <f t="shared" si="110"/>
        <v>26</v>
      </c>
      <c r="H1844" s="6">
        <v>0.7154166666666667</v>
      </c>
      <c r="I1844" s="22">
        <v>135.60249999999999</v>
      </c>
      <c r="J1844" s="22">
        <v>40.166833333333336</v>
      </c>
      <c r="K1844" s="27">
        <v>19.827999999999999</v>
      </c>
      <c r="L1844" s="27">
        <v>20</v>
      </c>
      <c r="M1844" s="27">
        <v>0</v>
      </c>
      <c r="N1844" s="21">
        <v>21.0776</v>
      </c>
      <c r="O1844" s="24">
        <v>33.798400000000001</v>
      </c>
      <c r="P1844" s="31">
        <v>-5.8831764705882694E-2</v>
      </c>
      <c r="Q1844" s="31">
        <v>-0.81018843764706006</v>
      </c>
      <c r="R1844" s="26" t="s">
        <v>280</v>
      </c>
      <c r="S1844" s="26">
        <v>1</v>
      </c>
      <c r="T1844" s="71" t="s">
        <v>626</v>
      </c>
    </row>
    <row r="1845" spans="1:20">
      <c r="A1845" s="26" t="s">
        <v>141</v>
      </c>
      <c r="B1845" s="26" t="s">
        <v>218</v>
      </c>
      <c r="C1845" s="26" t="s">
        <v>508</v>
      </c>
      <c r="D1845" s="25">
        <v>42608</v>
      </c>
      <c r="E1845" s="1">
        <f t="shared" si="108"/>
        <v>2016</v>
      </c>
      <c r="F1845" s="1">
        <f t="shared" si="109"/>
        <v>8</v>
      </c>
      <c r="G1845" s="4">
        <f t="shared" si="110"/>
        <v>26</v>
      </c>
      <c r="H1845" s="6">
        <v>0.7154166666666667</v>
      </c>
      <c r="I1845" s="22">
        <v>135.60249999999999</v>
      </c>
      <c r="J1845" s="22">
        <v>40.166833333333336</v>
      </c>
      <c r="K1845" s="27">
        <v>29.538</v>
      </c>
      <c r="L1845" s="27">
        <v>30</v>
      </c>
      <c r="M1845" s="27">
        <v>0</v>
      </c>
      <c r="N1845" s="21">
        <v>14.518700000000001</v>
      </c>
      <c r="O1845" s="24">
        <v>33.882100000000001</v>
      </c>
      <c r="P1845" s="31">
        <v>3.0294117647033936E-4</v>
      </c>
      <c r="Q1845" s="31">
        <v>-0.80687747058823511</v>
      </c>
      <c r="R1845" s="26" t="s">
        <v>280</v>
      </c>
      <c r="S1845" s="26">
        <v>1</v>
      </c>
      <c r="T1845" s="71" t="s">
        <v>626</v>
      </c>
    </row>
    <row r="1846" spans="1:20">
      <c r="A1846" s="26" t="s">
        <v>141</v>
      </c>
      <c r="B1846" s="26" t="s">
        <v>218</v>
      </c>
      <c r="C1846" s="26" t="s">
        <v>508</v>
      </c>
      <c r="D1846" s="25">
        <v>42608</v>
      </c>
      <c r="E1846" s="1">
        <f t="shared" si="108"/>
        <v>2016</v>
      </c>
      <c r="F1846" s="1">
        <f t="shared" si="109"/>
        <v>8</v>
      </c>
      <c r="G1846" s="4">
        <f t="shared" si="110"/>
        <v>26</v>
      </c>
      <c r="H1846" s="6">
        <v>0.7154166666666667</v>
      </c>
      <c r="I1846" s="22">
        <v>135.60249999999999</v>
      </c>
      <c r="J1846" s="22">
        <v>40.166833333333336</v>
      </c>
      <c r="K1846" s="27">
        <v>50.506</v>
      </c>
      <c r="L1846" s="27">
        <v>50</v>
      </c>
      <c r="M1846" s="27">
        <v>0</v>
      </c>
      <c r="N1846" s="21">
        <v>7.97</v>
      </c>
      <c r="O1846" s="24">
        <v>34.043500000000002</v>
      </c>
      <c r="P1846" s="31">
        <v>5.923414705882335E-2</v>
      </c>
      <c r="Q1846" s="31">
        <v>-0.3032643835294131</v>
      </c>
      <c r="R1846" s="26" t="s">
        <v>280</v>
      </c>
      <c r="S1846" s="26">
        <v>1</v>
      </c>
      <c r="T1846" s="71" t="s">
        <v>626</v>
      </c>
    </row>
    <row r="1847" spans="1:20">
      <c r="A1847" s="26" t="s">
        <v>141</v>
      </c>
      <c r="B1847" s="26" t="s">
        <v>218</v>
      </c>
      <c r="C1847" s="26" t="s">
        <v>508</v>
      </c>
      <c r="D1847" s="25">
        <v>42608</v>
      </c>
      <c r="E1847" s="1">
        <f t="shared" si="108"/>
        <v>2016</v>
      </c>
      <c r="F1847" s="1">
        <f t="shared" si="109"/>
        <v>8</v>
      </c>
      <c r="G1847" s="4">
        <f t="shared" si="110"/>
        <v>26</v>
      </c>
      <c r="H1847" s="6">
        <v>0.7154166666666667</v>
      </c>
      <c r="I1847" s="22">
        <v>135.60249999999999</v>
      </c>
      <c r="J1847" s="22">
        <v>40.166833333333336</v>
      </c>
      <c r="K1847" s="27">
        <v>74.313999999999993</v>
      </c>
      <c r="L1847" s="27">
        <v>75</v>
      </c>
      <c r="M1847" s="27">
        <v>0</v>
      </c>
      <c r="N1847" s="21">
        <v>4.4757999999999996</v>
      </c>
      <c r="O1847" s="24">
        <v>33.985999999999997</v>
      </c>
      <c r="P1847" s="31">
        <v>3.5544352941176527E-2</v>
      </c>
      <c r="Q1847" s="31">
        <v>-0.63257293647058788</v>
      </c>
      <c r="R1847" s="26" t="s">
        <v>280</v>
      </c>
      <c r="S1847" s="26">
        <v>1</v>
      </c>
      <c r="T1847" s="71" t="s">
        <v>626</v>
      </c>
    </row>
    <row r="1848" spans="1:20">
      <c r="A1848" s="26" t="s">
        <v>141</v>
      </c>
      <c r="B1848" s="26" t="s">
        <v>218</v>
      </c>
      <c r="C1848" s="26" t="s">
        <v>508</v>
      </c>
      <c r="D1848" s="25">
        <v>42608</v>
      </c>
      <c r="E1848" s="1">
        <f t="shared" si="108"/>
        <v>2016</v>
      </c>
      <c r="F1848" s="1">
        <f t="shared" si="109"/>
        <v>8</v>
      </c>
      <c r="G1848" s="4">
        <f t="shared" si="110"/>
        <v>26</v>
      </c>
      <c r="H1848" s="6">
        <v>0.7154166666666667</v>
      </c>
      <c r="I1848" s="22">
        <v>135.60249999999999</v>
      </c>
      <c r="J1848" s="22">
        <v>40.166833333333336</v>
      </c>
      <c r="K1848" s="27">
        <v>99.204999999999998</v>
      </c>
      <c r="L1848" s="27">
        <v>100</v>
      </c>
      <c r="M1848" s="27">
        <v>0</v>
      </c>
      <c r="N1848" s="21">
        <v>3.3815</v>
      </c>
      <c r="O1848" s="24">
        <v>33.984999999999999</v>
      </c>
      <c r="P1848" s="31">
        <v>-6.6639411764706225E-3</v>
      </c>
      <c r="Q1848" s="31">
        <v>-0.71124012941176673</v>
      </c>
      <c r="R1848" s="26" t="s">
        <v>280</v>
      </c>
      <c r="S1848" s="26">
        <v>1</v>
      </c>
      <c r="T1848" s="71" t="s">
        <v>626</v>
      </c>
    </row>
    <row r="1849" spans="1:20">
      <c r="A1849" s="26" t="s">
        <v>141</v>
      </c>
      <c r="B1849" s="26" t="s">
        <v>218</v>
      </c>
      <c r="C1849" s="26" t="s">
        <v>508</v>
      </c>
      <c r="D1849" s="25">
        <v>42608</v>
      </c>
      <c r="E1849" s="1">
        <f t="shared" si="108"/>
        <v>2016</v>
      </c>
      <c r="F1849" s="1">
        <f t="shared" si="109"/>
        <v>8</v>
      </c>
      <c r="G1849" s="4">
        <f t="shared" si="110"/>
        <v>26</v>
      </c>
      <c r="H1849" s="6">
        <v>0.7154166666666667</v>
      </c>
      <c r="I1849" s="22">
        <v>135.60249999999999</v>
      </c>
      <c r="J1849" s="22">
        <v>40.166833333333336</v>
      </c>
      <c r="K1849" s="27">
        <v>124.43</v>
      </c>
      <c r="L1849" s="27">
        <v>125</v>
      </c>
      <c r="M1849" s="27">
        <v>0</v>
      </c>
      <c r="N1849" s="21">
        <v>2.4228000000000001</v>
      </c>
      <c r="O1849" s="24">
        <v>33.983400000000003</v>
      </c>
      <c r="P1849" s="31">
        <v>-7.7652352941175451E-3</v>
      </c>
      <c r="Q1849" s="31">
        <v>-0.76225440235294073</v>
      </c>
      <c r="R1849" s="26" t="s">
        <v>280</v>
      </c>
      <c r="S1849" s="26">
        <v>1</v>
      </c>
      <c r="T1849" s="71" t="s">
        <v>626</v>
      </c>
    </row>
    <row r="1850" spans="1:20">
      <c r="A1850" s="26" t="s">
        <v>141</v>
      </c>
      <c r="B1850" s="26" t="s">
        <v>218</v>
      </c>
      <c r="C1850" s="26" t="s">
        <v>508</v>
      </c>
      <c r="D1850" s="25">
        <v>42608</v>
      </c>
      <c r="E1850" s="1">
        <f t="shared" si="108"/>
        <v>2016</v>
      </c>
      <c r="F1850" s="1">
        <f t="shared" si="109"/>
        <v>8</v>
      </c>
      <c r="G1850" s="4">
        <f t="shared" si="110"/>
        <v>26</v>
      </c>
      <c r="H1850" s="6">
        <v>0.7154166666666667</v>
      </c>
      <c r="I1850" s="22">
        <v>135.60249999999999</v>
      </c>
      <c r="J1850" s="22">
        <v>40.166833333333336</v>
      </c>
      <c r="K1850" s="27">
        <v>149.80500000000001</v>
      </c>
      <c r="L1850" s="27">
        <v>150</v>
      </c>
      <c r="M1850" s="27">
        <v>0</v>
      </c>
      <c r="N1850" s="21">
        <v>2.0973000000000002</v>
      </c>
      <c r="O1850" s="24">
        <v>34.013199999999998</v>
      </c>
      <c r="P1850" s="31">
        <v>-1.3594911764706064E-2</v>
      </c>
      <c r="Q1850" s="31">
        <v>-0.76470013411764803</v>
      </c>
      <c r="R1850" s="26" t="s">
        <v>280</v>
      </c>
      <c r="S1850" s="26">
        <v>1</v>
      </c>
      <c r="T1850" s="71" t="s">
        <v>626</v>
      </c>
    </row>
    <row r="1851" spans="1:20">
      <c r="A1851" s="26" t="s">
        <v>141</v>
      </c>
      <c r="B1851" s="26" t="s">
        <v>218</v>
      </c>
      <c r="C1851" s="26" t="s">
        <v>508</v>
      </c>
      <c r="D1851" s="25">
        <v>42608</v>
      </c>
      <c r="E1851" s="1">
        <f t="shared" si="108"/>
        <v>2016</v>
      </c>
      <c r="F1851" s="1">
        <f t="shared" si="109"/>
        <v>8</v>
      </c>
      <c r="G1851" s="4">
        <f t="shared" si="110"/>
        <v>26</v>
      </c>
      <c r="H1851" s="6">
        <v>0.7154166666666667</v>
      </c>
      <c r="I1851" s="22">
        <v>135.60249999999999</v>
      </c>
      <c r="J1851" s="22">
        <v>40.166833333333336</v>
      </c>
      <c r="K1851" s="27">
        <v>200.227</v>
      </c>
      <c r="L1851" s="27">
        <v>200</v>
      </c>
      <c r="M1851" s="27">
        <v>0</v>
      </c>
      <c r="N1851" s="21">
        <v>1.4492</v>
      </c>
      <c r="O1851" s="24">
        <v>34.035400000000003</v>
      </c>
      <c r="P1851" s="31">
        <v>-4.6442205882352594E-2</v>
      </c>
      <c r="Q1851" s="31">
        <v>-0.74386911372548958</v>
      </c>
      <c r="R1851" s="26" t="s">
        <v>280</v>
      </c>
      <c r="S1851" s="26">
        <v>1</v>
      </c>
      <c r="T1851" s="71" t="s">
        <v>626</v>
      </c>
    </row>
    <row r="1852" spans="1:20">
      <c r="A1852" s="26" t="s">
        <v>141</v>
      </c>
      <c r="B1852" s="26" t="s">
        <v>219</v>
      </c>
      <c r="C1852" s="26" t="s">
        <v>508</v>
      </c>
      <c r="D1852" s="25">
        <v>42609</v>
      </c>
      <c r="E1852" s="1">
        <f t="shared" si="108"/>
        <v>2016</v>
      </c>
      <c r="F1852" s="1">
        <f t="shared" si="109"/>
        <v>8</v>
      </c>
      <c r="G1852" s="4">
        <f t="shared" si="110"/>
        <v>27</v>
      </c>
      <c r="H1852" s="6">
        <v>4.0856481481481481E-3</v>
      </c>
      <c r="I1852" s="22">
        <v>135.63216666666668</v>
      </c>
      <c r="J1852" s="22">
        <v>39.911666666666669</v>
      </c>
      <c r="K1852" s="27">
        <v>0</v>
      </c>
      <c r="L1852" s="27">
        <v>0</v>
      </c>
      <c r="M1852" s="27">
        <v>0</v>
      </c>
      <c r="N1852" s="21">
        <v>25.4</v>
      </c>
      <c r="O1852" s="24">
        <v>33.146245197654679</v>
      </c>
      <c r="P1852" s="31">
        <v>-0.20281400000000005</v>
      </c>
      <c r="Q1852" s="31">
        <v>-1.7839819199999996</v>
      </c>
      <c r="R1852" s="26" t="s">
        <v>280</v>
      </c>
      <c r="S1852" s="26">
        <v>1</v>
      </c>
      <c r="T1852" s="71" t="s">
        <v>626</v>
      </c>
    </row>
    <row r="1853" spans="1:20">
      <c r="A1853" s="26" t="s">
        <v>141</v>
      </c>
      <c r="B1853" s="26" t="s">
        <v>219</v>
      </c>
      <c r="C1853" s="26" t="s">
        <v>508</v>
      </c>
      <c r="D1853" s="25">
        <v>42609</v>
      </c>
      <c r="E1853" s="1">
        <f t="shared" si="108"/>
        <v>2016</v>
      </c>
      <c r="F1853" s="1">
        <f t="shared" si="109"/>
        <v>8</v>
      </c>
      <c r="G1853" s="4">
        <f t="shared" si="110"/>
        <v>27</v>
      </c>
      <c r="H1853" s="6">
        <v>4.0856481481481481E-3</v>
      </c>
      <c r="I1853" s="22">
        <v>135.63216666666668</v>
      </c>
      <c r="J1853" s="22">
        <v>39.911666666666669</v>
      </c>
      <c r="K1853" s="27">
        <v>10.516</v>
      </c>
      <c r="L1853" s="27">
        <v>10</v>
      </c>
      <c r="M1853" s="27">
        <v>0</v>
      </c>
      <c r="N1853" s="21">
        <v>25.704499999999999</v>
      </c>
      <c r="O1853" s="24">
        <v>32.974400000000003</v>
      </c>
      <c r="P1853" s="31">
        <v>-0.23281229411764714</v>
      </c>
      <c r="Q1853" s="31">
        <v>-1.8873602329411767</v>
      </c>
      <c r="R1853" s="26" t="s">
        <v>280</v>
      </c>
      <c r="S1853" s="26">
        <v>1</v>
      </c>
      <c r="T1853" s="71" t="s">
        <v>626</v>
      </c>
    </row>
    <row r="1854" spans="1:20">
      <c r="A1854" s="26" t="s">
        <v>141</v>
      </c>
      <c r="B1854" s="26" t="s">
        <v>219</v>
      </c>
      <c r="C1854" s="26" t="s">
        <v>508</v>
      </c>
      <c r="D1854" s="25">
        <v>42609</v>
      </c>
      <c r="E1854" s="1">
        <f t="shared" si="108"/>
        <v>2016</v>
      </c>
      <c r="F1854" s="1">
        <f t="shared" si="109"/>
        <v>8</v>
      </c>
      <c r="G1854" s="4">
        <f t="shared" si="110"/>
        <v>27</v>
      </c>
      <c r="H1854" s="6">
        <v>4.0856481481481481E-3</v>
      </c>
      <c r="I1854" s="22">
        <v>135.63216666666668</v>
      </c>
      <c r="J1854" s="22">
        <v>39.911666666666669</v>
      </c>
      <c r="K1854" s="27">
        <v>19.802</v>
      </c>
      <c r="L1854" s="27">
        <v>20</v>
      </c>
      <c r="M1854" s="27">
        <v>0</v>
      </c>
      <c r="N1854" s="21">
        <v>23.212499999999999</v>
      </c>
      <c r="O1854" s="24">
        <v>33.709099999999999</v>
      </c>
      <c r="P1854" s="31">
        <v>-6.0328088235293897E-2</v>
      </c>
      <c r="Q1854" s="31">
        <v>-0.86814766588235415</v>
      </c>
      <c r="R1854" s="26" t="s">
        <v>280</v>
      </c>
      <c r="S1854" s="26">
        <v>1</v>
      </c>
      <c r="T1854" s="71" t="s">
        <v>626</v>
      </c>
    </row>
    <row r="1855" spans="1:20">
      <c r="A1855" s="26" t="s">
        <v>141</v>
      </c>
      <c r="B1855" s="26" t="s">
        <v>219</v>
      </c>
      <c r="C1855" s="26" t="s">
        <v>508</v>
      </c>
      <c r="D1855" s="25">
        <v>42609</v>
      </c>
      <c r="E1855" s="1">
        <f t="shared" si="108"/>
        <v>2016</v>
      </c>
      <c r="F1855" s="1">
        <f t="shared" si="109"/>
        <v>8</v>
      </c>
      <c r="G1855" s="4">
        <f t="shared" si="110"/>
        <v>27</v>
      </c>
      <c r="H1855" s="6">
        <v>4.0856481481481481E-3</v>
      </c>
      <c r="I1855" s="22">
        <v>135.63216666666668</v>
      </c>
      <c r="J1855" s="22">
        <v>39.911666666666669</v>
      </c>
      <c r="K1855" s="27">
        <v>30.053999999999998</v>
      </c>
      <c r="L1855" s="27">
        <v>30</v>
      </c>
      <c r="M1855" s="27">
        <v>0</v>
      </c>
      <c r="N1855" s="21">
        <v>16.9252</v>
      </c>
      <c r="O1855" s="24">
        <v>33.935400000000001</v>
      </c>
      <c r="P1855" s="31">
        <v>4.1541617647058882E-2</v>
      </c>
      <c r="Q1855" s="31">
        <v>-0.16900293882352813</v>
      </c>
      <c r="R1855" s="26" t="s">
        <v>280</v>
      </c>
      <c r="S1855" s="26">
        <v>1</v>
      </c>
      <c r="T1855" s="71" t="s">
        <v>626</v>
      </c>
    </row>
    <row r="1856" spans="1:20">
      <c r="A1856" s="26" t="s">
        <v>141</v>
      </c>
      <c r="B1856" s="26" t="s">
        <v>219</v>
      </c>
      <c r="C1856" s="26" t="s">
        <v>508</v>
      </c>
      <c r="D1856" s="25">
        <v>42609</v>
      </c>
      <c r="E1856" s="1">
        <f t="shared" si="108"/>
        <v>2016</v>
      </c>
      <c r="F1856" s="1">
        <f t="shared" si="109"/>
        <v>8</v>
      </c>
      <c r="G1856" s="4">
        <f t="shared" si="110"/>
        <v>27</v>
      </c>
      <c r="H1856" s="6">
        <v>4.0856481481481481E-3</v>
      </c>
      <c r="I1856" s="22">
        <v>135.63216666666668</v>
      </c>
      <c r="J1856" s="22">
        <v>39.911666666666669</v>
      </c>
      <c r="K1856" s="27">
        <v>49.646999999999998</v>
      </c>
      <c r="L1856" s="27">
        <v>50</v>
      </c>
      <c r="M1856" s="27">
        <v>0</v>
      </c>
      <c r="N1856" s="21">
        <v>11.0589</v>
      </c>
      <c r="O1856" s="24">
        <v>34.136899999999997</v>
      </c>
      <c r="P1856" s="31">
        <v>6.5063823529411868E-2</v>
      </c>
      <c r="Q1856" s="31">
        <v>4.1999108235293292E-2</v>
      </c>
      <c r="R1856" s="26" t="s">
        <v>280</v>
      </c>
      <c r="S1856" s="26">
        <v>1</v>
      </c>
      <c r="T1856" s="71" t="s">
        <v>626</v>
      </c>
    </row>
    <row r="1857" spans="1:20">
      <c r="A1857" s="26" t="s">
        <v>141</v>
      </c>
      <c r="B1857" s="26" t="s">
        <v>219</v>
      </c>
      <c r="C1857" s="26" t="s">
        <v>508</v>
      </c>
      <c r="D1857" s="25">
        <v>42609</v>
      </c>
      <c r="E1857" s="1">
        <f t="shared" si="108"/>
        <v>2016</v>
      </c>
      <c r="F1857" s="1">
        <f t="shared" si="109"/>
        <v>8</v>
      </c>
      <c r="G1857" s="4">
        <f t="shared" si="110"/>
        <v>27</v>
      </c>
      <c r="H1857" s="6">
        <v>4.0856481481481481E-3</v>
      </c>
      <c r="I1857" s="22">
        <v>135.63216666666668</v>
      </c>
      <c r="J1857" s="22">
        <v>39.911666666666669</v>
      </c>
      <c r="K1857" s="27">
        <v>74.484999999999999</v>
      </c>
      <c r="L1857" s="27">
        <v>75</v>
      </c>
      <c r="M1857" s="27">
        <v>0</v>
      </c>
      <c r="N1857" s="21">
        <v>7.5019</v>
      </c>
      <c r="O1857" s="24">
        <v>34.079700000000003</v>
      </c>
      <c r="P1857" s="31">
        <v>6.6201029411764756E-2</v>
      </c>
      <c r="Q1857" s="31">
        <v>-0.10276052470588048</v>
      </c>
      <c r="R1857" s="26" t="s">
        <v>280</v>
      </c>
      <c r="S1857" s="26">
        <v>1</v>
      </c>
      <c r="T1857" s="71" t="s">
        <v>626</v>
      </c>
    </row>
    <row r="1858" spans="1:20">
      <c r="A1858" s="26" t="s">
        <v>141</v>
      </c>
      <c r="B1858" s="26" t="s">
        <v>219</v>
      </c>
      <c r="C1858" s="26" t="s">
        <v>508</v>
      </c>
      <c r="D1858" s="25">
        <v>42609</v>
      </c>
      <c r="E1858" s="1">
        <f t="shared" si="108"/>
        <v>2016</v>
      </c>
      <c r="F1858" s="1">
        <f t="shared" si="109"/>
        <v>8</v>
      </c>
      <c r="G1858" s="4">
        <f t="shared" si="110"/>
        <v>27</v>
      </c>
      <c r="H1858" s="6">
        <v>4.0856481481481481E-3</v>
      </c>
      <c r="I1858" s="22">
        <v>135.63216666666668</v>
      </c>
      <c r="J1858" s="22">
        <v>39.911666666666669</v>
      </c>
      <c r="K1858" s="27">
        <v>99.087000000000003</v>
      </c>
      <c r="L1858" s="27">
        <v>100</v>
      </c>
      <c r="M1858" s="27">
        <v>0</v>
      </c>
      <c r="N1858" s="21">
        <v>4.0963000000000003</v>
      </c>
      <c r="O1858" s="24">
        <v>33.932099999999998</v>
      </c>
      <c r="P1858" s="31">
        <v>-2.348035294117623E-2</v>
      </c>
      <c r="Q1858" s="31">
        <v>-0.7498152776470608</v>
      </c>
      <c r="R1858" s="26" t="s">
        <v>280</v>
      </c>
      <c r="S1858" s="26">
        <v>1</v>
      </c>
      <c r="T1858" s="71" t="s">
        <v>626</v>
      </c>
    </row>
    <row r="1859" spans="1:20">
      <c r="A1859" s="26" t="s">
        <v>141</v>
      </c>
      <c r="B1859" s="26" t="s">
        <v>219</v>
      </c>
      <c r="C1859" s="26" t="s">
        <v>508</v>
      </c>
      <c r="D1859" s="25">
        <v>42609</v>
      </c>
      <c r="E1859" s="1">
        <f t="shared" si="108"/>
        <v>2016</v>
      </c>
      <c r="F1859" s="1">
        <f t="shared" si="109"/>
        <v>8</v>
      </c>
      <c r="G1859" s="4">
        <f t="shared" si="110"/>
        <v>27</v>
      </c>
      <c r="H1859" s="6">
        <v>4.0856481481481481E-3</v>
      </c>
      <c r="I1859" s="22">
        <v>135.63216666666668</v>
      </c>
      <c r="J1859" s="22">
        <v>39.911666666666669</v>
      </c>
      <c r="K1859" s="27">
        <v>149.80099999999999</v>
      </c>
      <c r="L1859" s="27">
        <v>150</v>
      </c>
      <c r="M1859" s="27">
        <v>0</v>
      </c>
      <c r="N1859" s="21">
        <v>2.1505999999999998</v>
      </c>
      <c r="O1859" s="24">
        <v>34.005899999999997</v>
      </c>
      <c r="P1859" s="31">
        <v>-3.0818323529411495E-2</v>
      </c>
      <c r="Q1859" s="31">
        <v>-0.92395830117646849</v>
      </c>
      <c r="R1859" s="26" t="s">
        <v>280</v>
      </c>
      <c r="S1859" s="26">
        <v>1</v>
      </c>
      <c r="T1859" s="71" t="s">
        <v>626</v>
      </c>
    </row>
    <row r="1860" spans="1:20">
      <c r="A1860" s="26" t="s">
        <v>141</v>
      </c>
      <c r="B1860" s="26" t="s">
        <v>219</v>
      </c>
      <c r="C1860" s="26" t="s">
        <v>508</v>
      </c>
      <c r="D1860" s="25">
        <v>42609</v>
      </c>
      <c r="E1860" s="1">
        <f t="shared" si="108"/>
        <v>2016</v>
      </c>
      <c r="F1860" s="1">
        <f t="shared" si="109"/>
        <v>8</v>
      </c>
      <c r="G1860" s="4">
        <f t="shared" si="110"/>
        <v>27</v>
      </c>
      <c r="H1860" s="6">
        <v>4.0856481481481481E-3</v>
      </c>
      <c r="I1860" s="22">
        <v>135.63216666666668</v>
      </c>
      <c r="J1860" s="22">
        <v>39.911666666666669</v>
      </c>
      <c r="K1860" s="27">
        <v>198.86799999999999</v>
      </c>
      <c r="L1860" s="27">
        <v>200</v>
      </c>
      <c r="M1860" s="27">
        <v>0</v>
      </c>
      <c r="N1860" s="21">
        <v>1.4632000000000001</v>
      </c>
      <c r="O1860" s="24">
        <v>34.011899999999997</v>
      </c>
      <c r="P1860" s="31">
        <v>-1.1294294117647041E-2</v>
      </c>
      <c r="Q1860" s="31">
        <v>-0.84432204470588168</v>
      </c>
      <c r="R1860" s="26" t="s">
        <v>280</v>
      </c>
      <c r="S1860" s="26">
        <v>1</v>
      </c>
      <c r="T1860" s="71" t="s">
        <v>626</v>
      </c>
    </row>
    <row r="1861" spans="1:20">
      <c r="A1861" s="26" t="s">
        <v>141</v>
      </c>
      <c r="B1861" s="26" t="s">
        <v>220</v>
      </c>
      <c r="C1861" s="26" t="s">
        <v>508</v>
      </c>
      <c r="D1861" s="25">
        <v>42609</v>
      </c>
      <c r="E1861" s="1">
        <f t="shared" si="108"/>
        <v>2016</v>
      </c>
      <c r="F1861" s="1">
        <f t="shared" si="109"/>
        <v>8</v>
      </c>
      <c r="G1861" s="4">
        <f t="shared" si="110"/>
        <v>27</v>
      </c>
      <c r="H1861" s="6">
        <v>0.57893518518518516</v>
      </c>
      <c r="I1861" s="22">
        <v>135.999</v>
      </c>
      <c r="J1861" s="22">
        <v>38.493000000000002</v>
      </c>
      <c r="K1861" s="27">
        <v>0</v>
      </c>
      <c r="L1861" s="27">
        <v>0</v>
      </c>
      <c r="M1861" s="27">
        <v>0</v>
      </c>
      <c r="N1861" s="21">
        <v>25.9</v>
      </c>
      <c r="O1861" s="24">
        <v>33.263529399628936</v>
      </c>
      <c r="P1861" s="31">
        <v>-9.2502764705882257E-2</v>
      </c>
      <c r="Q1861" s="31">
        <v>-1.203602348235294</v>
      </c>
      <c r="R1861" s="26" t="s">
        <v>280</v>
      </c>
      <c r="S1861" s="26">
        <v>1</v>
      </c>
      <c r="T1861" s="71" t="s">
        <v>626</v>
      </c>
    </row>
    <row r="1862" spans="1:20">
      <c r="A1862" s="26" t="s">
        <v>141</v>
      </c>
      <c r="B1862" s="26" t="s">
        <v>220</v>
      </c>
      <c r="C1862" s="26" t="s">
        <v>508</v>
      </c>
      <c r="D1862" s="25">
        <v>42609</v>
      </c>
      <c r="E1862" s="1">
        <f t="shared" ref="E1862:E1893" si="111">YEAR(D1862)</f>
        <v>2016</v>
      </c>
      <c r="F1862" s="1">
        <f t="shared" ref="F1862:F1893" si="112">MONTH(D1862)</f>
        <v>8</v>
      </c>
      <c r="G1862" s="4">
        <f t="shared" ref="G1862:G1893" si="113">DAY(D1862)</f>
        <v>27</v>
      </c>
      <c r="H1862" s="6">
        <v>0.57893518518518516</v>
      </c>
      <c r="I1862" s="22">
        <v>135.999</v>
      </c>
      <c r="J1862" s="22">
        <v>38.493000000000002</v>
      </c>
      <c r="K1862" s="27">
        <v>10.042999999999999</v>
      </c>
      <c r="L1862" s="27">
        <v>10</v>
      </c>
      <c r="M1862" s="27">
        <v>0</v>
      </c>
      <c r="N1862" s="21">
        <v>26.692499999999999</v>
      </c>
      <c r="O1862" s="24">
        <v>33.243299999999998</v>
      </c>
      <c r="P1862" s="31">
        <v>-5.588473529411786E-2</v>
      </c>
      <c r="Q1862" s="31">
        <v>-0.95569513176470533</v>
      </c>
      <c r="R1862" s="26" t="s">
        <v>280</v>
      </c>
      <c r="S1862" s="26">
        <v>1</v>
      </c>
      <c r="T1862" s="71" t="s">
        <v>626</v>
      </c>
    </row>
    <row r="1863" spans="1:20">
      <c r="A1863" s="26" t="s">
        <v>141</v>
      </c>
      <c r="B1863" s="26" t="s">
        <v>220</v>
      </c>
      <c r="C1863" s="26" t="s">
        <v>508</v>
      </c>
      <c r="D1863" s="25">
        <v>42609</v>
      </c>
      <c r="E1863" s="1">
        <f t="shared" si="111"/>
        <v>2016</v>
      </c>
      <c r="F1863" s="1">
        <f t="shared" si="112"/>
        <v>8</v>
      </c>
      <c r="G1863" s="4">
        <f t="shared" si="113"/>
        <v>27</v>
      </c>
      <c r="H1863" s="6">
        <v>0.57893518518518516</v>
      </c>
      <c r="I1863" s="22">
        <v>135.999</v>
      </c>
      <c r="J1863" s="22">
        <v>38.493000000000002</v>
      </c>
      <c r="K1863" s="27">
        <v>20.568999999999999</v>
      </c>
      <c r="L1863" s="27">
        <v>20</v>
      </c>
      <c r="M1863" s="27">
        <v>0</v>
      </c>
      <c r="N1863" s="21">
        <v>23.182300000000001</v>
      </c>
      <c r="O1863" s="24">
        <v>34.105499999999999</v>
      </c>
      <c r="P1863" s="31">
        <v>0.16469729411764722</v>
      </c>
      <c r="Q1863" s="31">
        <v>0.6240630047058815</v>
      </c>
      <c r="R1863" s="26" t="s">
        <v>280</v>
      </c>
      <c r="S1863" s="26">
        <v>1</v>
      </c>
      <c r="T1863" s="71" t="s">
        <v>626</v>
      </c>
    </row>
    <row r="1864" spans="1:20" s="17" customFormat="1">
      <c r="A1864" s="26" t="s">
        <v>141</v>
      </c>
      <c r="B1864" s="26" t="s">
        <v>220</v>
      </c>
      <c r="C1864" s="26" t="s">
        <v>508</v>
      </c>
      <c r="D1864" s="25">
        <v>42609</v>
      </c>
      <c r="E1864" s="1">
        <f t="shared" si="111"/>
        <v>2016</v>
      </c>
      <c r="F1864" s="1">
        <f t="shared" si="112"/>
        <v>8</v>
      </c>
      <c r="G1864" s="4">
        <f t="shared" si="113"/>
        <v>27</v>
      </c>
      <c r="H1864" s="6">
        <v>0.57893518518518516</v>
      </c>
      <c r="I1864" s="22">
        <v>135.999</v>
      </c>
      <c r="J1864" s="22">
        <v>38.493000000000002</v>
      </c>
      <c r="K1864" s="27">
        <v>30.227</v>
      </c>
      <c r="L1864" s="27">
        <v>30</v>
      </c>
      <c r="M1864" s="27">
        <v>0</v>
      </c>
      <c r="N1864" s="21">
        <v>17.568899999999999</v>
      </c>
      <c r="O1864" s="24">
        <v>34.340899999999998</v>
      </c>
      <c r="P1864" s="31">
        <v>0.20477482352941179</v>
      </c>
      <c r="Q1864" s="31">
        <v>0.99415298117646955</v>
      </c>
      <c r="R1864" s="26" t="s">
        <v>280</v>
      </c>
      <c r="S1864" s="26">
        <v>1</v>
      </c>
      <c r="T1864" s="71" t="s">
        <v>626</v>
      </c>
    </row>
    <row r="1865" spans="1:20" s="17" customFormat="1">
      <c r="A1865" s="26" t="s">
        <v>141</v>
      </c>
      <c r="B1865" s="26" t="s">
        <v>220</v>
      </c>
      <c r="C1865" s="26" t="s">
        <v>508</v>
      </c>
      <c r="D1865" s="25">
        <v>42609</v>
      </c>
      <c r="E1865" s="1">
        <f t="shared" si="111"/>
        <v>2016</v>
      </c>
      <c r="F1865" s="1">
        <f t="shared" si="112"/>
        <v>8</v>
      </c>
      <c r="G1865" s="4">
        <f t="shared" si="113"/>
        <v>27</v>
      </c>
      <c r="H1865" s="6">
        <v>0.57893518518518516</v>
      </c>
      <c r="I1865" s="22">
        <v>135.999</v>
      </c>
      <c r="J1865" s="22">
        <v>38.493000000000002</v>
      </c>
      <c r="K1865" s="27">
        <v>50.494999999999997</v>
      </c>
      <c r="L1865" s="27">
        <v>50</v>
      </c>
      <c r="M1865" s="27">
        <v>0</v>
      </c>
      <c r="N1865" s="21">
        <v>14.292299999999999</v>
      </c>
      <c r="O1865" s="24">
        <v>34.403399999999998</v>
      </c>
      <c r="P1865" s="31">
        <v>0.13777544117647067</v>
      </c>
      <c r="Q1865" s="31">
        <v>0.89241284705882329</v>
      </c>
      <c r="R1865" s="26" t="s">
        <v>280</v>
      </c>
      <c r="S1865" s="26">
        <v>1</v>
      </c>
      <c r="T1865" s="71" t="s">
        <v>626</v>
      </c>
    </row>
    <row r="1866" spans="1:20" s="17" customFormat="1">
      <c r="A1866" s="26" t="s">
        <v>141</v>
      </c>
      <c r="B1866" s="26" t="s">
        <v>220</v>
      </c>
      <c r="C1866" s="26" t="s">
        <v>508</v>
      </c>
      <c r="D1866" s="25">
        <v>42609</v>
      </c>
      <c r="E1866" s="1">
        <f t="shared" si="111"/>
        <v>2016</v>
      </c>
      <c r="F1866" s="1">
        <f t="shared" si="112"/>
        <v>8</v>
      </c>
      <c r="G1866" s="4">
        <f t="shared" si="113"/>
        <v>27</v>
      </c>
      <c r="H1866" s="6">
        <v>0.57893518518518516</v>
      </c>
      <c r="I1866" s="22">
        <v>135.999</v>
      </c>
      <c r="J1866" s="22">
        <v>38.493000000000002</v>
      </c>
      <c r="K1866" s="27">
        <v>75.091999999999999</v>
      </c>
      <c r="L1866" s="27">
        <v>75</v>
      </c>
      <c r="M1866" s="27">
        <v>0</v>
      </c>
      <c r="N1866" s="21">
        <v>10.562200000000001</v>
      </c>
      <c r="O1866" s="24">
        <v>34.199100000000001</v>
      </c>
      <c r="P1866" s="31">
        <v>0.1380499423529411</v>
      </c>
      <c r="Q1866" s="31">
        <v>0.57166667058823428</v>
      </c>
      <c r="R1866" s="26" t="s">
        <v>280</v>
      </c>
      <c r="S1866" s="26">
        <v>1</v>
      </c>
      <c r="T1866" s="71" t="s">
        <v>626</v>
      </c>
    </row>
    <row r="1867" spans="1:20" s="17" customFormat="1">
      <c r="A1867" s="26" t="s">
        <v>141</v>
      </c>
      <c r="B1867" s="26" t="s">
        <v>220</v>
      </c>
      <c r="C1867" s="26" t="s">
        <v>508</v>
      </c>
      <c r="D1867" s="25">
        <v>42609</v>
      </c>
      <c r="E1867" s="1">
        <f t="shared" si="111"/>
        <v>2016</v>
      </c>
      <c r="F1867" s="1">
        <f t="shared" si="112"/>
        <v>8</v>
      </c>
      <c r="G1867" s="4">
        <f t="shared" si="113"/>
        <v>27</v>
      </c>
      <c r="H1867" s="6">
        <v>0.57893518518518516</v>
      </c>
      <c r="I1867" s="22">
        <v>135.999</v>
      </c>
      <c r="J1867" s="22">
        <v>38.493000000000002</v>
      </c>
      <c r="K1867" s="27">
        <v>99.98</v>
      </c>
      <c r="L1867" s="27">
        <v>100</v>
      </c>
      <c r="M1867" s="27">
        <v>0</v>
      </c>
      <c r="N1867" s="21">
        <v>7.0903999999999998</v>
      </c>
      <c r="O1867" s="24">
        <v>34.071100000000001</v>
      </c>
      <c r="P1867" s="31">
        <v>6.4068518823529264E-2</v>
      </c>
      <c r="Q1867" s="31">
        <v>-0.22070427529411774</v>
      </c>
      <c r="R1867" s="26" t="s">
        <v>280</v>
      </c>
      <c r="S1867" s="26">
        <v>1</v>
      </c>
      <c r="T1867" s="71" t="s">
        <v>626</v>
      </c>
    </row>
    <row r="1868" spans="1:20" s="17" customFormat="1">
      <c r="A1868" s="26" t="s">
        <v>141</v>
      </c>
      <c r="B1868" s="26" t="s">
        <v>220</v>
      </c>
      <c r="C1868" s="26" t="s">
        <v>508</v>
      </c>
      <c r="D1868" s="25">
        <v>42609</v>
      </c>
      <c r="E1868" s="1">
        <f t="shared" si="111"/>
        <v>2016</v>
      </c>
      <c r="F1868" s="1">
        <f t="shared" si="112"/>
        <v>8</v>
      </c>
      <c r="G1868" s="4">
        <f t="shared" si="113"/>
        <v>27</v>
      </c>
      <c r="H1868" s="6">
        <v>0.57893518518518516</v>
      </c>
      <c r="I1868" s="22">
        <v>135.999</v>
      </c>
      <c r="J1868" s="22">
        <v>38.493000000000002</v>
      </c>
      <c r="K1868" s="27">
        <v>125.372</v>
      </c>
      <c r="L1868" s="27">
        <v>125</v>
      </c>
      <c r="M1868" s="27">
        <v>0</v>
      </c>
      <c r="N1868" s="21">
        <v>4.9832999999999998</v>
      </c>
      <c r="O1868" s="24">
        <v>34.021000000000001</v>
      </c>
      <c r="P1868" s="31">
        <v>9.1677095294117494E-2</v>
      </c>
      <c r="Q1868" s="31">
        <v>-0.29017690117647099</v>
      </c>
      <c r="R1868" s="26" t="s">
        <v>280</v>
      </c>
      <c r="S1868" s="26">
        <v>1</v>
      </c>
      <c r="T1868" s="71" t="s">
        <v>626</v>
      </c>
    </row>
    <row r="1869" spans="1:20" s="17" customFormat="1">
      <c r="A1869" s="26" t="s">
        <v>141</v>
      </c>
      <c r="B1869" s="26" t="s">
        <v>220</v>
      </c>
      <c r="C1869" s="26" t="s">
        <v>508</v>
      </c>
      <c r="D1869" s="25">
        <v>42609</v>
      </c>
      <c r="E1869" s="1">
        <f t="shared" si="111"/>
        <v>2016</v>
      </c>
      <c r="F1869" s="1">
        <f t="shared" si="112"/>
        <v>8</v>
      </c>
      <c r="G1869" s="4">
        <f t="shared" si="113"/>
        <v>27</v>
      </c>
      <c r="H1869" s="6">
        <v>0.57893518518518516</v>
      </c>
      <c r="I1869" s="22">
        <v>135.999</v>
      </c>
      <c r="J1869" s="22">
        <v>38.493000000000002</v>
      </c>
      <c r="K1869" s="27">
        <v>150.887</v>
      </c>
      <c r="L1869" s="27">
        <v>150</v>
      </c>
      <c r="M1869" s="27">
        <v>0</v>
      </c>
      <c r="N1869" s="21">
        <v>2.9411999999999998</v>
      </c>
      <c r="O1869" s="24">
        <v>34.005499999999998</v>
      </c>
      <c r="P1869" s="31">
        <v>2.1962451764705904E-2</v>
      </c>
      <c r="Q1869" s="31">
        <v>-0.72619780705882508</v>
      </c>
      <c r="R1869" s="26" t="s">
        <v>280</v>
      </c>
      <c r="S1869" s="26">
        <v>1</v>
      </c>
      <c r="T1869" s="71" t="s">
        <v>626</v>
      </c>
    </row>
    <row r="1870" spans="1:20" s="17" customFormat="1">
      <c r="A1870" s="26" t="s">
        <v>141</v>
      </c>
      <c r="B1870" s="26" t="s">
        <v>220</v>
      </c>
      <c r="C1870" s="26" t="s">
        <v>508</v>
      </c>
      <c r="D1870" s="25">
        <v>42609</v>
      </c>
      <c r="E1870" s="1">
        <f t="shared" si="111"/>
        <v>2016</v>
      </c>
      <c r="F1870" s="1">
        <f t="shared" si="112"/>
        <v>8</v>
      </c>
      <c r="G1870" s="4">
        <f t="shared" si="113"/>
        <v>27</v>
      </c>
      <c r="H1870" s="6">
        <v>0.57893518518518516</v>
      </c>
      <c r="I1870" s="22">
        <v>135.999</v>
      </c>
      <c r="J1870" s="22">
        <v>38.493000000000002</v>
      </c>
      <c r="K1870" s="27">
        <v>198.857</v>
      </c>
      <c r="L1870" s="27">
        <v>200</v>
      </c>
      <c r="M1870" s="27">
        <v>0</v>
      </c>
      <c r="N1870" s="21">
        <v>1.7749999999999999</v>
      </c>
      <c r="O1870" s="24">
        <v>34.033799999999999</v>
      </c>
      <c r="P1870" s="31">
        <v>3.5754788235293988E-2</v>
      </c>
      <c r="Q1870" s="31">
        <v>-0.67662559294117752</v>
      </c>
      <c r="R1870" s="26" t="s">
        <v>280</v>
      </c>
      <c r="S1870" s="26">
        <v>1</v>
      </c>
      <c r="T1870" s="71" t="s">
        <v>626</v>
      </c>
    </row>
    <row r="1871" spans="1:20" s="17" customFormat="1">
      <c r="A1871" s="26" t="s">
        <v>141</v>
      </c>
      <c r="B1871" s="26" t="s">
        <v>293</v>
      </c>
      <c r="C1871" s="26" t="s">
        <v>508</v>
      </c>
      <c r="D1871" s="25">
        <v>42609</v>
      </c>
      <c r="E1871" s="1">
        <f t="shared" si="111"/>
        <v>2016</v>
      </c>
      <c r="F1871" s="1">
        <f t="shared" si="112"/>
        <v>8</v>
      </c>
      <c r="G1871" s="4">
        <f t="shared" si="113"/>
        <v>27</v>
      </c>
      <c r="H1871" s="6">
        <v>0.86368055555555545</v>
      </c>
      <c r="I1871" s="22">
        <v>135.79666666666665</v>
      </c>
      <c r="J1871" s="22">
        <v>38.629666666666665</v>
      </c>
      <c r="K1871" s="27">
        <v>0</v>
      </c>
      <c r="L1871" s="27">
        <v>0</v>
      </c>
      <c r="M1871" s="27">
        <v>0</v>
      </c>
      <c r="N1871" s="21">
        <v>25.9</v>
      </c>
      <c r="O1871" s="24">
        <v>33.560791388204535</v>
      </c>
      <c r="P1871" s="31">
        <v>-4.2696595294117623E-2</v>
      </c>
      <c r="Q1871" s="31">
        <v>-0.86886933882353024</v>
      </c>
      <c r="R1871" s="26" t="s">
        <v>280</v>
      </c>
      <c r="S1871" s="26"/>
      <c r="T1871" s="71" t="s">
        <v>626</v>
      </c>
    </row>
    <row r="1872" spans="1:20" s="17" customFormat="1">
      <c r="A1872" s="26" t="s">
        <v>141</v>
      </c>
      <c r="B1872" s="26" t="s">
        <v>293</v>
      </c>
      <c r="C1872" s="26" t="s">
        <v>508</v>
      </c>
      <c r="D1872" s="25">
        <v>42609</v>
      </c>
      <c r="E1872" s="1">
        <f t="shared" si="111"/>
        <v>2016</v>
      </c>
      <c r="F1872" s="1">
        <f t="shared" si="112"/>
        <v>8</v>
      </c>
      <c r="G1872" s="4">
        <f t="shared" si="113"/>
        <v>27</v>
      </c>
      <c r="H1872" s="6">
        <v>0.86368055555555545</v>
      </c>
      <c r="I1872" s="22">
        <v>135.79666666666665</v>
      </c>
      <c r="J1872" s="22">
        <v>38.629666666666665</v>
      </c>
      <c r="K1872" s="27">
        <v>20.677</v>
      </c>
      <c r="L1872" s="27">
        <v>20</v>
      </c>
      <c r="M1872" s="27">
        <v>0</v>
      </c>
      <c r="N1872" s="21">
        <v>25.921099999999999</v>
      </c>
      <c r="O1872" s="24">
        <v>33.5852</v>
      </c>
      <c r="P1872" s="31">
        <v>-4.3126858823529179E-2</v>
      </c>
      <c r="Q1872" s="31">
        <v>-0.95187424470588322</v>
      </c>
      <c r="R1872" s="26" t="s">
        <v>280</v>
      </c>
      <c r="S1872" s="26"/>
      <c r="T1872" s="71" t="s">
        <v>626</v>
      </c>
    </row>
    <row r="1873" spans="1:20" s="17" customFormat="1">
      <c r="A1873" s="26" t="s">
        <v>141</v>
      </c>
      <c r="B1873" s="26" t="s">
        <v>293</v>
      </c>
      <c r="C1873" s="26" t="s">
        <v>508</v>
      </c>
      <c r="D1873" s="25">
        <v>42609</v>
      </c>
      <c r="E1873" s="1">
        <f t="shared" si="111"/>
        <v>2016</v>
      </c>
      <c r="F1873" s="1">
        <f t="shared" si="112"/>
        <v>8</v>
      </c>
      <c r="G1873" s="4">
        <f t="shared" si="113"/>
        <v>27</v>
      </c>
      <c r="H1873" s="6">
        <v>0.86368055555555545</v>
      </c>
      <c r="I1873" s="22">
        <v>135.79666666666665</v>
      </c>
      <c r="J1873" s="22">
        <v>38.629666666666665</v>
      </c>
      <c r="K1873" s="27">
        <v>49.579000000000001</v>
      </c>
      <c r="L1873" s="27">
        <v>50</v>
      </c>
      <c r="M1873" s="27">
        <v>0</v>
      </c>
      <c r="N1873" s="21">
        <v>11.8393</v>
      </c>
      <c r="O1873" s="24">
        <v>34.229799999999997</v>
      </c>
      <c r="P1873" s="31">
        <v>0.12155650705882382</v>
      </c>
      <c r="Q1873" s="31">
        <v>0.47373357176470599</v>
      </c>
      <c r="R1873" s="26" t="s">
        <v>280</v>
      </c>
      <c r="S1873" s="26"/>
      <c r="T1873" s="71" t="s">
        <v>626</v>
      </c>
    </row>
    <row r="1874" spans="1:20" s="17" customFormat="1">
      <c r="A1874" s="26" t="s">
        <v>141</v>
      </c>
      <c r="B1874" s="26" t="s">
        <v>221</v>
      </c>
      <c r="C1874" s="26" t="s">
        <v>508</v>
      </c>
      <c r="D1874" s="25">
        <v>42610</v>
      </c>
      <c r="E1874" s="1">
        <f t="shared" si="111"/>
        <v>2016</v>
      </c>
      <c r="F1874" s="1">
        <f t="shared" si="112"/>
        <v>8</v>
      </c>
      <c r="G1874" s="4">
        <f t="shared" si="113"/>
        <v>28</v>
      </c>
      <c r="H1874" s="6">
        <v>0.5722800925925926</v>
      </c>
      <c r="I1874" s="22">
        <v>135.601</v>
      </c>
      <c r="J1874" s="22">
        <v>37.741500000000002</v>
      </c>
      <c r="K1874" s="27">
        <v>0</v>
      </c>
      <c r="L1874" s="27">
        <v>0</v>
      </c>
      <c r="M1874" s="27">
        <v>0</v>
      </c>
      <c r="N1874" s="21">
        <v>26.1</v>
      </c>
      <c r="O1874" s="24">
        <v>33.762596338205817</v>
      </c>
      <c r="P1874" s="31">
        <v>-6.4241643137254778E-2</v>
      </c>
      <c r="Q1874" s="31">
        <v>-0.53260429411765031</v>
      </c>
      <c r="R1874" s="26" t="s">
        <v>280</v>
      </c>
      <c r="S1874" s="26">
        <v>1</v>
      </c>
      <c r="T1874" s="71" t="s">
        <v>626</v>
      </c>
    </row>
    <row r="1875" spans="1:20" s="17" customFormat="1">
      <c r="A1875" s="26" t="s">
        <v>141</v>
      </c>
      <c r="B1875" s="26" t="s">
        <v>221</v>
      </c>
      <c r="C1875" s="26" t="s">
        <v>508</v>
      </c>
      <c r="D1875" s="25">
        <v>42610</v>
      </c>
      <c r="E1875" s="1">
        <f t="shared" si="111"/>
        <v>2016</v>
      </c>
      <c r="F1875" s="1">
        <f t="shared" si="112"/>
        <v>8</v>
      </c>
      <c r="G1875" s="4">
        <f t="shared" si="113"/>
        <v>28</v>
      </c>
      <c r="H1875" s="6">
        <v>0.5722800925925926</v>
      </c>
      <c r="I1875" s="22">
        <v>135.601</v>
      </c>
      <c r="J1875" s="22">
        <v>37.741500000000002</v>
      </c>
      <c r="K1875" s="27">
        <v>9.9280000000000008</v>
      </c>
      <c r="L1875" s="27">
        <v>10</v>
      </c>
      <c r="M1875" s="27">
        <v>0</v>
      </c>
      <c r="N1875" s="21">
        <v>26.427700000000002</v>
      </c>
      <c r="O1875" s="24">
        <v>33.706800000000001</v>
      </c>
      <c r="P1875" s="31">
        <v>-1.2793279999999907E-2</v>
      </c>
      <c r="Q1875" s="31">
        <v>-0.40183840000000348</v>
      </c>
      <c r="R1875" s="26" t="s">
        <v>280</v>
      </c>
      <c r="S1875" s="26">
        <v>1</v>
      </c>
      <c r="T1875" s="71" t="s">
        <v>626</v>
      </c>
    </row>
    <row r="1876" spans="1:20" s="17" customFormat="1">
      <c r="A1876" s="26" t="s">
        <v>141</v>
      </c>
      <c r="B1876" s="26" t="s">
        <v>221</v>
      </c>
      <c r="C1876" s="26" t="s">
        <v>508</v>
      </c>
      <c r="D1876" s="25">
        <v>42610</v>
      </c>
      <c r="E1876" s="1">
        <f t="shared" si="111"/>
        <v>2016</v>
      </c>
      <c r="F1876" s="1">
        <f t="shared" si="112"/>
        <v>8</v>
      </c>
      <c r="G1876" s="4">
        <f t="shared" si="113"/>
        <v>28</v>
      </c>
      <c r="H1876" s="6">
        <v>0.5722800925925926</v>
      </c>
      <c r="I1876" s="22">
        <v>135.601</v>
      </c>
      <c r="J1876" s="22">
        <v>37.741500000000002</v>
      </c>
      <c r="K1876" s="27">
        <v>19.920999999999999</v>
      </c>
      <c r="L1876" s="27">
        <v>20</v>
      </c>
      <c r="M1876" s="27">
        <v>0</v>
      </c>
      <c r="N1876" s="21">
        <v>23.520499999999998</v>
      </c>
      <c r="O1876" s="24">
        <v>34.034700000000001</v>
      </c>
      <c r="P1876" s="31">
        <v>0.14708547647058823</v>
      </c>
      <c r="Q1876" s="31">
        <v>0.55420045411764463</v>
      </c>
      <c r="R1876" s="26" t="s">
        <v>280</v>
      </c>
      <c r="S1876" s="26">
        <v>1</v>
      </c>
      <c r="T1876" s="71" t="s">
        <v>626</v>
      </c>
    </row>
    <row r="1877" spans="1:20" s="17" customFormat="1">
      <c r="A1877" s="26" t="s">
        <v>141</v>
      </c>
      <c r="B1877" s="26" t="s">
        <v>221</v>
      </c>
      <c r="C1877" s="26" t="s">
        <v>508</v>
      </c>
      <c r="D1877" s="25">
        <v>42610</v>
      </c>
      <c r="E1877" s="1">
        <f t="shared" si="111"/>
        <v>2016</v>
      </c>
      <c r="F1877" s="1">
        <f t="shared" si="112"/>
        <v>8</v>
      </c>
      <c r="G1877" s="4">
        <f t="shared" si="113"/>
        <v>28</v>
      </c>
      <c r="H1877" s="6">
        <v>0.5722800925925926</v>
      </c>
      <c r="I1877" s="22">
        <v>135.601</v>
      </c>
      <c r="J1877" s="22">
        <v>37.741500000000002</v>
      </c>
      <c r="K1877" s="27">
        <v>30.585999999999999</v>
      </c>
      <c r="L1877" s="27">
        <v>30</v>
      </c>
      <c r="M1877" s="27">
        <v>0</v>
      </c>
      <c r="N1877" s="21">
        <v>17.941400000000002</v>
      </c>
      <c r="O1877" s="24">
        <v>34.309800000000003</v>
      </c>
      <c r="P1877" s="31">
        <v>0.1834307929411767</v>
      </c>
      <c r="Q1877" s="31">
        <v>1.0195470682352923</v>
      </c>
      <c r="R1877" s="26" t="s">
        <v>280</v>
      </c>
      <c r="S1877" s="26">
        <v>1</v>
      </c>
      <c r="T1877" s="71" t="s">
        <v>626</v>
      </c>
    </row>
    <row r="1878" spans="1:20" s="17" customFormat="1">
      <c r="A1878" s="26" t="s">
        <v>141</v>
      </c>
      <c r="B1878" s="26" t="s">
        <v>221</v>
      </c>
      <c r="C1878" s="26" t="s">
        <v>508</v>
      </c>
      <c r="D1878" s="25">
        <v>42610</v>
      </c>
      <c r="E1878" s="1">
        <f t="shared" si="111"/>
        <v>2016</v>
      </c>
      <c r="F1878" s="1">
        <f t="shared" si="112"/>
        <v>8</v>
      </c>
      <c r="G1878" s="4">
        <f t="shared" si="113"/>
        <v>28</v>
      </c>
      <c r="H1878" s="6">
        <v>0.5722800925925926</v>
      </c>
      <c r="I1878" s="22">
        <v>135.601</v>
      </c>
      <c r="J1878" s="22">
        <v>37.741500000000002</v>
      </c>
      <c r="K1878" s="27">
        <v>48.811999999999998</v>
      </c>
      <c r="L1878" s="27">
        <v>50</v>
      </c>
      <c r="M1878" s="27">
        <v>0</v>
      </c>
      <c r="N1878" s="21">
        <v>14.434900000000001</v>
      </c>
      <c r="O1878" s="24">
        <v>34.3628</v>
      </c>
      <c r="P1878" s="31">
        <v>0.19864538941176457</v>
      </c>
      <c r="Q1878" s="31">
        <v>0.9704709223529413</v>
      </c>
      <c r="R1878" s="26" t="s">
        <v>280</v>
      </c>
      <c r="S1878" s="26">
        <v>1</v>
      </c>
      <c r="T1878" s="71" t="s">
        <v>626</v>
      </c>
    </row>
    <row r="1879" spans="1:20" s="17" customFormat="1">
      <c r="A1879" s="26" t="s">
        <v>141</v>
      </c>
      <c r="B1879" s="26" t="s">
        <v>221</v>
      </c>
      <c r="C1879" s="26" t="s">
        <v>508</v>
      </c>
      <c r="D1879" s="25">
        <v>42610</v>
      </c>
      <c r="E1879" s="1">
        <f t="shared" si="111"/>
        <v>2016</v>
      </c>
      <c r="F1879" s="1">
        <f t="shared" si="112"/>
        <v>8</v>
      </c>
      <c r="G1879" s="4">
        <f t="shared" si="113"/>
        <v>28</v>
      </c>
      <c r="H1879" s="6">
        <v>0.5722800925925926</v>
      </c>
      <c r="I1879" s="22">
        <v>135.601</v>
      </c>
      <c r="J1879" s="22">
        <v>37.741500000000002</v>
      </c>
      <c r="K1879" s="27">
        <v>74.894000000000005</v>
      </c>
      <c r="L1879" s="27">
        <v>75</v>
      </c>
      <c r="M1879" s="27">
        <v>0</v>
      </c>
      <c r="N1879" s="21">
        <v>9.8571000000000009</v>
      </c>
      <c r="O1879" s="24">
        <v>34.1554</v>
      </c>
      <c r="P1879" s="31">
        <v>9.8656925882353086E-2</v>
      </c>
      <c r="Q1879" s="31">
        <v>0.26733457647058678</v>
      </c>
      <c r="R1879" s="26" t="s">
        <v>280</v>
      </c>
      <c r="S1879" s="26">
        <v>1</v>
      </c>
      <c r="T1879" s="71" t="s">
        <v>626</v>
      </c>
    </row>
    <row r="1880" spans="1:20" s="17" customFormat="1">
      <c r="A1880" s="26" t="s">
        <v>141</v>
      </c>
      <c r="B1880" s="26" t="s">
        <v>221</v>
      </c>
      <c r="C1880" s="26" t="s">
        <v>508</v>
      </c>
      <c r="D1880" s="25">
        <v>42610</v>
      </c>
      <c r="E1880" s="1">
        <f t="shared" si="111"/>
        <v>2016</v>
      </c>
      <c r="F1880" s="1">
        <f t="shared" si="112"/>
        <v>8</v>
      </c>
      <c r="G1880" s="4">
        <f t="shared" si="113"/>
        <v>28</v>
      </c>
      <c r="H1880" s="6">
        <v>0.5722800925925926</v>
      </c>
      <c r="I1880" s="22">
        <v>135.601</v>
      </c>
      <c r="J1880" s="22">
        <v>37.741500000000002</v>
      </c>
      <c r="K1880" s="27">
        <v>99.043999999999997</v>
      </c>
      <c r="L1880" s="27">
        <v>100</v>
      </c>
      <c r="M1880" s="27">
        <v>0</v>
      </c>
      <c r="N1880" s="21">
        <v>7.0198</v>
      </c>
      <c r="O1880" s="24">
        <v>34.078099999999999</v>
      </c>
      <c r="P1880" s="31">
        <v>7.039100235294149E-2</v>
      </c>
      <c r="Q1880" s="31">
        <v>-0.17692336941176556</v>
      </c>
      <c r="R1880" s="26" t="s">
        <v>280</v>
      </c>
      <c r="S1880" s="26">
        <v>1</v>
      </c>
      <c r="T1880" s="71" t="s">
        <v>626</v>
      </c>
    </row>
    <row r="1881" spans="1:20" s="17" customFormat="1">
      <c r="A1881" s="26" t="s">
        <v>141</v>
      </c>
      <c r="B1881" s="26" t="s">
        <v>221</v>
      </c>
      <c r="C1881" s="26" t="s">
        <v>508</v>
      </c>
      <c r="D1881" s="25">
        <v>42610</v>
      </c>
      <c r="E1881" s="1">
        <f t="shared" si="111"/>
        <v>2016</v>
      </c>
      <c r="F1881" s="1">
        <f t="shared" si="112"/>
        <v>8</v>
      </c>
      <c r="G1881" s="4">
        <f t="shared" si="113"/>
        <v>28</v>
      </c>
      <c r="H1881" s="6">
        <v>0.5722800925925926</v>
      </c>
      <c r="I1881" s="22">
        <v>135.601</v>
      </c>
      <c r="J1881" s="22">
        <v>37.741500000000002</v>
      </c>
      <c r="K1881" s="27">
        <v>121.652</v>
      </c>
      <c r="L1881" s="27">
        <v>125</v>
      </c>
      <c r="M1881" s="27">
        <v>0</v>
      </c>
      <c r="N1881" s="21">
        <v>5.4626999999999999</v>
      </c>
      <c r="O1881" s="24">
        <v>34.033200000000001</v>
      </c>
      <c r="P1881" s="31">
        <v>-1.2427747058823435E-2</v>
      </c>
      <c r="Q1881" s="31">
        <v>-0.4400864964705864</v>
      </c>
      <c r="R1881" s="26" t="s">
        <v>280</v>
      </c>
      <c r="S1881" s="26">
        <v>1</v>
      </c>
      <c r="T1881" s="71" t="s">
        <v>626</v>
      </c>
    </row>
    <row r="1882" spans="1:20" s="17" customFormat="1">
      <c r="A1882" s="26" t="s">
        <v>141</v>
      </c>
      <c r="B1882" s="26" t="s">
        <v>221</v>
      </c>
      <c r="C1882" s="26" t="s">
        <v>508</v>
      </c>
      <c r="D1882" s="25">
        <v>42610</v>
      </c>
      <c r="E1882" s="1">
        <f t="shared" si="111"/>
        <v>2016</v>
      </c>
      <c r="F1882" s="1">
        <f t="shared" si="112"/>
        <v>8</v>
      </c>
      <c r="G1882" s="4">
        <f t="shared" si="113"/>
        <v>28</v>
      </c>
      <c r="H1882" s="6">
        <v>0.5722800925925926</v>
      </c>
      <c r="I1882" s="22">
        <v>135.601</v>
      </c>
      <c r="J1882" s="22">
        <v>37.741500000000002</v>
      </c>
      <c r="K1882" s="27">
        <v>149.39599999999999</v>
      </c>
      <c r="L1882" s="27">
        <v>150</v>
      </c>
      <c r="M1882" s="27">
        <v>0</v>
      </c>
      <c r="N1882" s="21">
        <v>3.5863</v>
      </c>
      <c r="O1882" s="24">
        <v>34.006100000000004</v>
      </c>
      <c r="P1882" s="31">
        <v>-1.1627136470588217E-2</v>
      </c>
      <c r="Q1882" s="31">
        <v>-0.57009681176470473</v>
      </c>
      <c r="R1882" s="26" t="s">
        <v>280</v>
      </c>
      <c r="S1882" s="26">
        <v>1</v>
      </c>
      <c r="T1882" s="71" t="s">
        <v>626</v>
      </c>
    </row>
    <row r="1883" spans="1:20" s="17" customFormat="1">
      <c r="A1883" s="26" t="s">
        <v>141</v>
      </c>
      <c r="B1883" s="26" t="s">
        <v>221</v>
      </c>
      <c r="C1883" s="26" t="s">
        <v>508</v>
      </c>
      <c r="D1883" s="25">
        <v>42610</v>
      </c>
      <c r="E1883" s="1">
        <f t="shared" si="111"/>
        <v>2016</v>
      </c>
      <c r="F1883" s="1">
        <f t="shared" si="112"/>
        <v>8</v>
      </c>
      <c r="G1883" s="4">
        <f t="shared" si="113"/>
        <v>28</v>
      </c>
      <c r="H1883" s="6">
        <v>0.5722800925925926</v>
      </c>
      <c r="I1883" s="22">
        <v>135.601</v>
      </c>
      <c r="J1883" s="22">
        <v>37.741500000000002</v>
      </c>
      <c r="K1883" s="27">
        <v>199.66800000000001</v>
      </c>
      <c r="L1883" s="27">
        <v>200</v>
      </c>
      <c r="M1883" s="27">
        <v>0</v>
      </c>
      <c r="N1883" s="21">
        <v>1.7327999999999999</v>
      </c>
      <c r="O1883" s="24">
        <v>34.031199999999998</v>
      </c>
      <c r="P1883" s="31">
        <v>-1.4889325882353033E-2</v>
      </c>
      <c r="Q1883" s="31">
        <v>-0.64336572705882311</v>
      </c>
      <c r="R1883" s="26" t="s">
        <v>280</v>
      </c>
      <c r="S1883" s="26">
        <v>1</v>
      </c>
      <c r="T1883" s="71" t="s">
        <v>626</v>
      </c>
    </row>
    <row r="1884" spans="1:20" s="17" customFormat="1">
      <c r="A1884" s="26" t="s">
        <v>141</v>
      </c>
      <c r="B1884" s="26" t="s">
        <v>222</v>
      </c>
      <c r="C1884" s="26" t="s">
        <v>508</v>
      </c>
      <c r="D1884" s="25">
        <v>42610</v>
      </c>
      <c r="E1884" s="1">
        <f t="shared" si="111"/>
        <v>2016</v>
      </c>
      <c r="F1884" s="1">
        <f t="shared" si="112"/>
        <v>8</v>
      </c>
      <c r="G1884" s="4">
        <f t="shared" si="113"/>
        <v>28</v>
      </c>
      <c r="H1884" s="6">
        <v>0.75143518518518515</v>
      </c>
      <c r="I1884" s="22">
        <v>135.59966666666668</v>
      </c>
      <c r="J1884" s="22">
        <v>38.015500000000003</v>
      </c>
      <c r="K1884" s="27">
        <v>0</v>
      </c>
      <c r="L1884" s="27">
        <v>0</v>
      </c>
      <c r="M1884" s="27">
        <v>0</v>
      </c>
      <c r="N1884" s="21">
        <v>25.3</v>
      </c>
      <c r="O1884" s="24">
        <v>33.18348334942506</v>
      </c>
      <c r="P1884" s="31">
        <v>-0.17010023529411789</v>
      </c>
      <c r="Q1884" s="31">
        <v>-1.4673820623529421</v>
      </c>
      <c r="R1884" s="26" t="s">
        <v>280</v>
      </c>
      <c r="S1884" s="26">
        <v>1</v>
      </c>
      <c r="T1884" s="71" t="s">
        <v>626</v>
      </c>
    </row>
    <row r="1885" spans="1:20" s="17" customFormat="1">
      <c r="A1885" s="26" t="s">
        <v>141</v>
      </c>
      <c r="B1885" s="26" t="s">
        <v>222</v>
      </c>
      <c r="C1885" s="26" t="s">
        <v>508</v>
      </c>
      <c r="D1885" s="25">
        <v>42610</v>
      </c>
      <c r="E1885" s="1">
        <f t="shared" si="111"/>
        <v>2016</v>
      </c>
      <c r="F1885" s="1">
        <f t="shared" si="112"/>
        <v>8</v>
      </c>
      <c r="G1885" s="4">
        <f t="shared" si="113"/>
        <v>28</v>
      </c>
      <c r="H1885" s="6">
        <v>0.75143518518518515</v>
      </c>
      <c r="I1885" s="22">
        <v>135.59966666666668</v>
      </c>
      <c r="J1885" s="22">
        <v>38.015500000000003</v>
      </c>
      <c r="K1885" s="27">
        <v>10</v>
      </c>
      <c r="L1885" s="27">
        <v>10</v>
      </c>
      <c r="M1885" s="27">
        <v>0</v>
      </c>
      <c r="N1885" s="21">
        <v>25.6691</v>
      </c>
      <c r="O1885" s="24">
        <v>33.429499999999997</v>
      </c>
      <c r="P1885" s="31">
        <v>-0.12399940470588233</v>
      </c>
      <c r="Q1885" s="31">
        <v>-1.2483349376470585</v>
      </c>
      <c r="R1885" s="26" t="s">
        <v>280</v>
      </c>
      <c r="S1885" s="26">
        <v>1</v>
      </c>
      <c r="T1885" s="71" t="s">
        <v>626</v>
      </c>
    </row>
    <row r="1886" spans="1:20" s="17" customFormat="1">
      <c r="A1886" s="26" t="s">
        <v>141</v>
      </c>
      <c r="B1886" s="26" t="s">
        <v>222</v>
      </c>
      <c r="C1886" s="26" t="s">
        <v>508</v>
      </c>
      <c r="D1886" s="25">
        <v>42610</v>
      </c>
      <c r="E1886" s="1">
        <f t="shared" si="111"/>
        <v>2016</v>
      </c>
      <c r="F1886" s="1">
        <f t="shared" si="112"/>
        <v>8</v>
      </c>
      <c r="G1886" s="4">
        <f t="shared" si="113"/>
        <v>28</v>
      </c>
      <c r="H1886" s="6">
        <v>0.75143518518518515</v>
      </c>
      <c r="I1886" s="22">
        <v>135.59966666666668</v>
      </c>
      <c r="J1886" s="22">
        <v>38.015500000000003</v>
      </c>
      <c r="K1886" s="27">
        <v>19.917999999999999</v>
      </c>
      <c r="L1886" s="27">
        <v>20</v>
      </c>
      <c r="M1886" s="27">
        <v>0</v>
      </c>
      <c r="N1886" s="21">
        <v>19.5092</v>
      </c>
      <c r="O1886" s="24">
        <v>33.441499999999998</v>
      </c>
      <c r="P1886" s="31">
        <v>-1.5128314117646813E-2</v>
      </c>
      <c r="Q1886" s="31">
        <v>-0.39671903294117783</v>
      </c>
      <c r="R1886" s="26" t="s">
        <v>280</v>
      </c>
      <c r="S1886" s="26">
        <v>1</v>
      </c>
      <c r="T1886" s="71" t="s">
        <v>626</v>
      </c>
    </row>
    <row r="1887" spans="1:20" s="17" customFormat="1">
      <c r="A1887" s="26" t="s">
        <v>141</v>
      </c>
      <c r="B1887" s="26" t="s">
        <v>222</v>
      </c>
      <c r="C1887" s="26" t="s">
        <v>508</v>
      </c>
      <c r="D1887" s="25">
        <v>42610</v>
      </c>
      <c r="E1887" s="1">
        <f t="shared" si="111"/>
        <v>2016</v>
      </c>
      <c r="F1887" s="1">
        <f t="shared" si="112"/>
        <v>8</v>
      </c>
      <c r="G1887" s="4">
        <f t="shared" si="113"/>
        <v>28</v>
      </c>
      <c r="H1887" s="6">
        <v>0.75143518518518515</v>
      </c>
      <c r="I1887" s="22">
        <v>135.59966666666668</v>
      </c>
      <c r="J1887" s="22">
        <v>38.015500000000003</v>
      </c>
      <c r="K1887" s="27">
        <v>30</v>
      </c>
      <c r="L1887" s="27">
        <v>30</v>
      </c>
      <c r="M1887" s="27">
        <v>0</v>
      </c>
      <c r="N1887" s="21">
        <v>16.418500000000002</v>
      </c>
      <c r="O1887" s="24">
        <v>33.941600000000001</v>
      </c>
      <c r="P1887" s="31">
        <v>0.12157295647058808</v>
      </c>
      <c r="Q1887" s="31">
        <v>0.53687841176470741</v>
      </c>
      <c r="R1887" s="26" t="s">
        <v>280</v>
      </c>
      <c r="S1887" s="26">
        <v>1</v>
      </c>
      <c r="T1887" s="71" t="s">
        <v>626</v>
      </c>
    </row>
    <row r="1888" spans="1:20" s="17" customFormat="1">
      <c r="A1888" s="26" t="s">
        <v>141</v>
      </c>
      <c r="B1888" s="26" t="s">
        <v>222</v>
      </c>
      <c r="C1888" s="26" t="s">
        <v>508</v>
      </c>
      <c r="D1888" s="25">
        <v>42610</v>
      </c>
      <c r="E1888" s="1">
        <f t="shared" si="111"/>
        <v>2016</v>
      </c>
      <c r="F1888" s="1">
        <f t="shared" si="112"/>
        <v>8</v>
      </c>
      <c r="G1888" s="4">
        <f t="shared" si="113"/>
        <v>28</v>
      </c>
      <c r="H1888" s="6">
        <v>0.75143518518518515</v>
      </c>
      <c r="I1888" s="22">
        <v>135.59966666666668</v>
      </c>
      <c r="J1888" s="22">
        <v>38.015500000000003</v>
      </c>
      <c r="K1888" s="27">
        <v>50.393000000000001</v>
      </c>
      <c r="L1888" s="27">
        <v>50</v>
      </c>
      <c r="M1888" s="27">
        <v>0</v>
      </c>
      <c r="N1888" s="21">
        <v>13.646599999999999</v>
      </c>
      <c r="O1888" s="24">
        <v>34.256700000000002</v>
      </c>
      <c r="P1888" s="31">
        <v>0.1219314388235293</v>
      </c>
      <c r="Q1888" s="31">
        <v>0.45668083058823505</v>
      </c>
      <c r="R1888" s="26" t="s">
        <v>280</v>
      </c>
      <c r="S1888" s="26">
        <v>1</v>
      </c>
      <c r="T1888" s="71" t="s">
        <v>626</v>
      </c>
    </row>
    <row r="1889" spans="1:20" s="17" customFormat="1">
      <c r="A1889" s="26" t="s">
        <v>141</v>
      </c>
      <c r="B1889" s="26" t="s">
        <v>222</v>
      </c>
      <c r="C1889" s="26" t="s">
        <v>508</v>
      </c>
      <c r="D1889" s="25">
        <v>42610</v>
      </c>
      <c r="E1889" s="1">
        <f t="shared" si="111"/>
        <v>2016</v>
      </c>
      <c r="F1889" s="1">
        <f t="shared" si="112"/>
        <v>8</v>
      </c>
      <c r="G1889" s="4">
        <f t="shared" si="113"/>
        <v>28</v>
      </c>
      <c r="H1889" s="6">
        <v>0.75143518518518515</v>
      </c>
      <c r="I1889" s="22">
        <v>135.59966666666668</v>
      </c>
      <c r="J1889" s="22">
        <v>38.015500000000003</v>
      </c>
      <c r="K1889" s="27">
        <v>76</v>
      </c>
      <c r="L1889" s="27">
        <v>75</v>
      </c>
      <c r="M1889" s="27">
        <v>0</v>
      </c>
      <c r="N1889" s="21">
        <v>9.5655000000000001</v>
      </c>
      <c r="O1889" s="24">
        <v>34.133400000000002</v>
      </c>
      <c r="P1889" s="31">
        <v>6.9983362745097866E-2</v>
      </c>
      <c r="Q1889" s="31">
        <v>2.1180035294117161E-2</v>
      </c>
      <c r="R1889" s="26" t="s">
        <v>280</v>
      </c>
      <c r="S1889" s="26">
        <v>1</v>
      </c>
      <c r="T1889" s="71" t="s">
        <v>626</v>
      </c>
    </row>
    <row r="1890" spans="1:20" s="17" customFormat="1">
      <c r="A1890" s="26" t="s">
        <v>141</v>
      </c>
      <c r="B1890" s="26" t="s">
        <v>222</v>
      </c>
      <c r="C1890" s="26" t="s">
        <v>508</v>
      </c>
      <c r="D1890" s="25">
        <v>42610</v>
      </c>
      <c r="E1890" s="1">
        <f t="shared" si="111"/>
        <v>2016</v>
      </c>
      <c r="F1890" s="1">
        <f t="shared" si="112"/>
        <v>8</v>
      </c>
      <c r="G1890" s="4">
        <f t="shared" si="113"/>
        <v>28</v>
      </c>
      <c r="H1890" s="6">
        <v>0.75143518518518515</v>
      </c>
      <c r="I1890" s="22">
        <v>135.59966666666668</v>
      </c>
      <c r="J1890" s="22">
        <v>38.015500000000003</v>
      </c>
      <c r="K1890" s="27">
        <v>100</v>
      </c>
      <c r="L1890" s="27">
        <v>100</v>
      </c>
      <c r="M1890" s="27">
        <v>0</v>
      </c>
      <c r="N1890" s="21">
        <v>5.6501000000000001</v>
      </c>
      <c r="O1890" s="24">
        <v>34.013199999999998</v>
      </c>
      <c r="P1890" s="31">
        <v>0.14790946000000016</v>
      </c>
      <c r="Q1890" s="31">
        <v>-0.19309452000000071</v>
      </c>
      <c r="R1890" s="26" t="s">
        <v>280</v>
      </c>
      <c r="S1890" s="26">
        <v>1</v>
      </c>
      <c r="T1890" s="71" t="s">
        <v>626</v>
      </c>
    </row>
    <row r="1891" spans="1:20" s="17" customFormat="1">
      <c r="A1891" s="26" t="s">
        <v>141</v>
      </c>
      <c r="B1891" s="26" t="s">
        <v>222</v>
      </c>
      <c r="C1891" s="26" t="s">
        <v>508</v>
      </c>
      <c r="D1891" s="25">
        <v>42610</v>
      </c>
      <c r="E1891" s="1">
        <f t="shared" si="111"/>
        <v>2016</v>
      </c>
      <c r="F1891" s="1">
        <f t="shared" si="112"/>
        <v>8</v>
      </c>
      <c r="G1891" s="4">
        <f t="shared" si="113"/>
        <v>28</v>
      </c>
      <c r="H1891" s="6">
        <v>0.75143518518518515</v>
      </c>
      <c r="I1891" s="22">
        <v>135.59966666666668</v>
      </c>
      <c r="J1891" s="22">
        <v>38.015500000000003</v>
      </c>
      <c r="K1891" s="27">
        <v>150</v>
      </c>
      <c r="L1891" s="27">
        <v>150</v>
      </c>
      <c r="M1891" s="27">
        <v>0</v>
      </c>
      <c r="N1891" s="21">
        <v>2.6046999999999998</v>
      </c>
      <c r="O1891" s="24">
        <v>33.9955</v>
      </c>
      <c r="P1891" s="31">
        <v>-4.3866649411764547E-2</v>
      </c>
      <c r="Q1891" s="31">
        <v>-0.76920963529411601</v>
      </c>
      <c r="R1891" s="26" t="s">
        <v>280</v>
      </c>
      <c r="S1891" s="26">
        <v>1</v>
      </c>
      <c r="T1891" s="71" t="s">
        <v>626</v>
      </c>
    </row>
    <row r="1892" spans="1:20" s="17" customFormat="1">
      <c r="A1892" s="26" t="s">
        <v>141</v>
      </c>
      <c r="B1892" s="26" t="s">
        <v>222</v>
      </c>
      <c r="C1892" s="26" t="s">
        <v>508</v>
      </c>
      <c r="D1892" s="25">
        <v>42610</v>
      </c>
      <c r="E1892" s="1">
        <f t="shared" si="111"/>
        <v>2016</v>
      </c>
      <c r="F1892" s="1">
        <f t="shared" si="112"/>
        <v>8</v>
      </c>
      <c r="G1892" s="4">
        <f t="shared" si="113"/>
        <v>28</v>
      </c>
      <c r="H1892" s="6">
        <v>0.75143518518518515</v>
      </c>
      <c r="I1892" s="22">
        <v>135.59966666666668</v>
      </c>
      <c r="J1892" s="22">
        <v>38.015500000000003</v>
      </c>
      <c r="K1892" s="27">
        <v>198</v>
      </c>
      <c r="L1892" s="27">
        <v>200</v>
      </c>
      <c r="M1892" s="27">
        <v>0</v>
      </c>
      <c r="N1892" s="21">
        <v>1.5035000000000001</v>
      </c>
      <c r="O1892" s="24">
        <v>34.016100000000002</v>
      </c>
      <c r="P1892" s="31">
        <v>-3.1893338823529183E-2</v>
      </c>
      <c r="Q1892" s="31">
        <v>-0.86419681058823361</v>
      </c>
      <c r="R1892" s="26" t="s">
        <v>280</v>
      </c>
      <c r="S1892" s="26">
        <v>1</v>
      </c>
      <c r="T1892" s="71" t="s">
        <v>626</v>
      </c>
    </row>
    <row r="1893" spans="1:20" s="17" customFormat="1">
      <c r="A1893" s="26" t="s">
        <v>141</v>
      </c>
      <c r="B1893" s="26" t="s">
        <v>223</v>
      </c>
      <c r="C1893" s="26" t="s">
        <v>508</v>
      </c>
      <c r="D1893" s="25">
        <v>42610</v>
      </c>
      <c r="E1893" s="1">
        <f t="shared" si="111"/>
        <v>2016</v>
      </c>
      <c r="F1893" s="1">
        <f t="shared" si="112"/>
        <v>8</v>
      </c>
      <c r="G1893" s="4">
        <f t="shared" si="113"/>
        <v>28</v>
      </c>
      <c r="H1893" s="6">
        <v>0.98950231481481488</v>
      </c>
      <c r="I1893" s="22">
        <v>135.71016666666668</v>
      </c>
      <c r="J1893" s="22">
        <v>37.832500000000003</v>
      </c>
      <c r="K1893" s="27">
        <v>0</v>
      </c>
      <c r="L1893" s="27">
        <v>0</v>
      </c>
      <c r="M1893" s="27">
        <v>0</v>
      </c>
      <c r="N1893" s="21">
        <v>26.2</v>
      </c>
      <c r="O1893" s="24">
        <v>33.579983193700983</v>
      </c>
      <c r="P1893" s="31">
        <v>-3.94214682352938E-2</v>
      </c>
      <c r="Q1893" s="31">
        <v>-0.65786758588235195</v>
      </c>
      <c r="R1893" s="26" t="s">
        <v>280</v>
      </c>
      <c r="S1893" s="26">
        <v>1</v>
      </c>
      <c r="T1893" s="71" t="s">
        <v>626</v>
      </c>
    </row>
    <row r="1894" spans="1:20" s="17" customFormat="1">
      <c r="A1894" s="26" t="s">
        <v>141</v>
      </c>
      <c r="B1894" s="26" t="s">
        <v>223</v>
      </c>
      <c r="C1894" s="26" t="s">
        <v>508</v>
      </c>
      <c r="D1894" s="25">
        <v>42610</v>
      </c>
      <c r="E1894" s="1">
        <f t="shared" ref="E1894:E1925" si="114">YEAR(D1894)</f>
        <v>2016</v>
      </c>
      <c r="F1894" s="1">
        <f t="shared" ref="F1894:F1925" si="115">MONTH(D1894)</f>
        <v>8</v>
      </c>
      <c r="G1894" s="4">
        <f t="shared" ref="G1894:G1925" si="116">DAY(D1894)</f>
        <v>28</v>
      </c>
      <c r="H1894" s="6">
        <v>0.98950231481481488</v>
      </c>
      <c r="I1894" s="22">
        <v>135.71016666666668</v>
      </c>
      <c r="J1894" s="22">
        <v>37.832500000000003</v>
      </c>
      <c r="K1894" s="27">
        <v>10.45</v>
      </c>
      <c r="L1894" s="27">
        <v>10</v>
      </c>
      <c r="M1894" s="27">
        <v>0</v>
      </c>
      <c r="N1894" s="21">
        <v>26.4742</v>
      </c>
      <c r="O1894" s="24">
        <v>33.5991</v>
      </c>
      <c r="P1894" s="31">
        <v>-6.4825917647059139E-2</v>
      </c>
      <c r="Q1894" s="31">
        <v>-0.65639438117647053</v>
      </c>
      <c r="R1894" s="26" t="s">
        <v>280</v>
      </c>
      <c r="S1894" s="26">
        <v>1</v>
      </c>
      <c r="T1894" s="71" t="s">
        <v>626</v>
      </c>
    </row>
    <row r="1895" spans="1:20" s="17" customFormat="1">
      <c r="A1895" s="26" t="s">
        <v>141</v>
      </c>
      <c r="B1895" s="26" t="s">
        <v>223</v>
      </c>
      <c r="C1895" s="26" t="s">
        <v>508</v>
      </c>
      <c r="D1895" s="25">
        <v>42610</v>
      </c>
      <c r="E1895" s="1">
        <f t="shared" si="114"/>
        <v>2016</v>
      </c>
      <c r="F1895" s="1">
        <f t="shared" si="115"/>
        <v>8</v>
      </c>
      <c r="G1895" s="4">
        <f t="shared" si="116"/>
        <v>28</v>
      </c>
      <c r="H1895" s="6">
        <v>0.98950231481481488</v>
      </c>
      <c r="I1895" s="22">
        <v>135.71016666666668</v>
      </c>
      <c r="J1895" s="22">
        <v>37.832500000000003</v>
      </c>
      <c r="K1895" s="27">
        <v>19.727</v>
      </c>
      <c r="L1895" s="27">
        <v>20</v>
      </c>
      <c r="M1895" s="27">
        <v>0</v>
      </c>
      <c r="N1895" s="21">
        <v>24.4238</v>
      </c>
      <c r="O1895" s="24">
        <v>33.987400000000001</v>
      </c>
      <c r="P1895" s="31">
        <v>2.109035294117656E-2</v>
      </c>
      <c r="Q1895" s="31">
        <v>-0.12859577647058629</v>
      </c>
      <c r="R1895" s="26" t="s">
        <v>280</v>
      </c>
      <c r="S1895" s="26">
        <v>1</v>
      </c>
      <c r="T1895" s="71" t="s">
        <v>626</v>
      </c>
    </row>
    <row r="1896" spans="1:20" s="17" customFormat="1">
      <c r="A1896" s="26" t="s">
        <v>141</v>
      </c>
      <c r="B1896" s="26" t="s">
        <v>223</v>
      </c>
      <c r="C1896" s="26" t="s">
        <v>508</v>
      </c>
      <c r="D1896" s="25">
        <v>42610</v>
      </c>
      <c r="E1896" s="1">
        <f t="shared" si="114"/>
        <v>2016</v>
      </c>
      <c r="F1896" s="1">
        <f t="shared" si="115"/>
        <v>8</v>
      </c>
      <c r="G1896" s="4">
        <f t="shared" si="116"/>
        <v>28</v>
      </c>
      <c r="H1896" s="6">
        <v>0.98950231481481488</v>
      </c>
      <c r="I1896" s="22">
        <v>135.71016666666668</v>
      </c>
      <c r="J1896" s="22">
        <v>37.832500000000003</v>
      </c>
      <c r="K1896" s="27">
        <v>28.945</v>
      </c>
      <c r="L1896" s="27">
        <v>30</v>
      </c>
      <c r="M1896" s="27">
        <v>0</v>
      </c>
      <c r="N1896" s="21">
        <v>18.055399999999999</v>
      </c>
      <c r="O1896" s="24">
        <v>33.852600000000002</v>
      </c>
      <c r="P1896" s="31">
        <v>1.4156734117646952E-2</v>
      </c>
      <c r="Q1896" s="31">
        <v>8.6204329411767588E-3</v>
      </c>
      <c r="R1896" s="26" t="s">
        <v>280</v>
      </c>
      <c r="S1896" s="26">
        <v>1</v>
      </c>
      <c r="T1896" s="71" t="s">
        <v>626</v>
      </c>
    </row>
    <row r="1897" spans="1:20" s="17" customFormat="1">
      <c r="A1897" s="26" t="s">
        <v>141</v>
      </c>
      <c r="B1897" s="26" t="s">
        <v>223</v>
      </c>
      <c r="C1897" s="26" t="s">
        <v>508</v>
      </c>
      <c r="D1897" s="25">
        <v>42610</v>
      </c>
      <c r="E1897" s="1">
        <f t="shared" si="114"/>
        <v>2016</v>
      </c>
      <c r="F1897" s="1">
        <f t="shared" si="115"/>
        <v>8</v>
      </c>
      <c r="G1897" s="4">
        <f t="shared" si="116"/>
        <v>28</v>
      </c>
      <c r="H1897" s="6">
        <v>0.98950231481481488</v>
      </c>
      <c r="I1897" s="22">
        <v>135.71016666666668</v>
      </c>
      <c r="J1897" s="22">
        <v>37.832500000000003</v>
      </c>
      <c r="K1897" s="27">
        <v>50.237000000000002</v>
      </c>
      <c r="L1897" s="27">
        <v>50</v>
      </c>
      <c r="M1897" s="27">
        <v>0</v>
      </c>
      <c r="N1897" s="21">
        <v>13.836600000000001</v>
      </c>
      <c r="O1897" s="24">
        <v>34.261899999999997</v>
      </c>
      <c r="P1897" s="31">
        <v>0.13317055294117619</v>
      </c>
      <c r="Q1897" s="31">
        <v>0.78212122352941194</v>
      </c>
      <c r="R1897" s="26" t="s">
        <v>280</v>
      </c>
      <c r="S1897" s="26">
        <v>1</v>
      </c>
      <c r="T1897" s="71" t="s">
        <v>626</v>
      </c>
    </row>
    <row r="1898" spans="1:20" s="17" customFormat="1">
      <c r="A1898" s="26" t="s">
        <v>141</v>
      </c>
      <c r="B1898" s="26" t="s">
        <v>223</v>
      </c>
      <c r="C1898" s="26" t="s">
        <v>508</v>
      </c>
      <c r="D1898" s="25">
        <v>42610</v>
      </c>
      <c r="E1898" s="1">
        <f t="shared" si="114"/>
        <v>2016</v>
      </c>
      <c r="F1898" s="1">
        <f t="shared" si="115"/>
        <v>8</v>
      </c>
      <c r="G1898" s="4">
        <f t="shared" si="116"/>
        <v>28</v>
      </c>
      <c r="H1898" s="6">
        <v>0.98950231481481488</v>
      </c>
      <c r="I1898" s="22">
        <v>135.71016666666668</v>
      </c>
      <c r="J1898" s="22">
        <v>37.832500000000003</v>
      </c>
      <c r="K1898" s="27">
        <v>74.438000000000002</v>
      </c>
      <c r="L1898" s="27">
        <v>75</v>
      </c>
      <c r="M1898" s="27">
        <v>0</v>
      </c>
      <c r="N1898" s="21">
        <v>10.4556</v>
      </c>
      <c r="O1898" s="24">
        <v>34.193899999999999</v>
      </c>
      <c r="P1898" s="31">
        <v>0.1197403717647052</v>
      </c>
      <c r="Q1898" s="31">
        <v>0.49455257411764642</v>
      </c>
      <c r="R1898" s="26" t="s">
        <v>280</v>
      </c>
      <c r="S1898" s="26">
        <v>1</v>
      </c>
      <c r="T1898" s="71" t="s">
        <v>626</v>
      </c>
    </row>
    <row r="1899" spans="1:20" s="17" customFormat="1">
      <c r="A1899" s="26" t="s">
        <v>141</v>
      </c>
      <c r="B1899" s="26" t="s">
        <v>223</v>
      </c>
      <c r="C1899" s="26" t="s">
        <v>508</v>
      </c>
      <c r="D1899" s="25">
        <v>42610</v>
      </c>
      <c r="E1899" s="1">
        <f t="shared" si="114"/>
        <v>2016</v>
      </c>
      <c r="F1899" s="1">
        <f t="shared" si="115"/>
        <v>8</v>
      </c>
      <c r="G1899" s="4">
        <f t="shared" si="116"/>
        <v>28</v>
      </c>
      <c r="H1899" s="6">
        <v>0.98950231481481488</v>
      </c>
      <c r="I1899" s="22">
        <v>135.71016666666668</v>
      </c>
      <c r="J1899" s="22">
        <v>37.832500000000003</v>
      </c>
      <c r="K1899" s="27">
        <v>99.212999999999994</v>
      </c>
      <c r="L1899" s="27">
        <v>100</v>
      </c>
      <c r="M1899" s="27">
        <v>0</v>
      </c>
      <c r="N1899" s="21">
        <v>7.3291000000000004</v>
      </c>
      <c r="O1899" s="24">
        <v>34.0747</v>
      </c>
      <c r="P1899" s="31">
        <v>0.15185055058823504</v>
      </c>
      <c r="Q1899" s="31">
        <v>4.9082004705882198E-2</v>
      </c>
      <c r="R1899" s="26" t="s">
        <v>280</v>
      </c>
      <c r="S1899" s="26">
        <v>1</v>
      </c>
      <c r="T1899" s="71" t="s">
        <v>626</v>
      </c>
    </row>
    <row r="1900" spans="1:20" s="17" customFormat="1">
      <c r="A1900" s="26" t="s">
        <v>141</v>
      </c>
      <c r="B1900" s="26" t="s">
        <v>223</v>
      </c>
      <c r="C1900" s="26" t="s">
        <v>508</v>
      </c>
      <c r="D1900" s="25">
        <v>42610</v>
      </c>
      <c r="E1900" s="1">
        <f t="shared" si="114"/>
        <v>2016</v>
      </c>
      <c r="F1900" s="1">
        <f t="shared" si="115"/>
        <v>8</v>
      </c>
      <c r="G1900" s="4">
        <f t="shared" si="116"/>
        <v>28</v>
      </c>
      <c r="H1900" s="6">
        <v>0.98950231481481488</v>
      </c>
      <c r="I1900" s="22">
        <v>135.71016666666668</v>
      </c>
      <c r="J1900" s="22">
        <v>37.832500000000003</v>
      </c>
      <c r="K1900" s="27">
        <v>148.221</v>
      </c>
      <c r="L1900" s="27">
        <v>150</v>
      </c>
      <c r="M1900" s="27">
        <v>0</v>
      </c>
      <c r="N1900" s="21">
        <v>3.0602999999999998</v>
      </c>
      <c r="O1900" s="24">
        <v>34.024900000000002</v>
      </c>
      <c r="P1900" s="31">
        <v>3.5419689411764432E-2</v>
      </c>
      <c r="Q1900" s="31">
        <v>-0.511422964705881</v>
      </c>
      <c r="R1900" s="26" t="s">
        <v>280</v>
      </c>
      <c r="S1900" s="26">
        <v>1</v>
      </c>
      <c r="T1900" s="71" t="s">
        <v>626</v>
      </c>
    </row>
    <row r="1901" spans="1:20" s="17" customFormat="1">
      <c r="A1901" s="26" t="s">
        <v>141</v>
      </c>
      <c r="B1901" s="26" t="s">
        <v>223</v>
      </c>
      <c r="C1901" s="26" t="s">
        <v>508</v>
      </c>
      <c r="D1901" s="25">
        <v>42610</v>
      </c>
      <c r="E1901" s="1">
        <f t="shared" si="114"/>
        <v>2016</v>
      </c>
      <c r="F1901" s="1">
        <f t="shared" si="115"/>
        <v>8</v>
      </c>
      <c r="G1901" s="4">
        <f t="shared" si="116"/>
        <v>28</v>
      </c>
      <c r="H1901" s="6">
        <v>0.98950231481481488</v>
      </c>
      <c r="I1901" s="22">
        <v>135.71016666666668</v>
      </c>
      <c r="J1901" s="22">
        <v>37.832500000000003</v>
      </c>
      <c r="K1901" s="27">
        <v>198.68600000000001</v>
      </c>
      <c r="L1901" s="27">
        <v>200</v>
      </c>
      <c r="M1901" s="27">
        <v>0</v>
      </c>
      <c r="N1901" s="21">
        <v>1.6116999999999999</v>
      </c>
      <c r="O1901" s="24">
        <v>34.040599999999998</v>
      </c>
      <c r="P1901" s="31">
        <v>1.1088348235293921E-2</v>
      </c>
      <c r="Q1901" s="31">
        <v>-0.56499001411764738</v>
      </c>
      <c r="R1901" s="26" t="s">
        <v>280</v>
      </c>
      <c r="S1901" s="26">
        <v>1</v>
      </c>
      <c r="T1901" s="71" t="s">
        <v>626</v>
      </c>
    </row>
    <row r="1902" spans="1:20" s="17" customFormat="1">
      <c r="A1902" s="26" t="s">
        <v>141</v>
      </c>
      <c r="B1902" s="26" t="s">
        <v>224</v>
      </c>
      <c r="C1902" s="26" t="s">
        <v>508</v>
      </c>
      <c r="D1902" s="25">
        <v>42611</v>
      </c>
      <c r="E1902" s="1">
        <f t="shared" si="114"/>
        <v>2016</v>
      </c>
      <c r="F1902" s="1">
        <f t="shared" si="115"/>
        <v>8</v>
      </c>
      <c r="G1902" s="4">
        <f t="shared" si="116"/>
        <v>29</v>
      </c>
      <c r="H1902" s="6">
        <v>0.5774421296296296</v>
      </c>
      <c r="I1902" s="22">
        <v>135.99966666666666</v>
      </c>
      <c r="J1902" s="22">
        <v>36.989833333333337</v>
      </c>
      <c r="K1902" s="27">
        <v>0</v>
      </c>
      <c r="L1902" s="27">
        <v>0</v>
      </c>
      <c r="M1902" s="27">
        <v>0</v>
      </c>
      <c r="N1902" s="21">
        <v>26.5</v>
      </c>
      <c r="O1902" s="24">
        <v>33.052764169012988</v>
      </c>
      <c r="P1902" s="31">
        <v>-0.1287749129411766</v>
      </c>
      <c r="Q1902" s="31">
        <v>-0.99177978352941132</v>
      </c>
      <c r="R1902" s="26" t="s">
        <v>280</v>
      </c>
      <c r="S1902" s="26">
        <v>1</v>
      </c>
      <c r="T1902" s="71" t="s">
        <v>626</v>
      </c>
    </row>
    <row r="1903" spans="1:20" s="17" customFormat="1">
      <c r="A1903" s="26" t="s">
        <v>141</v>
      </c>
      <c r="B1903" s="26" t="s">
        <v>225</v>
      </c>
      <c r="C1903" s="26" t="s">
        <v>508</v>
      </c>
      <c r="D1903" s="25">
        <v>42611</v>
      </c>
      <c r="E1903" s="1">
        <f t="shared" si="114"/>
        <v>2016</v>
      </c>
      <c r="F1903" s="1">
        <f t="shared" si="115"/>
        <v>8</v>
      </c>
      <c r="G1903" s="4">
        <f t="shared" si="116"/>
        <v>29</v>
      </c>
      <c r="H1903" s="6">
        <v>0.5774421296296296</v>
      </c>
      <c r="I1903" s="22">
        <v>135.99966666666666</v>
      </c>
      <c r="J1903" s="22">
        <v>36.989833333333337</v>
      </c>
      <c r="K1903" s="27">
        <v>10.058999999999999</v>
      </c>
      <c r="L1903" s="27">
        <v>10</v>
      </c>
      <c r="M1903" s="27">
        <v>0</v>
      </c>
      <c r="N1903" s="21">
        <v>26.583200000000001</v>
      </c>
      <c r="O1903" s="24">
        <v>33.043399999999998</v>
      </c>
      <c r="P1903" s="31">
        <v>-0.16293467764705905</v>
      </c>
      <c r="Q1903" s="31">
        <v>-1.25717438117647</v>
      </c>
      <c r="R1903" s="26" t="s">
        <v>280</v>
      </c>
      <c r="S1903" s="26">
        <v>1</v>
      </c>
      <c r="T1903" s="71" t="s">
        <v>626</v>
      </c>
    </row>
    <row r="1904" spans="1:20" s="17" customFormat="1">
      <c r="A1904" s="26" t="s">
        <v>141</v>
      </c>
      <c r="B1904" s="26" t="s">
        <v>225</v>
      </c>
      <c r="C1904" s="26" t="s">
        <v>508</v>
      </c>
      <c r="D1904" s="25">
        <v>42611</v>
      </c>
      <c r="E1904" s="1">
        <f t="shared" si="114"/>
        <v>2016</v>
      </c>
      <c r="F1904" s="1">
        <f t="shared" si="115"/>
        <v>8</v>
      </c>
      <c r="G1904" s="4">
        <f t="shared" si="116"/>
        <v>29</v>
      </c>
      <c r="H1904" s="6">
        <v>0.5774421296296296</v>
      </c>
      <c r="I1904" s="22">
        <v>135.99966666666666</v>
      </c>
      <c r="J1904" s="22">
        <v>36.989833333333337</v>
      </c>
      <c r="K1904" s="27">
        <v>19.292999999999999</v>
      </c>
      <c r="L1904" s="27">
        <v>20</v>
      </c>
      <c r="M1904" s="27">
        <v>0</v>
      </c>
      <c r="N1904" s="21">
        <v>26.579799999999999</v>
      </c>
      <c r="O1904" s="24">
        <v>33.043100000000003</v>
      </c>
      <c r="P1904" s="31">
        <v>-3.9453352941176467E-2</v>
      </c>
      <c r="Q1904" s="31">
        <v>-0.55515045647058869</v>
      </c>
      <c r="R1904" s="26" t="s">
        <v>280</v>
      </c>
      <c r="S1904" s="26">
        <v>1</v>
      </c>
      <c r="T1904" s="71" t="s">
        <v>626</v>
      </c>
    </row>
    <row r="1905" spans="1:20" s="17" customFormat="1">
      <c r="A1905" s="26" t="s">
        <v>141</v>
      </c>
      <c r="B1905" s="26" t="s">
        <v>225</v>
      </c>
      <c r="C1905" s="26" t="s">
        <v>508</v>
      </c>
      <c r="D1905" s="25">
        <v>42611</v>
      </c>
      <c r="E1905" s="1">
        <f t="shared" si="114"/>
        <v>2016</v>
      </c>
      <c r="F1905" s="1">
        <f t="shared" si="115"/>
        <v>8</v>
      </c>
      <c r="G1905" s="4">
        <f t="shared" si="116"/>
        <v>29</v>
      </c>
      <c r="H1905" s="6">
        <v>0.5774421296296296</v>
      </c>
      <c r="I1905" s="22">
        <v>135.99966666666666</v>
      </c>
      <c r="J1905" s="22">
        <v>36.989833333333337</v>
      </c>
      <c r="K1905" s="27">
        <v>30.518999999999998</v>
      </c>
      <c r="L1905" s="27">
        <v>30</v>
      </c>
      <c r="M1905" s="27">
        <v>0</v>
      </c>
      <c r="N1905" s="21">
        <v>22.154</v>
      </c>
      <c r="O1905" s="24">
        <v>33.901899999999998</v>
      </c>
      <c r="P1905" s="31">
        <v>0.12003617647058817</v>
      </c>
      <c r="Q1905" s="31">
        <v>0.76732834823529394</v>
      </c>
      <c r="R1905" s="26" t="s">
        <v>280</v>
      </c>
      <c r="S1905" s="26">
        <v>1</v>
      </c>
      <c r="T1905" s="71" t="s">
        <v>626</v>
      </c>
    </row>
    <row r="1906" spans="1:20" s="17" customFormat="1">
      <c r="A1906" s="26" t="s">
        <v>141</v>
      </c>
      <c r="B1906" s="26" t="s">
        <v>225</v>
      </c>
      <c r="C1906" s="26" t="s">
        <v>508</v>
      </c>
      <c r="D1906" s="25">
        <v>42611</v>
      </c>
      <c r="E1906" s="1">
        <f t="shared" si="114"/>
        <v>2016</v>
      </c>
      <c r="F1906" s="1">
        <f t="shared" si="115"/>
        <v>8</v>
      </c>
      <c r="G1906" s="4">
        <f t="shared" si="116"/>
        <v>29</v>
      </c>
      <c r="H1906" s="6">
        <v>0.5774421296296296</v>
      </c>
      <c r="I1906" s="22">
        <v>135.99966666666666</v>
      </c>
      <c r="J1906" s="22">
        <v>36.989833333333337</v>
      </c>
      <c r="K1906" s="27">
        <v>50.957999999999998</v>
      </c>
      <c r="L1906" s="27">
        <v>50</v>
      </c>
      <c r="M1906" s="27">
        <v>0</v>
      </c>
      <c r="N1906" s="21">
        <v>18.7623</v>
      </c>
      <c r="O1906" s="24">
        <v>34.333599999999997</v>
      </c>
      <c r="P1906" s="31">
        <v>0.26976250588235229</v>
      </c>
      <c r="Q1906" s="31">
        <v>1.5313801929411763</v>
      </c>
      <c r="R1906" s="26" t="s">
        <v>280</v>
      </c>
      <c r="S1906" s="26">
        <v>1</v>
      </c>
      <c r="T1906" s="71" t="s">
        <v>626</v>
      </c>
    </row>
    <row r="1907" spans="1:20" s="17" customFormat="1" ht="12.75" customHeight="1">
      <c r="A1907" s="26" t="s">
        <v>141</v>
      </c>
      <c r="B1907" s="26" t="s">
        <v>225</v>
      </c>
      <c r="C1907" s="26" t="s">
        <v>508</v>
      </c>
      <c r="D1907" s="25">
        <v>42611</v>
      </c>
      <c r="E1907" s="1">
        <f t="shared" si="114"/>
        <v>2016</v>
      </c>
      <c r="F1907" s="1">
        <f t="shared" si="115"/>
        <v>8</v>
      </c>
      <c r="G1907" s="4">
        <f t="shared" si="116"/>
        <v>29</v>
      </c>
      <c r="H1907" s="6">
        <v>0.5774421296296296</v>
      </c>
      <c r="I1907" s="22">
        <v>135.99966666666666</v>
      </c>
      <c r="J1907" s="22">
        <v>36.989833333333337</v>
      </c>
      <c r="K1907" s="27">
        <v>74.656999999999996</v>
      </c>
      <c r="L1907" s="27">
        <v>75</v>
      </c>
      <c r="M1907" s="27">
        <v>0</v>
      </c>
      <c r="N1907" s="21">
        <v>16.744199999999999</v>
      </c>
      <c r="O1907" s="24">
        <v>34.497599999999998</v>
      </c>
      <c r="P1907" s="31">
        <v>0.23866623529411712</v>
      </c>
      <c r="Q1907" s="31">
        <v>1.4698800376470587</v>
      </c>
      <c r="R1907" s="26" t="s">
        <v>280</v>
      </c>
      <c r="S1907" s="26">
        <v>1</v>
      </c>
      <c r="T1907" s="71" t="s">
        <v>626</v>
      </c>
    </row>
    <row r="1908" spans="1:20" s="17" customFormat="1" ht="12.75" customHeight="1">
      <c r="A1908" s="26" t="s">
        <v>141</v>
      </c>
      <c r="B1908" s="26" t="s">
        <v>225</v>
      </c>
      <c r="C1908" s="26" t="s">
        <v>508</v>
      </c>
      <c r="D1908" s="25">
        <v>42611</v>
      </c>
      <c r="E1908" s="1">
        <f t="shared" si="114"/>
        <v>2016</v>
      </c>
      <c r="F1908" s="1">
        <f t="shared" si="115"/>
        <v>8</v>
      </c>
      <c r="G1908" s="4">
        <f t="shared" si="116"/>
        <v>29</v>
      </c>
      <c r="H1908" s="6">
        <v>0.5774421296296296</v>
      </c>
      <c r="I1908" s="22">
        <v>135.99966666666666</v>
      </c>
      <c r="J1908" s="22">
        <v>36.989833333333337</v>
      </c>
      <c r="K1908" s="27">
        <v>99.435000000000002</v>
      </c>
      <c r="L1908" s="27">
        <v>100</v>
      </c>
      <c r="M1908" s="27">
        <v>0</v>
      </c>
      <c r="N1908" s="21">
        <v>14.223000000000001</v>
      </c>
      <c r="O1908" s="24">
        <v>34.431699999999999</v>
      </c>
      <c r="P1908" s="31">
        <v>0.20614616470588198</v>
      </c>
      <c r="Q1908" s="31">
        <v>1.1176676423529397</v>
      </c>
      <c r="R1908" s="26" t="s">
        <v>280</v>
      </c>
      <c r="S1908" s="26">
        <v>1</v>
      </c>
      <c r="T1908" s="71" t="s">
        <v>626</v>
      </c>
    </row>
    <row r="1909" spans="1:20" s="17" customFormat="1" ht="12.75" customHeight="1">
      <c r="A1909" s="26" t="s">
        <v>141</v>
      </c>
      <c r="B1909" s="26" t="s">
        <v>225</v>
      </c>
      <c r="C1909" s="26" t="s">
        <v>508</v>
      </c>
      <c r="D1909" s="25">
        <v>42611</v>
      </c>
      <c r="E1909" s="1">
        <f t="shared" si="114"/>
        <v>2016</v>
      </c>
      <c r="F1909" s="1">
        <f t="shared" si="115"/>
        <v>8</v>
      </c>
      <c r="G1909" s="4">
        <f t="shared" si="116"/>
        <v>29</v>
      </c>
      <c r="H1909" s="6">
        <v>0.5774421296296296</v>
      </c>
      <c r="I1909" s="22">
        <v>135.99966666666666</v>
      </c>
      <c r="J1909" s="22">
        <v>36.989833333333337</v>
      </c>
      <c r="K1909" s="27">
        <v>124.01300000000001</v>
      </c>
      <c r="L1909" s="27">
        <v>125</v>
      </c>
      <c r="M1909" s="27">
        <v>0</v>
      </c>
      <c r="N1909" s="21">
        <v>11.7652</v>
      </c>
      <c r="O1909" s="24">
        <v>34.2121</v>
      </c>
      <c r="P1909" s="31">
        <v>0.12562369411764696</v>
      </c>
      <c r="Q1909" s="31">
        <v>0.62393204705882432</v>
      </c>
      <c r="R1909" s="26" t="s">
        <v>280</v>
      </c>
      <c r="S1909" s="26">
        <v>1</v>
      </c>
      <c r="T1909" s="71" t="s">
        <v>626</v>
      </c>
    </row>
    <row r="1910" spans="1:20" s="17" customFormat="1" ht="12.75" customHeight="1">
      <c r="A1910" s="26" t="s">
        <v>141</v>
      </c>
      <c r="B1910" s="26" t="s">
        <v>225</v>
      </c>
      <c r="C1910" s="26" t="s">
        <v>508</v>
      </c>
      <c r="D1910" s="25">
        <v>42611</v>
      </c>
      <c r="E1910" s="1">
        <f t="shared" si="114"/>
        <v>2016</v>
      </c>
      <c r="F1910" s="1">
        <f t="shared" si="115"/>
        <v>8</v>
      </c>
      <c r="G1910" s="4">
        <f t="shared" si="116"/>
        <v>29</v>
      </c>
      <c r="H1910" s="6">
        <v>0.5774421296296296</v>
      </c>
      <c r="I1910" s="22">
        <v>135.99966666666666</v>
      </c>
      <c r="J1910" s="22">
        <v>36.989833333333337</v>
      </c>
      <c r="K1910" s="27">
        <v>148.327</v>
      </c>
      <c r="L1910" s="27">
        <v>150</v>
      </c>
      <c r="M1910" s="27">
        <v>0</v>
      </c>
      <c r="N1910" s="21">
        <v>11.1297</v>
      </c>
      <c r="O1910" s="24">
        <v>34.156799999999997</v>
      </c>
      <c r="P1910" s="31">
        <v>0.11527422352941175</v>
      </c>
      <c r="Q1910" s="31">
        <v>0.5205646117647067</v>
      </c>
      <c r="R1910" s="26" t="s">
        <v>280</v>
      </c>
      <c r="S1910" s="26">
        <v>1</v>
      </c>
      <c r="T1910" s="71" t="s">
        <v>626</v>
      </c>
    </row>
    <row r="1911" spans="1:20" s="17" customFormat="1" ht="12.75" customHeight="1">
      <c r="A1911" s="26" t="s">
        <v>141</v>
      </c>
      <c r="B1911" s="26" t="s">
        <v>225</v>
      </c>
      <c r="C1911" s="26" t="s">
        <v>508</v>
      </c>
      <c r="D1911" s="25">
        <v>42611</v>
      </c>
      <c r="E1911" s="1">
        <f t="shared" si="114"/>
        <v>2016</v>
      </c>
      <c r="F1911" s="1">
        <f t="shared" si="115"/>
        <v>8</v>
      </c>
      <c r="G1911" s="4">
        <f t="shared" si="116"/>
        <v>29</v>
      </c>
      <c r="H1911" s="6">
        <v>0.5774421296296296</v>
      </c>
      <c r="I1911" s="22">
        <v>135.99966666666666</v>
      </c>
      <c r="J1911" s="22">
        <v>36.989833333333337</v>
      </c>
      <c r="K1911" s="27">
        <v>199.16300000000001</v>
      </c>
      <c r="L1911" s="27">
        <v>200</v>
      </c>
      <c r="M1911" s="27">
        <v>0</v>
      </c>
      <c r="N1911" s="21">
        <v>4.8136000000000001</v>
      </c>
      <c r="O1911" s="24">
        <v>34.023600000000002</v>
      </c>
      <c r="P1911" s="31">
        <v>-2.6399858823529465E-2</v>
      </c>
      <c r="Q1911" s="31">
        <v>-0.61467344941176272</v>
      </c>
      <c r="R1911" s="26" t="s">
        <v>280</v>
      </c>
      <c r="S1911" s="26">
        <v>1</v>
      </c>
      <c r="T1911" s="71" t="s">
        <v>626</v>
      </c>
    </row>
    <row r="1912" spans="1:20" s="17" customFormat="1" ht="12.75" customHeight="1">
      <c r="A1912" s="26" t="s">
        <v>141</v>
      </c>
      <c r="B1912" s="26" t="s">
        <v>226</v>
      </c>
      <c r="C1912" s="26" t="s">
        <v>508</v>
      </c>
      <c r="D1912" s="25">
        <v>42611</v>
      </c>
      <c r="E1912" s="1">
        <f t="shared" si="114"/>
        <v>2016</v>
      </c>
      <c r="F1912" s="1">
        <f t="shared" si="115"/>
        <v>8</v>
      </c>
      <c r="G1912" s="4">
        <f t="shared" si="116"/>
        <v>29</v>
      </c>
      <c r="H1912" s="6">
        <v>0.74020833333333336</v>
      </c>
      <c r="I1912" s="22">
        <v>136.011</v>
      </c>
      <c r="J1912" s="22">
        <v>37.335833333333333</v>
      </c>
      <c r="K1912" s="27">
        <v>0</v>
      </c>
      <c r="L1912" s="27">
        <v>0</v>
      </c>
      <c r="M1912" s="27">
        <v>0</v>
      </c>
      <c r="N1912" s="21">
        <v>26.7</v>
      </c>
      <c r="O1912" s="24">
        <v>33.113393719048105</v>
      </c>
      <c r="P1912" s="31">
        <v>-0.19770652941176503</v>
      </c>
      <c r="Q1912" s="31">
        <v>-1.1985645647058831</v>
      </c>
      <c r="R1912" s="26" t="s">
        <v>280</v>
      </c>
      <c r="S1912" s="26">
        <v>1</v>
      </c>
      <c r="T1912" s="71" t="s">
        <v>626</v>
      </c>
    </row>
    <row r="1913" spans="1:20" s="17" customFormat="1" ht="12.75" customHeight="1">
      <c r="A1913" s="26" t="s">
        <v>141</v>
      </c>
      <c r="B1913" s="26" t="s">
        <v>226</v>
      </c>
      <c r="C1913" s="26" t="s">
        <v>508</v>
      </c>
      <c r="D1913" s="25">
        <v>42611</v>
      </c>
      <c r="E1913" s="1">
        <f t="shared" si="114"/>
        <v>2016</v>
      </c>
      <c r="F1913" s="1">
        <f t="shared" si="115"/>
        <v>8</v>
      </c>
      <c r="G1913" s="4">
        <f t="shared" si="116"/>
        <v>29</v>
      </c>
      <c r="H1913" s="6">
        <v>0.74020833333333336</v>
      </c>
      <c r="I1913" s="22">
        <v>136.011</v>
      </c>
      <c r="J1913" s="22">
        <v>37.335833333333333</v>
      </c>
      <c r="K1913" s="27">
        <v>9.9429999999999996</v>
      </c>
      <c r="L1913" s="27">
        <v>10</v>
      </c>
      <c r="M1913" s="27">
        <v>0</v>
      </c>
      <c r="N1913" s="21">
        <v>26.670400000000001</v>
      </c>
      <c r="O1913" s="24">
        <v>33.088500000000003</v>
      </c>
      <c r="P1913" s="31">
        <v>6.4771199999999585E-2</v>
      </c>
      <c r="Q1913" s="31">
        <v>0.25180927999999803</v>
      </c>
      <c r="R1913" s="26" t="s">
        <v>280</v>
      </c>
      <c r="S1913" s="26">
        <v>1</v>
      </c>
      <c r="T1913" s="71" t="s">
        <v>626</v>
      </c>
    </row>
    <row r="1914" spans="1:20" s="17" customFormat="1" ht="12.75" customHeight="1">
      <c r="A1914" s="26" t="s">
        <v>141</v>
      </c>
      <c r="B1914" s="26" t="s">
        <v>226</v>
      </c>
      <c r="C1914" s="26" t="s">
        <v>508</v>
      </c>
      <c r="D1914" s="25">
        <v>42611</v>
      </c>
      <c r="E1914" s="1">
        <f t="shared" si="114"/>
        <v>2016</v>
      </c>
      <c r="F1914" s="1">
        <f t="shared" si="115"/>
        <v>8</v>
      </c>
      <c r="G1914" s="4">
        <f t="shared" si="116"/>
        <v>29</v>
      </c>
      <c r="H1914" s="6">
        <v>0.74020833333333336</v>
      </c>
      <c r="I1914" s="22">
        <v>136.011</v>
      </c>
      <c r="J1914" s="22">
        <v>37.335833333333333</v>
      </c>
      <c r="K1914" s="27">
        <v>18.472000000000001</v>
      </c>
      <c r="L1914" s="27">
        <v>200</v>
      </c>
      <c r="M1914" s="27">
        <v>0</v>
      </c>
      <c r="N1914" s="21">
        <v>26.617100000000001</v>
      </c>
      <c r="O1914" s="24">
        <v>33.087600000000002</v>
      </c>
      <c r="P1914" s="31">
        <v>-0.17135227058823532</v>
      </c>
      <c r="Q1914" s="31">
        <v>-1.2679695152941175</v>
      </c>
      <c r="R1914" s="26" t="s">
        <v>280</v>
      </c>
      <c r="S1914" s="26">
        <v>1</v>
      </c>
      <c r="T1914" s="71" t="s">
        <v>626</v>
      </c>
    </row>
    <row r="1915" spans="1:20" s="17" customFormat="1" ht="12.75" customHeight="1">
      <c r="A1915" s="26" t="s">
        <v>141</v>
      </c>
      <c r="B1915" s="26" t="s">
        <v>226</v>
      </c>
      <c r="C1915" s="26" t="s">
        <v>508</v>
      </c>
      <c r="D1915" s="25">
        <v>42611</v>
      </c>
      <c r="E1915" s="1">
        <f t="shared" si="114"/>
        <v>2016</v>
      </c>
      <c r="F1915" s="1">
        <f t="shared" si="115"/>
        <v>8</v>
      </c>
      <c r="G1915" s="4">
        <f t="shared" si="116"/>
        <v>29</v>
      </c>
      <c r="H1915" s="6">
        <v>0.74020833333333336</v>
      </c>
      <c r="I1915" s="22">
        <v>136.011</v>
      </c>
      <c r="J1915" s="22">
        <v>37.335833333333333</v>
      </c>
      <c r="K1915" s="27">
        <v>29.859000000000002</v>
      </c>
      <c r="L1915" s="27">
        <v>30</v>
      </c>
      <c r="M1915" s="27">
        <v>0</v>
      </c>
      <c r="N1915" s="21">
        <v>21.454999999999998</v>
      </c>
      <c r="O1915" s="24">
        <v>34.211599999999997</v>
      </c>
      <c r="P1915" s="31">
        <v>-8.5290141176471046E-2</v>
      </c>
      <c r="Q1915" s="31">
        <v>-0.91492463058823414</v>
      </c>
      <c r="R1915" s="26" t="s">
        <v>280</v>
      </c>
      <c r="S1915" s="26">
        <v>1</v>
      </c>
      <c r="T1915" s="71" t="s">
        <v>626</v>
      </c>
    </row>
    <row r="1916" spans="1:20" s="17" customFormat="1" ht="12.75" customHeight="1">
      <c r="A1916" s="26" t="s">
        <v>141</v>
      </c>
      <c r="B1916" s="26" t="s">
        <v>226</v>
      </c>
      <c r="C1916" s="26" t="s">
        <v>508</v>
      </c>
      <c r="D1916" s="25">
        <v>42611</v>
      </c>
      <c r="E1916" s="1">
        <f t="shared" si="114"/>
        <v>2016</v>
      </c>
      <c r="F1916" s="1">
        <f t="shared" si="115"/>
        <v>8</v>
      </c>
      <c r="G1916" s="4">
        <f t="shared" si="116"/>
        <v>29</v>
      </c>
      <c r="H1916" s="6">
        <v>0.74020833333333336</v>
      </c>
      <c r="I1916" s="22">
        <v>136.011</v>
      </c>
      <c r="J1916" s="22">
        <v>37.335833333333333</v>
      </c>
      <c r="K1916" s="27">
        <v>49.393000000000001</v>
      </c>
      <c r="L1916" s="27">
        <v>50</v>
      </c>
      <c r="M1916" s="27">
        <v>0</v>
      </c>
      <c r="N1916" s="21">
        <v>17.154499999999999</v>
      </c>
      <c r="O1916" s="24">
        <v>34.472000000000001</v>
      </c>
      <c r="P1916" s="31">
        <v>0.1482878382352939</v>
      </c>
      <c r="Q1916" s="31">
        <v>0.68288559411764638</v>
      </c>
      <c r="R1916" s="26" t="s">
        <v>280</v>
      </c>
      <c r="S1916" s="26">
        <v>1</v>
      </c>
      <c r="T1916" s="71" t="s">
        <v>626</v>
      </c>
    </row>
    <row r="1917" spans="1:20" s="17" customFormat="1" ht="12.75" customHeight="1">
      <c r="A1917" s="26" t="s">
        <v>141</v>
      </c>
      <c r="B1917" s="26" t="s">
        <v>226</v>
      </c>
      <c r="C1917" s="26" t="s">
        <v>508</v>
      </c>
      <c r="D1917" s="25">
        <v>42611</v>
      </c>
      <c r="E1917" s="1">
        <f t="shared" si="114"/>
        <v>2016</v>
      </c>
      <c r="F1917" s="1">
        <f t="shared" si="115"/>
        <v>8</v>
      </c>
      <c r="G1917" s="4">
        <f t="shared" si="116"/>
        <v>29</v>
      </c>
      <c r="H1917" s="6">
        <v>0.74020833333333336</v>
      </c>
      <c r="I1917" s="22">
        <v>136.011</v>
      </c>
      <c r="J1917" s="22">
        <v>37.335833333333333</v>
      </c>
      <c r="K1917" s="27">
        <v>74.164000000000001</v>
      </c>
      <c r="L1917" s="27">
        <v>75</v>
      </c>
      <c r="M1917" s="27">
        <v>0</v>
      </c>
      <c r="N1917" s="21">
        <v>15.059699999999999</v>
      </c>
      <c r="O1917" s="24">
        <v>34.468699999999998</v>
      </c>
      <c r="P1917" s="31">
        <v>0.2393841176470588</v>
      </c>
      <c r="Q1917" s="31">
        <v>1.4106229788235289</v>
      </c>
      <c r="R1917" s="26" t="s">
        <v>280</v>
      </c>
      <c r="S1917" s="26">
        <v>1</v>
      </c>
      <c r="T1917" s="71" t="s">
        <v>626</v>
      </c>
    </row>
    <row r="1918" spans="1:20" s="17" customFormat="1" ht="12.75" customHeight="1">
      <c r="A1918" s="26" t="s">
        <v>141</v>
      </c>
      <c r="B1918" s="26" t="s">
        <v>226</v>
      </c>
      <c r="C1918" s="26" t="s">
        <v>508</v>
      </c>
      <c r="D1918" s="25">
        <v>42611</v>
      </c>
      <c r="E1918" s="1">
        <f t="shared" si="114"/>
        <v>2016</v>
      </c>
      <c r="F1918" s="1">
        <f t="shared" si="115"/>
        <v>8</v>
      </c>
      <c r="G1918" s="4">
        <f t="shared" si="116"/>
        <v>29</v>
      </c>
      <c r="H1918" s="6">
        <v>0.74020833333333336</v>
      </c>
      <c r="I1918" s="22">
        <v>136.011</v>
      </c>
      <c r="J1918" s="22">
        <v>37.335833333333333</v>
      </c>
      <c r="K1918" s="27">
        <v>99.4</v>
      </c>
      <c r="L1918" s="27">
        <v>100</v>
      </c>
      <c r="M1918" s="27">
        <v>0</v>
      </c>
      <c r="N1918" s="21">
        <v>11.6563</v>
      </c>
      <c r="O1918" s="24">
        <v>34.255200000000002</v>
      </c>
      <c r="P1918" s="31">
        <v>0.22598364705882346</v>
      </c>
      <c r="Q1918" s="31">
        <v>1.2085824235294123</v>
      </c>
      <c r="R1918" s="26" t="s">
        <v>280</v>
      </c>
      <c r="S1918" s="26">
        <v>1</v>
      </c>
      <c r="T1918" s="71" t="s">
        <v>626</v>
      </c>
    </row>
    <row r="1919" spans="1:20" s="17" customFormat="1" ht="12.75" customHeight="1">
      <c r="A1919" s="26" t="s">
        <v>141</v>
      </c>
      <c r="B1919" s="26" t="s">
        <v>226</v>
      </c>
      <c r="C1919" s="26" t="s">
        <v>508</v>
      </c>
      <c r="D1919" s="25">
        <v>42611</v>
      </c>
      <c r="E1919" s="1">
        <f t="shared" si="114"/>
        <v>2016</v>
      </c>
      <c r="F1919" s="1">
        <f t="shared" si="115"/>
        <v>8</v>
      </c>
      <c r="G1919" s="4">
        <f t="shared" si="116"/>
        <v>29</v>
      </c>
      <c r="H1919" s="6">
        <v>0.74020833333333336</v>
      </c>
      <c r="I1919" s="22">
        <v>136.011</v>
      </c>
      <c r="J1919" s="22">
        <v>37.335833333333333</v>
      </c>
      <c r="K1919" s="27">
        <v>149.24799999999999</v>
      </c>
      <c r="L1919" s="27">
        <v>150</v>
      </c>
      <c r="M1919" s="27">
        <v>0</v>
      </c>
      <c r="N1919" s="21">
        <v>5.2733999999999996</v>
      </c>
      <c r="O1919" s="24">
        <v>34.022399999999998</v>
      </c>
      <c r="P1919" s="31">
        <v>-4.2368988235292893E-3</v>
      </c>
      <c r="Q1919" s="31">
        <v>-0.37609529411764697</v>
      </c>
      <c r="R1919" s="26" t="s">
        <v>280</v>
      </c>
      <c r="S1919" s="26">
        <v>1</v>
      </c>
      <c r="T1919" s="71" t="s">
        <v>626</v>
      </c>
    </row>
    <row r="1920" spans="1:20" s="17" customFormat="1" ht="12.75" customHeight="1">
      <c r="A1920" s="26" t="s">
        <v>141</v>
      </c>
      <c r="B1920" s="26" t="s">
        <v>226</v>
      </c>
      <c r="C1920" s="26" t="s">
        <v>508</v>
      </c>
      <c r="D1920" s="25">
        <v>42611</v>
      </c>
      <c r="E1920" s="1">
        <f t="shared" si="114"/>
        <v>2016</v>
      </c>
      <c r="F1920" s="1">
        <f t="shared" si="115"/>
        <v>8</v>
      </c>
      <c r="G1920" s="4">
        <f t="shared" si="116"/>
        <v>29</v>
      </c>
      <c r="H1920" s="6">
        <v>0.74020833333333336</v>
      </c>
      <c r="I1920" s="22">
        <v>136.011</v>
      </c>
      <c r="J1920" s="22">
        <v>37.335833333333333</v>
      </c>
      <c r="K1920" s="27">
        <v>199.17699999999999</v>
      </c>
      <c r="L1920" s="27">
        <v>200</v>
      </c>
      <c r="M1920" s="27">
        <v>0</v>
      </c>
      <c r="N1920" s="21">
        <v>2.0830000000000002</v>
      </c>
      <c r="O1920" s="24">
        <v>34.021000000000001</v>
      </c>
      <c r="P1920" s="31">
        <v>-3.3340790588235247E-2</v>
      </c>
      <c r="Q1920" s="31">
        <v>-0.70388165294117577</v>
      </c>
      <c r="R1920" s="26" t="s">
        <v>280</v>
      </c>
      <c r="S1920" s="26">
        <v>1</v>
      </c>
      <c r="T1920" s="71" t="s">
        <v>626</v>
      </c>
    </row>
    <row r="1921" spans="1:20" s="17" customFormat="1" ht="12.75" customHeight="1">
      <c r="A1921" s="26" t="s">
        <v>145</v>
      </c>
      <c r="B1921" s="26" t="s">
        <v>216</v>
      </c>
      <c r="C1921" s="26" t="s">
        <v>509</v>
      </c>
      <c r="D1921" s="25">
        <v>42972</v>
      </c>
      <c r="E1921" s="1">
        <f t="shared" si="114"/>
        <v>2017</v>
      </c>
      <c r="F1921" s="1">
        <f t="shared" si="115"/>
        <v>8</v>
      </c>
      <c r="G1921" s="4">
        <f t="shared" si="116"/>
        <v>25</v>
      </c>
      <c r="H1921" s="6">
        <v>0.72958333333333336</v>
      </c>
      <c r="I1921" s="22">
        <v>136.04116666666667</v>
      </c>
      <c r="J1921" s="22">
        <v>37.819499999999998</v>
      </c>
      <c r="K1921" s="27">
        <v>0</v>
      </c>
      <c r="L1921" s="27">
        <v>0</v>
      </c>
      <c r="M1921" s="27">
        <v>0</v>
      </c>
      <c r="N1921" s="21">
        <v>26.9</v>
      </c>
      <c r="O1921" s="24">
        <v>32.883316364561253</v>
      </c>
      <c r="P1921" s="31">
        <v>-0.17080874823529379</v>
      </c>
      <c r="Q1921" s="31">
        <v>-1.6015746376470572</v>
      </c>
      <c r="R1921" s="26" t="s">
        <v>280</v>
      </c>
      <c r="S1921" s="26"/>
      <c r="T1921" s="71" t="s">
        <v>626</v>
      </c>
    </row>
    <row r="1922" spans="1:20" s="17" customFormat="1" ht="12.75" customHeight="1">
      <c r="A1922" s="26" t="s">
        <v>145</v>
      </c>
      <c r="B1922" s="26" t="s">
        <v>216</v>
      </c>
      <c r="C1922" s="26" t="s">
        <v>509</v>
      </c>
      <c r="D1922" s="25">
        <v>42972</v>
      </c>
      <c r="E1922" s="1">
        <f t="shared" si="114"/>
        <v>2017</v>
      </c>
      <c r="F1922" s="1">
        <f t="shared" si="115"/>
        <v>8</v>
      </c>
      <c r="G1922" s="4">
        <f t="shared" si="116"/>
        <v>25</v>
      </c>
      <c r="H1922" s="6">
        <v>0.72958333333333336</v>
      </c>
      <c r="I1922" s="22">
        <v>136.04116666666667</v>
      </c>
      <c r="J1922" s="22">
        <v>37.819499999999998</v>
      </c>
      <c r="K1922" s="27">
        <v>20</v>
      </c>
      <c r="L1922" s="27">
        <v>20</v>
      </c>
      <c r="M1922" s="27">
        <v>0</v>
      </c>
      <c r="N1922" s="21">
        <v>25.766999999999999</v>
      </c>
      <c r="O1922" s="24">
        <v>34.082000000000001</v>
      </c>
      <c r="P1922" s="31">
        <v>8.0336950588235423E-2</v>
      </c>
      <c r="Q1922" s="31">
        <v>-0.24867306588235216</v>
      </c>
      <c r="R1922" s="26" t="s">
        <v>280</v>
      </c>
      <c r="S1922" s="26"/>
      <c r="T1922" s="71" t="s">
        <v>626</v>
      </c>
    </row>
    <row r="1923" spans="1:20" s="17" customFormat="1" ht="12.75" customHeight="1">
      <c r="A1923" s="26" t="s">
        <v>145</v>
      </c>
      <c r="B1923" s="26" t="s">
        <v>216</v>
      </c>
      <c r="C1923" s="26" t="s">
        <v>509</v>
      </c>
      <c r="D1923" s="25">
        <v>42972</v>
      </c>
      <c r="E1923" s="1">
        <f t="shared" si="114"/>
        <v>2017</v>
      </c>
      <c r="F1923" s="1">
        <f t="shared" si="115"/>
        <v>8</v>
      </c>
      <c r="G1923" s="4">
        <f t="shared" si="116"/>
        <v>25</v>
      </c>
      <c r="H1923" s="6">
        <v>0.72958333333333336</v>
      </c>
      <c r="I1923" s="22">
        <v>136.04116666666667</v>
      </c>
      <c r="J1923" s="22">
        <v>37.819499999999998</v>
      </c>
      <c r="K1923" s="27">
        <v>50</v>
      </c>
      <c r="L1923" s="27">
        <v>50</v>
      </c>
      <c r="M1923" s="27">
        <v>0</v>
      </c>
      <c r="N1923" s="21">
        <v>15.62</v>
      </c>
      <c r="O1923" s="24">
        <v>34.488</v>
      </c>
      <c r="P1923" s="31">
        <v>0.29674638941176457</v>
      </c>
      <c r="Q1923" s="31">
        <v>1.0573377458823554</v>
      </c>
      <c r="R1923" s="26" t="s">
        <v>280</v>
      </c>
      <c r="S1923" s="26"/>
      <c r="T1923" s="71" t="s">
        <v>626</v>
      </c>
    </row>
    <row r="1924" spans="1:20" s="17" customFormat="1" ht="12.75" customHeight="1">
      <c r="A1924" s="26" t="s">
        <v>145</v>
      </c>
      <c r="B1924" s="26" t="s">
        <v>217</v>
      </c>
      <c r="C1924" s="26" t="s">
        <v>509</v>
      </c>
      <c r="D1924" s="25">
        <v>42972</v>
      </c>
      <c r="E1924" s="1">
        <f t="shared" si="114"/>
        <v>2017</v>
      </c>
      <c r="F1924" s="1">
        <f t="shared" si="115"/>
        <v>8</v>
      </c>
      <c r="G1924" s="4">
        <f t="shared" si="116"/>
        <v>25</v>
      </c>
      <c r="H1924" s="6">
        <v>0.61736111111111114</v>
      </c>
      <c r="I1924" s="22">
        <v>135.79666666666665</v>
      </c>
      <c r="J1924" s="22">
        <v>37.945666666666668</v>
      </c>
      <c r="K1924" s="27">
        <v>0</v>
      </c>
      <c r="L1924" s="27">
        <v>0</v>
      </c>
      <c r="M1924" s="27">
        <v>0</v>
      </c>
      <c r="N1924" s="21">
        <v>25.6</v>
      </c>
      <c r="O1924" s="24">
        <v>34.050728732191949</v>
      </c>
      <c r="P1924" s="15">
        <v>5.7171342352940746E-2</v>
      </c>
      <c r="Q1924" s="15">
        <v>-0.1555177647058823</v>
      </c>
      <c r="R1924" s="26" t="s">
        <v>280</v>
      </c>
      <c r="S1924" s="26"/>
      <c r="T1924" s="71" t="s">
        <v>626</v>
      </c>
    </row>
    <row r="1925" spans="1:20" s="17" customFormat="1" ht="12.75" customHeight="1">
      <c r="A1925" s="26" t="s">
        <v>145</v>
      </c>
      <c r="B1925" s="26" t="s">
        <v>217</v>
      </c>
      <c r="C1925" s="26" t="s">
        <v>509</v>
      </c>
      <c r="D1925" s="25">
        <v>42972</v>
      </c>
      <c r="E1925" s="1">
        <f t="shared" si="114"/>
        <v>2017</v>
      </c>
      <c r="F1925" s="1">
        <f t="shared" si="115"/>
        <v>8</v>
      </c>
      <c r="G1925" s="4">
        <f t="shared" si="116"/>
        <v>25</v>
      </c>
      <c r="H1925" s="6">
        <v>0.61736111111111114</v>
      </c>
      <c r="I1925" s="22">
        <v>135.79666666666665</v>
      </c>
      <c r="J1925" s="22">
        <v>37.945666666666668</v>
      </c>
      <c r="K1925" s="27">
        <v>20</v>
      </c>
      <c r="L1925" s="27">
        <v>20</v>
      </c>
      <c r="M1925" s="27">
        <v>0</v>
      </c>
      <c r="N1925" s="21">
        <v>22.238</v>
      </c>
      <c r="O1925" s="24">
        <v>34.14</v>
      </c>
      <c r="P1925" s="31">
        <v>0.11027324705882369</v>
      </c>
      <c r="Q1925" s="31">
        <v>-8.5841830588236689E-2</v>
      </c>
      <c r="R1925" s="26" t="s">
        <v>280</v>
      </c>
      <c r="S1925" s="26"/>
      <c r="T1925" s="71" t="s">
        <v>626</v>
      </c>
    </row>
    <row r="1926" spans="1:20" s="17" customFormat="1" ht="12.75" customHeight="1">
      <c r="A1926" s="26" t="s">
        <v>145</v>
      </c>
      <c r="B1926" s="26" t="s">
        <v>217</v>
      </c>
      <c r="C1926" s="26" t="s">
        <v>509</v>
      </c>
      <c r="D1926" s="25">
        <v>42972</v>
      </c>
      <c r="E1926" s="1">
        <f t="shared" ref="E1926:E1941" si="117">YEAR(D1926)</f>
        <v>2017</v>
      </c>
      <c r="F1926" s="1">
        <f t="shared" ref="F1926:F1941" si="118">MONTH(D1926)</f>
        <v>8</v>
      </c>
      <c r="G1926" s="4">
        <f t="shared" ref="G1926:G1941" si="119">DAY(D1926)</f>
        <v>25</v>
      </c>
      <c r="H1926" s="6">
        <v>0.61736111111111114</v>
      </c>
      <c r="I1926" s="22">
        <v>135.79666666666665</v>
      </c>
      <c r="J1926" s="22">
        <v>37.945666666666668</v>
      </c>
      <c r="K1926" s="27">
        <v>50</v>
      </c>
      <c r="L1926" s="27">
        <v>50</v>
      </c>
      <c r="M1926" s="27">
        <v>0</v>
      </c>
      <c r="N1926" s="21">
        <v>15.385</v>
      </c>
      <c r="O1926" s="24">
        <v>34.523000000000003</v>
      </c>
      <c r="P1926" s="31">
        <v>0.25631546235294156</v>
      </c>
      <c r="Q1926" s="31">
        <v>1.3039951964705878</v>
      </c>
      <c r="R1926" s="26" t="s">
        <v>280</v>
      </c>
      <c r="S1926" s="26"/>
      <c r="T1926" s="71" t="s">
        <v>626</v>
      </c>
    </row>
    <row r="1927" spans="1:20" s="17" customFormat="1" ht="12.75" customHeight="1">
      <c r="A1927" s="26" t="s">
        <v>145</v>
      </c>
      <c r="B1927" s="26" t="s">
        <v>270</v>
      </c>
      <c r="C1927" s="26" t="s">
        <v>509</v>
      </c>
      <c r="D1927" s="25">
        <v>42973</v>
      </c>
      <c r="E1927" s="1">
        <f t="shared" si="117"/>
        <v>2017</v>
      </c>
      <c r="F1927" s="1">
        <f t="shared" si="118"/>
        <v>8</v>
      </c>
      <c r="G1927" s="4">
        <f t="shared" si="119"/>
        <v>26</v>
      </c>
      <c r="H1927" s="6">
        <v>0.63534722222222217</v>
      </c>
      <c r="I1927" s="22">
        <v>136.00049999999999</v>
      </c>
      <c r="J1927" s="22">
        <v>39.590166666666669</v>
      </c>
      <c r="K1927" s="27">
        <v>0</v>
      </c>
      <c r="L1927" s="27">
        <v>0</v>
      </c>
      <c r="M1927" s="27">
        <v>0</v>
      </c>
      <c r="N1927" s="21">
        <v>25.2</v>
      </c>
      <c r="O1927" s="24">
        <v>33.88884029008365</v>
      </c>
      <c r="P1927" s="31">
        <v>1.1287601176471096E-2</v>
      </c>
      <c r="Q1927" s="31">
        <v>-0.18590481176470242</v>
      </c>
      <c r="R1927" s="26" t="s">
        <v>280</v>
      </c>
      <c r="S1927" s="26"/>
      <c r="T1927" s="71" t="s">
        <v>626</v>
      </c>
    </row>
    <row r="1928" spans="1:20" s="17" customFormat="1" ht="12.75" customHeight="1">
      <c r="A1928" s="26" t="s">
        <v>145</v>
      </c>
      <c r="B1928" s="26" t="s">
        <v>270</v>
      </c>
      <c r="C1928" s="26" t="s">
        <v>509</v>
      </c>
      <c r="D1928" s="25">
        <v>42973</v>
      </c>
      <c r="E1928" s="1">
        <f t="shared" si="117"/>
        <v>2017</v>
      </c>
      <c r="F1928" s="1">
        <f t="shared" si="118"/>
        <v>8</v>
      </c>
      <c r="G1928" s="4">
        <f t="shared" si="119"/>
        <v>26</v>
      </c>
      <c r="H1928" s="6">
        <v>0.63534722222222217</v>
      </c>
      <c r="I1928" s="22">
        <v>136.00049999999999</v>
      </c>
      <c r="J1928" s="22">
        <v>39.590166666666669</v>
      </c>
      <c r="K1928" s="27">
        <v>20</v>
      </c>
      <c r="L1928" s="27">
        <v>20</v>
      </c>
      <c r="M1928" s="27">
        <v>0</v>
      </c>
      <c r="N1928" s="21">
        <v>20.995999999999999</v>
      </c>
      <c r="O1928" s="24">
        <v>34.316000000000003</v>
      </c>
      <c r="P1928" s="31">
        <v>0.17096800000000001</v>
      </c>
      <c r="Q1928" s="31">
        <v>0.62519175999999987</v>
      </c>
      <c r="R1928" s="26" t="s">
        <v>280</v>
      </c>
      <c r="S1928" s="26"/>
      <c r="T1928" s="71" t="s">
        <v>626</v>
      </c>
    </row>
    <row r="1929" spans="1:20" s="17" customFormat="1" ht="12.75" customHeight="1">
      <c r="A1929" s="26" t="s">
        <v>145</v>
      </c>
      <c r="B1929" s="26" t="s">
        <v>270</v>
      </c>
      <c r="C1929" s="26" t="s">
        <v>509</v>
      </c>
      <c r="D1929" s="25">
        <v>42973</v>
      </c>
      <c r="E1929" s="1">
        <f t="shared" si="117"/>
        <v>2017</v>
      </c>
      <c r="F1929" s="1">
        <f t="shared" si="118"/>
        <v>8</v>
      </c>
      <c r="G1929" s="4">
        <f t="shared" si="119"/>
        <v>26</v>
      </c>
      <c r="H1929" s="6">
        <v>0.63534722222222217</v>
      </c>
      <c r="I1929" s="22">
        <v>136.00049999999999</v>
      </c>
      <c r="J1929" s="22">
        <v>39.590166666666669</v>
      </c>
      <c r="K1929" s="27">
        <v>50</v>
      </c>
      <c r="L1929" s="27">
        <v>50</v>
      </c>
      <c r="M1929" s="27">
        <v>0</v>
      </c>
      <c r="N1929" s="21">
        <v>12.144</v>
      </c>
      <c r="O1929" s="24">
        <v>34.290999999999997</v>
      </c>
      <c r="P1929" s="31">
        <v>0.19211443882352985</v>
      </c>
      <c r="Q1929" s="31">
        <v>0.74514217176470687</v>
      </c>
      <c r="R1929" s="26" t="s">
        <v>280</v>
      </c>
      <c r="S1929" s="26"/>
      <c r="T1929" s="71" t="s">
        <v>626</v>
      </c>
    </row>
    <row r="1930" spans="1:20" s="17" customFormat="1" ht="12.75" customHeight="1">
      <c r="A1930" s="26" t="s">
        <v>145</v>
      </c>
      <c r="B1930" s="26" t="s">
        <v>271</v>
      </c>
      <c r="C1930" s="26" t="s">
        <v>509</v>
      </c>
      <c r="D1930" s="25">
        <v>42974</v>
      </c>
      <c r="E1930" s="1">
        <f t="shared" si="117"/>
        <v>2017</v>
      </c>
      <c r="F1930" s="1">
        <f t="shared" si="118"/>
        <v>8</v>
      </c>
      <c r="G1930" s="4">
        <f t="shared" si="119"/>
        <v>27</v>
      </c>
      <c r="H1930" s="6">
        <v>0.55700231481481477</v>
      </c>
      <c r="I1930" s="22">
        <v>135.999</v>
      </c>
      <c r="J1930" s="22">
        <v>40.176833333333335</v>
      </c>
      <c r="K1930" s="27">
        <v>0</v>
      </c>
      <c r="L1930" s="27">
        <v>0</v>
      </c>
      <c r="M1930" s="27">
        <v>0</v>
      </c>
      <c r="N1930" s="21">
        <v>25.6</v>
      </c>
      <c r="O1930" s="24">
        <v>33.779514213477469</v>
      </c>
      <c r="P1930" s="31">
        <v>2.0632221176470678E-2</v>
      </c>
      <c r="Q1930" s="31">
        <v>-0.43459224470588165</v>
      </c>
      <c r="R1930" s="26" t="s">
        <v>280</v>
      </c>
      <c r="S1930" s="26"/>
      <c r="T1930" s="71" t="s">
        <v>626</v>
      </c>
    </row>
    <row r="1931" spans="1:20" s="17" customFormat="1" ht="12.75" customHeight="1">
      <c r="A1931" s="26" t="s">
        <v>145</v>
      </c>
      <c r="B1931" s="26" t="s">
        <v>271</v>
      </c>
      <c r="C1931" s="26" t="s">
        <v>509</v>
      </c>
      <c r="D1931" s="25">
        <v>42974</v>
      </c>
      <c r="E1931" s="1">
        <f t="shared" si="117"/>
        <v>2017</v>
      </c>
      <c r="F1931" s="1">
        <f t="shared" si="118"/>
        <v>8</v>
      </c>
      <c r="G1931" s="4">
        <f t="shared" si="119"/>
        <v>27</v>
      </c>
      <c r="H1931" s="6">
        <v>0.55700231481481477</v>
      </c>
      <c r="I1931" s="22">
        <v>135.999</v>
      </c>
      <c r="J1931" s="22">
        <v>40.176833333333335</v>
      </c>
      <c r="K1931" s="27">
        <v>20</v>
      </c>
      <c r="L1931" s="27">
        <v>20</v>
      </c>
      <c r="M1931" s="27">
        <v>0</v>
      </c>
      <c r="N1931" s="21">
        <v>25.234999999999999</v>
      </c>
      <c r="O1931" s="24">
        <v>33.765999999999998</v>
      </c>
      <c r="P1931" s="31">
        <v>2.1467876470588232E-2</v>
      </c>
      <c r="Q1931" s="31">
        <v>-0.57752262470588356</v>
      </c>
      <c r="R1931" s="26" t="s">
        <v>280</v>
      </c>
      <c r="S1931" s="26"/>
      <c r="T1931" s="71" t="s">
        <v>626</v>
      </c>
    </row>
    <row r="1932" spans="1:20" s="17" customFormat="1" ht="12.75" customHeight="1">
      <c r="A1932" s="26" t="s">
        <v>145</v>
      </c>
      <c r="B1932" s="26" t="s">
        <v>271</v>
      </c>
      <c r="C1932" s="26" t="s">
        <v>509</v>
      </c>
      <c r="D1932" s="25">
        <v>42974</v>
      </c>
      <c r="E1932" s="1">
        <f t="shared" si="117"/>
        <v>2017</v>
      </c>
      <c r="F1932" s="1">
        <f t="shared" si="118"/>
        <v>8</v>
      </c>
      <c r="G1932" s="4">
        <f t="shared" si="119"/>
        <v>27</v>
      </c>
      <c r="H1932" s="6">
        <v>0.55700231481481477</v>
      </c>
      <c r="I1932" s="22">
        <v>135.999</v>
      </c>
      <c r="J1932" s="22">
        <v>40.176833333333335</v>
      </c>
      <c r="K1932" s="27">
        <v>50</v>
      </c>
      <c r="L1932" s="27">
        <v>50</v>
      </c>
      <c r="M1932" s="27">
        <v>0</v>
      </c>
      <c r="N1932" s="21">
        <v>6.9039999999999999</v>
      </c>
      <c r="O1932" s="24">
        <v>33.932000000000002</v>
      </c>
      <c r="P1932" s="31">
        <v>3.1309615294117465E-2</v>
      </c>
      <c r="Q1932" s="31">
        <v>-0.44791823294117528</v>
      </c>
      <c r="R1932" s="26" t="s">
        <v>280</v>
      </c>
      <c r="S1932" s="26"/>
      <c r="T1932" s="71" t="s">
        <v>626</v>
      </c>
    </row>
    <row r="1933" spans="1:20">
      <c r="A1933" s="26" t="s">
        <v>145</v>
      </c>
      <c r="B1933" s="26" t="s">
        <v>272</v>
      </c>
      <c r="C1933" s="26" t="s">
        <v>509</v>
      </c>
      <c r="D1933" s="25">
        <v>42975</v>
      </c>
      <c r="E1933" s="1">
        <f t="shared" si="117"/>
        <v>2017</v>
      </c>
      <c r="F1933" s="1">
        <f t="shared" si="118"/>
        <v>8</v>
      </c>
      <c r="G1933" s="4">
        <f t="shared" si="119"/>
        <v>28</v>
      </c>
      <c r="H1933" s="6">
        <v>0.56967592592592597</v>
      </c>
      <c r="I1933" s="22">
        <v>135.99866666666668</v>
      </c>
      <c r="J1933" s="22">
        <v>38.491500000000002</v>
      </c>
      <c r="K1933" s="27">
        <v>0</v>
      </c>
      <c r="L1933" s="27">
        <v>0</v>
      </c>
      <c r="M1933" s="27">
        <v>0</v>
      </c>
      <c r="N1933" s="21">
        <v>26.1</v>
      </c>
      <c r="O1933" s="24">
        <v>33.846258203453047</v>
      </c>
      <c r="P1933" s="31">
        <v>-8.5893258823526164E-3</v>
      </c>
      <c r="Q1933" s="31">
        <v>-0.679845541176471</v>
      </c>
      <c r="R1933" s="26" t="s">
        <v>280</v>
      </c>
      <c r="S1933" s="26"/>
      <c r="T1933" s="71" t="s">
        <v>626</v>
      </c>
    </row>
    <row r="1934" spans="1:20">
      <c r="A1934" s="26" t="s">
        <v>145</v>
      </c>
      <c r="B1934" s="26" t="s">
        <v>272</v>
      </c>
      <c r="C1934" s="26" t="s">
        <v>509</v>
      </c>
      <c r="D1934" s="25">
        <v>42975</v>
      </c>
      <c r="E1934" s="1">
        <f t="shared" si="117"/>
        <v>2017</v>
      </c>
      <c r="F1934" s="1">
        <f t="shared" si="118"/>
        <v>8</v>
      </c>
      <c r="G1934" s="4">
        <f t="shared" si="119"/>
        <v>28</v>
      </c>
      <c r="H1934" s="6">
        <v>0.56967592592592597</v>
      </c>
      <c r="I1934" s="22">
        <v>135.99866666666668</v>
      </c>
      <c r="J1934" s="22">
        <v>38.491500000000002</v>
      </c>
      <c r="K1934" s="27">
        <v>20</v>
      </c>
      <c r="L1934" s="27">
        <v>20</v>
      </c>
      <c r="M1934" s="27">
        <v>0</v>
      </c>
      <c r="N1934" s="21">
        <v>21.224</v>
      </c>
      <c r="O1934" s="24">
        <v>34.359000000000002</v>
      </c>
      <c r="P1934" s="16">
        <v>9.6767978823529388E-2</v>
      </c>
      <c r="Q1934" s="16">
        <v>0.4774997882352956</v>
      </c>
      <c r="R1934" s="26" t="s">
        <v>280</v>
      </c>
      <c r="S1934" s="26"/>
      <c r="T1934" s="71" t="s">
        <v>626</v>
      </c>
    </row>
    <row r="1935" spans="1:20">
      <c r="A1935" s="26" t="s">
        <v>145</v>
      </c>
      <c r="B1935" s="26" t="s">
        <v>272</v>
      </c>
      <c r="C1935" s="26" t="s">
        <v>509</v>
      </c>
      <c r="D1935" s="25">
        <v>42975</v>
      </c>
      <c r="E1935" s="1">
        <f t="shared" si="117"/>
        <v>2017</v>
      </c>
      <c r="F1935" s="1">
        <f t="shared" si="118"/>
        <v>8</v>
      </c>
      <c r="G1935" s="4">
        <f t="shared" si="119"/>
        <v>28</v>
      </c>
      <c r="H1935" s="6">
        <v>0.56967592592592597</v>
      </c>
      <c r="I1935" s="22">
        <v>135.99866666666668</v>
      </c>
      <c r="J1935" s="22">
        <v>38.491500000000002</v>
      </c>
      <c r="K1935" s="27">
        <v>50</v>
      </c>
      <c r="L1935" s="27">
        <v>50</v>
      </c>
      <c r="M1935" s="27">
        <v>0</v>
      </c>
      <c r="N1935" s="21">
        <v>11.233000000000001</v>
      </c>
      <c r="O1935" s="24">
        <v>34.252000000000002</v>
      </c>
      <c r="P1935" s="16">
        <v>0.14258847058823521</v>
      </c>
      <c r="Q1935" s="16">
        <v>0.52386010588235443</v>
      </c>
      <c r="R1935" s="26" t="s">
        <v>280</v>
      </c>
      <c r="S1935" s="26"/>
      <c r="T1935" s="71" t="s">
        <v>626</v>
      </c>
    </row>
    <row r="1936" spans="1:20">
      <c r="A1936" s="26" t="s">
        <v>145</v>
      </c>
      <c r="B1936" s="26" t="s">
        <v>215</v>
      </c>
      <c r="C1936" s="26" t="s">
        <v>509</v>
      </c>
      <c r="D1936" s="25">
        <v>42972</v>
      </c>
      <c r="E1936" s="1">
        <f t="shared" si="117"/>
        <v>2017</v>
      </c>
      <c r="F1936" s="1">
        <f t="shared" si="118"/>
        <v>8</v>
      </c>
      <c r="G1936" s="4">
        <f t="shared" si="119"/>
        <v>25</v>
      </c>
      <c r="H1936" s="6">
        <v>0.56736111111111109</v>
      </c>
      <c r="I1936" s="22">
        <v>135.99950000000001</v>
      </c>
      <c r="J1936" s="22">
        <v>38.093499999999999</v>
      </c>
      <c r="K1936" s="27">
        <v>0</v>
      </c>
      <c r="L1936" s="27">
        <v>0</v>
      </c>
      <c r="M1936" s="27">
        <v>0</v>
      </c>
      <c r="N1936" s="21">
        <v>27.1</v>
      </c>
      <c r="O1936" s="24">
        <v>32.99423472375139</v>
      </c>
      <c r="P1936" s="16">
        <v>-0.17558918823529468</v>
      </c>
      <c r="Q1936" s="16">
        <v>-1.3830784470588231</v>
      </c>
      <c r="R1936" s="26" t="s">
        <v>280</v>
      </c>
      <c r="S1936" s="26"/>
      <c r="T1936" s="71" t="s">
        <v>626</v>
      </c>
    </row>
    <row r="1937" spans="1:20">
      <c r="A1937" s="26" t="s">
        <v>145</v>
      </c>
      <c r="B1937" s="26" t="s">
        <v>215</v>
      </c>
      <c r="C1937" s="26" t="s">
        <v>509</v>
      </c>
      <c r="D1937" s="25">
        <v>42972</v>
      </c>
      <c r="E1937" s="1">
        <f t="shared" si="117"/>
        <v>2017</v>
      </c>
      <c r="F1937" s="1">
        <f t="shared" si="118"/>
        <v>8</v>
      </c>
      <c r="G1937" s="4">
        <f t="shared" si="119"/>
        <v>25</v>
      </c>
      <c r="H1937" s="6">
        <v>0.56736111111111109</v>
      </c>
      <c r="I1937" s="22">
        <v>135.99950000000001</v>
      </c>
      <c r="J1937" s="22">
        <v>38.093499999999999</v>
      </c>
      <c r="K1937" s="27">
        <v>20</v>
      </c>
      <c r="L1937" s="27">
        <v>20</v>
      </c>
      <c r="M1937" s="27">
        <v>0</v>
      </c>
      <c r="N1937" s="21">
        <v>23.126999999999999</v>
      </c>
      <c r="O1937" s="24">
        <v>34.213000000000001</v>
      </c>
      <c r="P1937" s="16">
        <v>3.2038405882353072E-2</v>
      </c>
      <c r="Q1937" s="16">
        <v>-8.1133352941176184E-2</v>
      </c>
      <c r="R1937" s="26" t="s">
        <v>280</v>
      </c>
      <c r="S1937" s="26"/>
      <c r="T1937" s="71" t="s">
        <v>626</v>
      </c>
    </row>
    <row r="1938" spans="1:20">
      <c r="A1938" s="26" t="s">
        <v>145</v>
      </c>
      <c r="B1938" s="26" t="s">
        <v>215</v>
      </c>
      <c r="C1938" s="26" t="s">
        <v>509</v>
      </c>
      <c r="D1938" s="25">
        <v>42972</v>
      </c>
      <c r="E1938" s="1">
        <f t="shared" si="117"/>
        <v>2017</v>
      </c>
      <c r="F1938" s="1">
        <f t="shared" si="118"/>
        <v>8</v>
      </c>
      <c r="G1938" s="4">
        <f t="shared" si="119"/>
        <v>25</v>
      </c>
      <c r="H1938" s="6">
        <v>0.56736111111111109</v>
      </c>
      <c r="I1938" s="22">
        <v>135.99950000000001</v>
      </c>
      <c r="J1938" s="22">
        <v>38.093499999999999</v>
      </c>
      <c r="K1938" s="27">
        <v>50</v>
      </c>
      <c r="L1938" s="27">
        <v>50</v>
      </c>
      <c r="M1938" s="27">
        <v>0</v>
      </c>
      <c r="N1938" s="21">
        <v>14.102</v>
      </c>
      <c r="O1938" s="24">
        <v>34.43</v>
      </c>
      <c r="P1938" s="16">
        <v>0.14267214705882325</v>
      </c>
      <c r="Q1938" s="16">
        <v>0.90016017647058888</v>
      </c>
      <c r="R1938" s="26" t="s">
        <v>280</v>
      </c>
      <c r="S1938" s="26"/>
      <c r="T1938" s="71" t="s">
        <v>626</v>
      </c>
    </row>
    <row r="1939" spans="1:20">
      <c r="A1939" s="26" t="s">
        <v>145</v>
      </c>
      <c r="B1939" s="26" t="s">
        <v>227</v>
      </c>
      <c r="C1939" s="26" t="s">
        <v>509</v>
      </c>
      <c r="D1939" s="25">
        <v>42976</v>
      </c>
      <c r="E1939" s="1">
        <f t="shared" si="117"/>
        <v>2017</v>
      </c>
      <c r="F1939" s="1">
        <f t="shared" si="118"/>
        <v>8</v>
      </c>
      <c r="G1939" s="4">
        <f t="shared" si="119"/>
        <v>29</v>
      </c>
      <c r="H1939" s="6">
        <v>0.60028935185185184</v>
      </c>
      <c r="I1939" s="22">
        <v>136.00266666666667</v>
      </c>
      <c r="J1939" s="22">
        <v>36.991999999999997</v>
      </c>
      <c r="K1939" s="27">
        <v>0</v>
      </c>
      <c r="L1939" s="27">
        <v>0</v>
      </c>
      <c r="M1939" s="27">
        <v>0</v>
      </c>
      <c r="N1939" s="21">
        <v>28.1</v>
      </c>
      <c r="O1939" s="24">
        <v>32.469003654172099</v>
      </c>
      <c r="P1939" s="16">
        <v>-0.3117010117647061</v>
      </c>
      <c r="Q1939" s="16">
        <v>-2.2353455541176475</v>
      </c>
      <c r="R1939" s="26" t="s">
        <v>280</v>
      </c>
      <c r="S1939" s="26"/>
      <c r="T1939" s="71" t="s">
        <v>626</v>
      </c>
    </row>
    <row r="1940" spans="1:20">
      <c r="A1940" s="26" t="s">
        <v>145</v>
      </c>
      <c r="B1940" s="26" t="s">
        <v>227</v>
      </c>
      <c r="C1940" s="26" t="s">
        <v>509</v>
      </c>
      <c r="D1940" s="25">
        <v>42976</v>
      </c>
      <c r="E1940" s="1">
        <f t="shared" si="117"/>
        <v>2017</v>
      </c>
      <c r="F1940" s="1">
        <f t="shared" si="118"/>
        <v>8</v>
      </c>
      <c r="G1940" s="4">
        <f t="shared" si="119"/>
        <v>29</v>
      </c>
      <c r="H1940" s="6">
        <v>0.60028935185185184</v>
      </c>
      <c r="I1940" s="22">
        <v>136.00266666666667</v>
      </c>
      <c r="J1940" s="22">
        <v>36.991999999999997</v>
      </c>
      <c r="K1940" s="27">
        <v>20</v>
      </c>
      <c r="L1940" s="27">
        <v>20</v>
      </c>
      <c r="M1940" s="27">
        <v>0</v>
      </c>
      <c r="N1940" s="21">
        <v>22.966999999999999</v>
      </c>
      <c r="O1940" s="24">
        <v>33.671999999999997</v>
      </c>
      <c r="P1940" s="16">
        <v>-0.11828387058823497</v>
      </c>
      <c r="Q1940" s="16">
        <v>-1.0400487447058824</v>
      </c>
      <c r="R1940" s="26" t="s">
        <v>280</v>
      </c>
      <c r="S1940" s="26"/>
      <c r="T1940" s="71" t="s">
        <v>626</v>
      </c>
    </row>
    <row r="1941" spans="1:20">
      <c r="A1941" s="26" t="s">
        <v>145</v>
      </c>
      <c r="B1941" s="26" t="s">
        <v>227</v>
      </c>
      <c r="C1941" s="26" t="s">
        <v>509</v>
      </c>
      <c r="D1941" s="25">
        <v>42976</v>
      </c>
      <c r="E1941" s="1">
        <f t="shared" si="117"/>
        <v>2017</v>
      </c>
      <c r="F1941" s="1">
        <f t="shared" si="118"/>
        <v>8</v>
      </c>
      <c r="G1941" s="4">
        <f t="shared" si="119"/>
        <v>29</v>
      </c>
      <c r="H1941" s="6">
        <v>0.60028935185185184</v>
      </c>
      <c r="I1941" s="22">
        <v>136.00266666666667</v>
      </c>
      <c r="J1941" s="22">
        <v>36.991999999999997</v>
      </c>
      <c r="K1941" s="27">
        <v>50</v>
      </c>
      <c r="L1941" s="27">
        <v>50</v>
      </c>
      <c r="M1941" s="27">
        <v>0</v>
      </c>
      <c r="N1941" s="21">
        <v>19.843</v>
      </c>
      <c r="O1941" s="24">
        <v>34.311999999999998</v>
      </c>
      <c r="P1941" s="16">
        <v>0.11836007058823528</v>
      </c>
      <c r="Q1941" s="16">
        <v>0.50705050470588198</v>
      </c>
      <c r="R1941" s="26" t="s">
        <v>280</v>
      </c>
      <c r="S1941" s="26"/>
      <c r="T1941" s="71" t="s">
        <v>626</v>
      </c>
    </row>
    <row r="1942" spans="1:20" ht="14" customHeight="1">
      <c r="A1942" s="19" t="s">
        <v>392</v>
      </c>
      <c r="B1942" s="19" t="s">
        <v>396</v>
      </c>
      <c r="C1942" s="19" t="s">
        <v>509</v>
      </c>
      <c r="D1942" s="34">
        <v>43307</v>
      </c>
      <c r="E1942" s="19">
        <v>2018</v>
      </c>
      <c r="F1942" s="19">
        <v>7</v>
      </c>
      <c r="G1942" s="30">
        <v>26</v>
      </c>
      <c r="H1942" s="29">
        <v>0.84717592592592583</v>
      </c>
      <c r="I1942" s="35">
        <v>135.00899999999999</v>
      </c>
      <c r="J1942" s="35">
        <v>35.99666666666667</v>
      </c>
      <c r="K1942" s="28">
        <v>10</v>
      </c>
      <c r="L1942" s="28">
        <v>10</v>
      </c>
      <c r="M1942" s="28">
        <v>0</v>
      </c>
      <c r="N1942" s="36">
        <v>24.724799999999998</v>
      </c>
      <c r="O1942" s="35">
        <v>33.6096</v>
      </c>
      <c r="P1942" s="20">
        <v>-9.8355517647057411E-3</v>
      </c>
      <c r="Q1942" s="20">
        <v>-0.37712105411764441</v>
      </c>
      <c r="R1942" s="26" t="s">
        <v>393</v>
      </c>
      <c r="S1942" s="26"/>
      <c r="T1942" s="71" t="s">
        <v>626</v>
      </c>
    </row>
    <row r="1943" spans="1:20" ht="14" customHeight="1">
      <c r="A1943" s="19" t="s">
        <v>392</v>
      </c>
      <c r="B1943" s="19" t="s">
        <v>397</v>
      </c>
      <c r="C1943" s="19" t="s">
        <v>509</v>
      </c>
      <c r="D1943" s="34">
        <v>43307</v>
      </c>
      <c r="E1943" s="19">
        <v>2018</v>
      </c>
      <c r="F1943" s="19">
        <v>7</v>
      </c>
      <c r="G1943" s="30">
        <v>26</v>
      </c>
      <c r="H1943" s="29">
        <v>0.61998842592592596</v>
      </c>
      <c r="I1943" s="35">
        <v>135.00483333333332</v>
      </c>
      <c r="J1943" s="35">
        <v>36.491666666666667</v>
      </c>
      <c r="K1943" s="28">
        <v>10</v>
      </c>
      <c r="L1943" s="28">
        <v>10</v>
      </c>
      <c r="M1943" s="28">
        <v>0</v>
      </c>
      <c r="N1943" s="36">
        <v>21.947199999999999</v>
      </c>
      <c r="O1943" s="35">
        <v>34.011899999999997</v>
      </c>
      <c r="P1943" s="20">
        <v>3.8956864705882666E-2</v>
      </c>
      <c r="Q1943" s="20">
        <v>-0.12933020235293924</v>
      </c>
      <c r="R1943" s="26" t="s">
        <v>393</v>
      </c>
      <c r="S1943" s="26"/>
      <c r="T1943" s="71" t="s">
        <v>626</v>
      </c>
    </row>
    <row r="1944" spans="1:20" ht="14" customHeight="1">
      <c r="A1944" s="19" t="s">
        <v>392</v>
      </c>
      <c r="B1944" s="19" t="s">
        <v>398</v>
      </c>
      <c r="C1944" s="19" t="s">
        <v>509</v>
      </c>
      <c r="D1944" s="34">
        <v>43307</v>
      </c>
      <c r="E1944" s="19">
        <v>2018</v>
      </c>
      <c r="F1944" s="19">
        <v>7</v>
      </c>
      <c r="G1944" s="30">
        <v>26</v>
      </c>
      <c r="H1944" s="29">
        <v>0.50776620370370373</v>
      </c>
      <c r="I1944" s="35">
        <v>135.0085</v>
      </c>
      <c r="J1944" s="35">
        <v>36.748333333333335</v>
      </c>
      <c r="K1944" s="28">
        <v>10</v>
      </c>
      <c r="L1944" s="28">
        <v>10</v>
      </c>
      <c r="M1944" s="28">
        <v>0</v>
      </c>
      <c r="N1944" s="36">
        <v>20.572600000000001</v>
      </c>
      <c r="O1944" s="35">
        <v>34.122500000000002</v>
      </c>
      <c r="P1944" s="20">
        <v>0.13278006117647045</v>
      </c>
      <c r="Q1944" s="20">
        <v>0.54450896941176552</v>
      </c>
      <c r="R1944" s="26" t="s">
        <v>393</v>
      </c>
      <c r="S1944" s="26"/>
      <c r="T1944" s="71" t="s">
        <v>626</v>
      </c>
    </row>
    <row r="1945" spans="1:20" ht="14" customHeight="1">
      <c r="A1945" s="19" t="s">
        <v>392</v>
      </c>
      <c r="B1945" s="19" t="s">
        <v>369</v>
      </c>
      <c r="C1945" s="19" t="s">
        <v>509</v>
      </c>
      <c r="D1945" s="34">
        <v>43307</v>
      </c>
      <c r="E1945" s="19">
        <v>2018</v>
      </c>
      <c r="F1945" s="19">
        <v>7</v>
      </c>
      <c r="G1945" s="30">
        <v>26</v>
      </c>
      <c r="H1945" s="29">
        <v>0.38596064814814812</v>
      </c>
      <c r="I1945" s="35">
        <v>134.98783333333333</v>
      </c>
      <c r="J1945" s="35">
        <v>36.998333333333335</v>
      </c>
      <c r="K1945" s="28">
        <v>500</v>
      </c>
      <c r="L1945" s="28">
        <v>500</v>
      </c>
      <c r="M1945" s="28">
        <v>0</v>
      </c>
      <c r="N1945" s="36">
        <v>0.59109999999999996</v>
      </c>
      <c r="O1945" s="35">
        <v>34.069699999999997</v>
      </c>
      <c r="P1945" s="20">
        <v>1.8902867058823603E-2</v>
      </c>
      <c r="Q1945" s="20">
        <v>-0.65894898352940956</v>
      </c>
      <c r="R1945" s="26" t="s">
        <v>393</v>
      </c>
      <c r="S1945" s="26">
        <v>1</v>
      </c>
      <c r="T1945" s="71" t="s">
        <v>626</v>
      </c>
    </row>
    <row r="1946" spans="1:20" ht="14" customHeight="1">
      <c r="A1946" s="19" t="s">
        <v>392</v>
      </c>
      <c r="B1946" s="19" t="s">
        <v>369</v>
      </c>
      <c r="C1946" s="19" t="s">
        <v>509</v>
      </c>
      <c r="D1946" s="34">
        <v>43307</v>
      </c>
      <c r="E1946" s="19">
        <v>2018</v>
      </c>
      <c r="F1946" s="19">
        <v>7</v>
      </c>
      <c r="G1946" s="30">
        <v>26</v>
      </c>
      <c r="H1946" s="29">
        <v>0.38773148148148145</v>
      </c>
      <c r="I1946" s="35">
        <v>134.98783333333333</v>
      </c>
      <c r="J1946" s="35">
        <v>36.998333333333335</v>
      </c>
      <c r="K1946" s="28">
        <v>400</v>
      </c>
      <c r="L1946" s="28">
        <v>400</v>
      </c>
      <c r="M1946" s="28">
        <v>0</v>
      </c>
      <c r="N1946" s="36">
        <v>0.6774</v>
      </c>
      <c r="O1946" s="35">
        <v>34.065800000000003</v>
      </c>
      <c r="P1946" s="20">
        <v>-4.2311416470588448E-2</v>
      </c>
      <c r="Q1946" s="20">
        <v>-0.81200581176470443</v>
      </c>
      <c r="R1946" s="26" t="s">
        <v>393</v>
      </c>
      <c r="S1946" s="26">
        <v>1</v>
      </c>
      <c r="T1946" s="71" t="s">
        <v>626</v>
      </c>
    </row>
    <row r="1947" spans="1:20" ht="14" customHeight="1">
      <c r="A1947" s="19" t="s">
        <v>392</v>
      </c>
      <c r="B1947" s="19" t="s">
        <v>369</v>
      </c>
      <c r="C1947" s="19" t="s">
        <v>509</v>
      </c>
      <c r="D1947" s="34">
        <v>43307</v>
      </c>
      <c r="E1947" s="19">
        <v>2018</v>
      </c>
      <c r="F1947" s="19">
        <v>7</v>
      </c>
      <c r="G1947" s="30">
        <v>26</v>
      </c>
      <c r="H1947" s="29">
        <v>0.38965277777777779</v>
      </c>
      <c r="I1947" s="35">
        <v>134.98783333333333</v>
      </c>
      <c r="J1947" s="35">
        <v>36.998333333333335</v>
      </c>
      <c r="K1947" s="28">
        <v>300</v>
      </c>
      <c r="L1947" s="28">
        <v>300</v>
      </c>
      <c r="M1947" s="28">
        <v>0</v>
      </c>
      <c r="N1947" s="36">
        <v>0.89249999999999996</v>
      </c>
      <c r="O1947" s="35">
        <v>34.056899999999999</v>
      </c>
      <c r="P1947" s="20">
        <v>4.8360399999998194E-3</v>
      </c>
      <c r="Q1947" s="20">
        <v>-0.72427839999999755</v>
      </c>
      <c r="R1947" s="26" t="s">
        <v>393</v>
      </c>
      <c r="S1947" s="26">
        <v>1</v>
      </c>
      <c r="T1947" s="71" t="s">
        <v>626</v>
      </c>
    </row>
    <row r="1948" spans="1:20" ht="14" customHeight="1">
      <c r="A1948" s="19" t="s">
        <v>392</v>
      </c>
      <c r="B1948" s="19" t="s">
        <v>369</v>
      </c>
      <c r="C1948" s="19" t="s">
        <v>509</v>
      </c>
      <c r="D1948" s="34">
        <v>43307</v>
      </c>
      <c r="E1948" s="19">
        <v>2018</v>
      </c>
      <c r="F1948" s="19">
        <v>7</v>
      </c>
      <c r="G1948" s="30">
        <v>26</v>
      </c>
      <c r="H1948" s="29">
        <v>0.39141203703703703</v>
      </c>
      <c r="I1948" s="35">
        <v>134.98783333333333</v>
      </c>
      <c r="J1948" s="35">
        <v>36.998333333333335</v>
      </c>
      <c r="K1948" s="28">
        <v>200</v>
      </c>
      <c r="L1948" s="28">
        <v>200</v>
      </c>
      <c r="M1948" s="28">
        <v>0</v>
      </c>
      <c r="N1948" s="36">
        <v>1.3867</v>
      </c>
      <c r="O1948" s="35">
        <v>34.038699999999999</v>
      </c>
      <c r="P1948" s="20">
        <v>-2.6974583529411511E-2</v>
      </c>
      <c r="Q1948" s="20">
        <v>-0.76491674823529365</v>
      </c>
      <c r="R1948" s="26" t="s">
        <v>393</v>
      </c>
      <c r="S1948" s="26">
        <v>1</v>
      </c>
      <c r="T1948" s="71" t="s">
        <v>626</v>
      </c>
    </row>
    <row r="1949" spans="1:20" ht="14" customHeight="1">
      <c r="A1949" s="19" t="s">
        <v>392</v>
      </c>
      <c r="B1949" s="19" t="s">
        <v>369</v>
      </c>
      <c r="C1949" s="19" t="s">
        <v>509</v>
      </c>
      <c r="D1949" s="34">
        <v>43307</v>
      </c>
      <c r="E1949" s="19">
        <v>2018</v>
      </c>
      <c r="F1949" s="19">
        <v>7</v>
      </c>
      <c r="G1949" s="30">
        <v>26</v>
      </c>
      <c r="H1949" s="29">
        <v>0.39251157407407405</v>
      </c>
      <c r="I1949" s="35">
        <v>134.98783333333333</v>
      </c>
      <c r="J1949" s="35">
        <v>36.998333333333335</v>
      </c>
      <c r="K1949" s="28">
        <v>150</v>
      </c>
      <c r="L1949" s="28">
        <v>150</v>
      </c>
      <c r="M1949" s="28">
        <v>0</v>
      </c>
      <c r="N1949" s="36">
        <v>2.5956999999999999</v>
      </c>
      <c r="O1949" s="35">
        <v>34.0413</v>
      </c>
      <c r="P1949" s="20">
        <v>6.2804752941176378E-2</v>
      </c>
      <c r="Q1949" s="20">
        <v>-0.49468157647058497</v>
      </c>
      <c r="R1949" s="26" t="s">
        <v>393</v>
      </c>
      <c r="S1949" s="26">
        <v>1</v>
      </c>
      <c r="T1949" s="71" t="s">
        <v>626</v>
      </c>
    </row>
    <row r="1950" spans="1:20" ht="14" customHeight="1">
      <c r="A1950" s="19" t="s">
        <v>392</v>
      </c>
      <c r="B1950" s="19" t="s">
        <v>369</v>
      </c>
      <c r="C1950" s="19" t="s">
        <v>509</v>
      </c>
      <c r="D1950" s="34">
        <v>43307</v>
      </c>
      <c r="E1950" s="19">
        <v>2018</v>
      </c>
      <c r="F1950" s="19">
        <v>7</v>
      </c>
      <c r="G1950" s="30">
        <v>26</v>
      </c>
      <c r="H1950" s="29">
        <v>0.39339120370370373</v>
      </c>
      <c r="I1950" s="35">
        <v>134.98783333333333</v>
      </c>
      <c r="J1950" s="35">
        <v>36.998333333333335</v>
      </c>
      <c r="K1950" s="28">
        <v>125</v>
      </c>
      <c r="L1950" s="28">
        <v>125</v>
      </c>
      <c r="M1950" s="28">
        <v>0</v>
      </c>
      <c r="N1950" s="36">
        <v>3.9489999999999998</v>
      </c>
      <c r="O1950" s="35">
        <v>34.070300000000003</v>
      </c>
      <c r="P1950" s="20">
        <v>5.2721309411764672E-2</v>
      </c>
      <c r="Q1950" s="20">
        <v>-0.41994824470588021</v>
      </c>
      <c r="R1950" s="26" t="s">
        <v>393</v>
      </c>
      <c r="S1950" s="26">
        <v>1</v>
      </c>
      <c r="T1950" s="71" t="s">
        <v>626</v>
      </c>
    </row>
    <row r="1951" spans="1:20" ht="14" customHeight="1">
      <c r="A1951" s="19" t="s">
        <v>392</v>
      </c>
      <c r="B1951" s="19" t="s">
        <v>369</v>
      </c>
      <c r="C1951" s="19" t="s">
        <v>509</v>
      </c>
      <c r="D1951" s="34">
        <v>43307</v>
      </c>
      <c r="E1951" s="19">
        <v>2018</v>
      </c>
      <c r="F1951" s="19">
        <v>7</v>
      </c>
      <c r="G1951" s="30">
        <v>26</v>
      </c>
      <c r="H1951" s="29">
        <v>0.39420138888888889</v>
      </c>
      <c r="I1951" s="35">
        <v>134.98783333333333</v>
      </c>
      <c r="J1951" s="35">
        <v>36.998333333333335</v>
      </c>
      <c r="K1951" s="28">
        <v>100</v>
      </c>
      <c r="L1951" s="28">
        <v>100</v>
      </c>
      <c r="M1951" s="28">
        <v>0</v>
      </c>
      <c r="N1951" s="36">
        <v>5.8696999999999999</v>
      </c>
      <c r="O1951" s="35">
        <v>34.117800000000003</v>
      </c>
      <c r="P1951" s="20">
        <v>0.13749722588235258</v>
      </c>
      <c r="Q1951" s="20">
        <v>5.169516705882593E-2</v>
      </c>
      <c r="R1951" s="26" t="s">
        <v>393</v>
      </c>
      <c r="S1951" s="26">
        <v>1</v>
      </c>
      <c r="T1951" s="71" t="s">
        <v>626</v>
      </c>
    </row>
    <row r="1952" spans="1:20" ht="14" customHeight="1">
      <c r="A1952" s="19" t="s">
        <v>392</v>
      </c>
      <c r="B1952" s="19" t="s">
        <v>369</v>
      </c>
      <c r="C1952" s="19" t="s">
        <v>509</v>
      </c>
      <c r="D1952" s="34">
        <v>43307</v>
      </c>
      <c r="E1952" s="19">
        <v>2018</v>
      </c>
      <c r="F1952" s="19">
        <v>7</v>
      </c>
      <c r="G1952" s="30">
        <v>26</v>
      </c>
      <c r="H1952" s="29">
        <v>0.39490740740740743</v>
      </c>
      <c r="I1952" s="35">
        <v>134.98783333333333</v>
      </c>
      <c r="J1952" s="35">
        <v>36.998333333333335</v>
      </c>
      <c r="K1952" s="28">
        <v>80</v>
      </c>
      <c r="L1952" s="28">
        <v>80</v>
      </c>
      <c r="M1952" s="28">
        <v>0</v>
      </c>
      <c r="N1952" s="36">
        <v>7.4255000000000004</v>
      </c>
      <c r="O1952" s="35">
        <v>34.172400000000003</v>
      </c>
      <c r="P1952" s="20">
        <v>0.21737253235294096</v>
      </c>
      <c r="Q1952" s="20">
        <v>0.46873719215686549</v>
      </c>
      <c r="R1952" s="26" t="s">
        <v>393</v>
      </c>
      <c r="S1952" s="26">
        <v>1</v>
      </c>
      <c r="T1952" s="71" t="s">
        <v>626</v>
      </c>
    </row>
    <row r="1953" spans="1:20" ht="14" customHeight="1">
      <c r="A1953" s="19" t="s">
        <v>392</v>
      </c>
      <c r="B1953" s="19" t="s">
        <v>369</v>
      </c>
      <c r="C1953" s="19" t="s">
        <v>509</v>
      </c>
      <c r="D1953" s="34">
        <v>43307</v>
      </c>
      <c r="E1953" s="19">
        <v>2018</v>
      </c>
      <c r="F1953" s="19">
        <v>7</v>
      </c>
      <c r="G1953" s="30">
        <v>26</v>
      </c>
      <c r="H1953" s="29">
        <v>0.39564814814814814</v>
      </c>
      <c r="I1953" s="35">
        <v>134.98783333333333</v>
      </c>
      <c r="J1953" s="35">
        <v>36.998333333333335</v>
      </c>
      <c r="K1953" s="28">
        <v>60</v>
      </c>
      <c r="L1953" s="28">
        <v>60</v>
      </c>
      <c r="M1953" s="28">
        <v>0</v>
      </c>
      <c r="N1953" s="36">
        <v>9.3321000000000005</v>
      </c>
      <c r="O1953" s="35">
        <v>34.266199999999998</v>
      </c>
      <c r="P1953" s="20">
        <v>0.11814838235294123</v>
      </c>
      <c r="Q1953" s="20">
        <v>0.5215105400000013</v>
      </c>
      <c r="R1953" s="26" t="s">
        <v>393</v>
      </c>
      <c r="S1953" s="26">
        <v>1</v>
      </c>
      <c r="T1953" s="71" t="s">
        <v>626</v>
      </c>
    </row>
    <row r="1954" spans="1:20" ht="14" customHeight="1">
      <c r="A1954" s="19" t="s">
        <v>392</v>
      </c>
      <c r="B1954" s="19" t="s">
        <v>369</v>
      </c>
      <c r="C1954" s="19" t="s">
        <v>509</v>
      </c>
      <c r="D1954" s="34">
        <v>43307</v>
      </c>
      <c r="E1954" s="19">
        <v>2018</v>
      </c>
      <c r="F1954" s="19">
        <v>7</v>
      </c>
      <c r="G1954" s="30">
        <v>26</v>
      </c>
      <c r="H1954" s="29">
        <v>0.3961574074074074</v>
      </c>
      <c r="I1954" s="35">
        <v>134.98783333333333</v>
      </c>
      <c r="J1954" s="35">
        <v>36.998333333333335</v>
      </c>
      <c r="K1954" s="28">
        <v>50</v>
      </c>
      <c r="L1954" s="28">
        <v>50</v>
      </c>
      <c r="M1954" s="28">
        <v>0</v>
      </c>
      <c r="N1954" s="36">
        <v>11.1479</v>
      </c>
      <c r="O1954" s="35">
        <v>34.354599999999998</v>
      </c>
      <c r="P1954" s="20">
        <v>0.12424019882352955</v>
      </c>
      <c r="Q1954" s="20">
        <v>0.757272740000003</v>
      </c>
      <c r="R1954" s="26" t="s">
        <v>393</v>
      </c>
      <c r="S1954" s="26">
        <v>1</v>
      </c>
      <c r="T1954" s="71" t="s">
        <v>626</v>
      </c>
    </row>
    <row r="1955" spans="1:20" ht="14" customHeight="1">
      <c r="A1955" s="19" t="s">
        <v>392</v>
      </c>
      <c r="B1955" s="19" t="s">
        <v>369</v>
      </c>
      <c r="C1955" s="19" t="s">
        <v>509</v>
      </c>
      <c r="D1955" s="34">
        <v>43307</v>
      </c>
      <c r="E1955" s="19">
        <v>2018</v>
      </c>
      <c r="F1955" s="19">
        <v>7</v>
      </c>
      <c r="G1955" s="30">
        <v>26</v>
      </c>
      <c r="H1955" s="29">
        <v>0.39666666666666667</v>
      </c>
      <c r="I1955" s="35">
        <v>134.98783333333333</v>
      </c>
      <c r="J1955" s="35">
        <v>36.998333333333335</v>
      </c>
      <c r="K1955" s="28">
        <v>40</v>
      </c>
      <c r="L1955" s="28">
        <v>40</v>
      </c>
      <c r="M1955" s="28">
        <v>0</v>
      </c>
      <c r="N1955" s="36">
        <v>12.9931</v>
      </c>
      <c r="O1955" s="35">
        <v>34.389899999999997</v>
      </c>
      <c r="P1955" s="20">
        <v>9.7510555294117562E-2</v>
      </c>
      <c r="Q1955" s="20">
        <v>0.8515891600000014</v>
      </c>
      <c r="R1955" s="26" t="s">
        <v>393</v>
      </c>
      <c r="S1955" s="26">
        <v>1</v>
      </c>
      <c r="T1955" s="71" t="s">
        <v>626</v>
      </c>
    </row>
    <row r="1956" spans="1:20" ht="14" customHeight="1">
      <c r="A1956" s="19" t="s">
        <v>392</v>
      </c>
      <c r="B1956" s="19" t="s">
        <v>369</v>
      </c>
      <c r="C1956" s="19" t="s">
        <v>509</v>
      </c>
      <c r="D1956" s="34">
        <v>43307</v>
      </c>
      <c r="E1956" s="19">
        <v>2018</v>
      </c>
      <c r="F1956" s="19">
        <v>7</v>
      </c>
      <c r="G1956" s="30">
        <v>26</v>
      </c>
      <c r="H1956" s="29">
        <v>0.39718750000000003</v>
      </c>
      <c r="I1956" s="35">
        <v>134.98783333333333</v>
      </c>
      <c r="J1956" s="35">
        <v>36.998333333333335</v>
      </c>
      <c r="K1956" s="28">
        <v>30</v>
      </c>
      <c r="L1956" s="28">
        <v>30</v>
      </c>
      <c r="M1956" s="28">
        <v>0</v>
      </c>
      <c r="N1956" s="36">
        <v>15.257</v>
      </c>
      <c r="O1956" s="35">
        <v>34.333100000000002</v>
      </c>
      <c r="P1956" s="20">
        <v>0.15946001176470626</v>
      </c>
      <c r="Q1956" s="20">
        <v>0.83663332000000246</v>
      </c>
      <c r="R1956" s="26" t="s">
        <v>393</v>
      </c>
      <c r="S1956" s="26">
        <v>1</v>
      </c>
      <c r="T1956" s="71" t="s">
        <v>626</v>
      </c>
    </row>
    <row r="1957" spans="1:20" ht="14" customHeight="1">
      <c r="A1957" s="19" t="s">
        <v>392</v>
      </c>
      <c r="B1957" s="19" t="s">
        <v>369</v>
      </c>
      <c r="C1957" s="19" t="s">
        <v>509</v>
      </c>
      <c r="D1957" s="34">
        <v>43307</v>
      </c>
      <c r="E1957" s="19">
        <v>2018</v>
      </c>
      <c r="F1957" s="19">
        <v>7</v>
      </c>
      <c r="G1957" s="30">
        <v>26</v>
      </c>
      <c r="H1957" s="29">
        <v>0.39841435185185187</v>
      </c>
      <c r="I1957" s="35">
        <v>134.98783333333333</v>
      </c>
      <c r="J1957" s="35">
        <v>36.998333333333335</v>
      </c>
      <c r="K1957" s="28">
        <v>20</v>
      </c>
      <c r="L1957" s="28">
        <v>20</v>
      </c>
      <c r="M1957" s="28">
        <v>0</v>
      </c>
      <c r="N1957" s="36">
        <v>20.370999999999999</v>
      </c>
      <c r="O1957" s="35">
        <v>34.0779</v>
      </c>
      <c r="P1957" s="20">
        <v>1.1637528235294292E-2</v>
      </c>
      <c r="Q1957" s="20">
        <v>0.13602837999999906</v>
      </c>
      <c r="R1957" s="26" t="s">
        <v>393</v>
      </c>
      <c r="S1957" s="26">
        <v>1</v>
      </c>
      <c r="T1957" s="71" t="s">
        <v>626</v>
      </c>
    </row>
    <row r="1958" spans="1:20" ht="14" customHeight="1">
      <c r="A1958" s="19" t="s">
        <v>392</v>
      </c>
      <c r="B1958" s="19" t="s">
        <v>369</v>
      </c>
      <c r="C1958" s="19" t="s">
        <v>509</v>
      </c>
      <c r="D1958" s="34">
        <v>43307</v>
      </c>
      <c r="E1958" s="19">
        <v>2018</v>
      </c>
      <c r="F1958" s="19">
        <v>7</v>
      </c>
      <c r="G1958" s="30">
        <v>26</v>
      </c>
      <c r="H1958" s="29">
        <v>0.39899305555555559</v>
      </c>
      <c r="I1958" s="35">
        <v>134.98783333333333</v>
      </c>
      <c r="J1958" s="35">
        <v>36.998333333333335</v>
      </c>
      <c r="K1958" s="28">
        <v>10</v>
      </c>
      <c r="L1958" s="28">
        <v>10</v>
      </c>
      <c r="M1958" s="28">
        <v>0</v>
      </c>
      <c r="N1958" s="36">
        <v>21.674700000000001</v>
      </c>
      <c r="O1958" s="35">
        <v>33.940600000000003</v>
      </c>
      <c r="P1958" s="20">
        <v>2.4864444705882116E-2</v>
      </c>
      <c r="Q1958" s="20">
        <v>-0.18908803999999968</v>
      </c>
      <c r="R1958" s="26" t="s">
        <v>393</v>
      </c>
      <c r="S1958" s="26">
        <v>1</v>
      </c>
      <c r="T1958" s="71" t="s">
        <v>626</v>
      </c>
    </row>
    <row r="1959" spans="1:20" ht="14" customHeight="1">
      <c r="A1959" s="19" t="s">
        <v>392</v>
      </c>
      <c r="B1959" s="19" t="s">
        <v>399</v>
      </c>
      <c r="C1959" s="19" t="s">
        <v>509</v>
      </c>
      <c r="D1959" s="34">
        <v>43307</v>
      </c>
      <c r="E1959" s="19">
        <v>2018</v>
      </c>
      <c r="F1959" s="19">
        <v>7</v>
      </c>
      <c r="G1959" s="30">
        <v>26</v>
      </c>
      <c r="H1959" s="29">
        <v>0.28589120370370369</v>
      </c>
      <c r="I1959" s="35">
        <v>135.00833333333333</v>
      </c>
      <c r="J1959" s="35">
        <v>37.263333333333335</v>
      </c>
      <c r="K1959" s="28">
        <v>10</v>
      </c>
      <c r="L1959" s="28">
        <v>10</v>
      </c>
      <c r="M1959" s="28">
        <v>0</v>
      </c>
      <c r="N1959" s="36">
        <v>21.5947</v>
      </c>
      <c r="O1959" s="35">
        <v>33.991300000000003</v>
      </c>
      <c r="P1959" s="20">
        <v>-4.5559192156862771E-2</v>
      </c>
      <c r="Q1959" s="20">
        <v>-0.17834429999999735</v>
      </c>
      <c r="R1959" s="26" t="s">
        <v>393</v>
      </c>
      <c r="S1959" s="26"/>
      <c r="T1959" s="71" t="s">
        <v>626</v>
      </c>
    </row>
    <row r="1960" spans="1:20" ht="14" customHeight="1">
      <c r="A1960" s="19" t="s">
        <v>392</v>
      </c>
      <c r="B1960" s="19" t="s">
        <v>400</v>
      </c>
      <c r="C1960" s="19" t="s">
        <v>509</v>
      </c>
      <c r="D1960" s="34">
        <v>43308</v>
      </c>
      <c r="E1960" s="19">
        <v>2018</v>
      </c>
      <c r="F1960" s="19">
        <v>7</v>
      </c>
      <c r="G1960" s="30">
        <v>27</v>
      </c>
      <c r="H1960" s="29">
        <v>0.75434027777777779</v>
      </c>
      <c r="I1960" s="35">
        <v>135.79583333333332</v>
      </c>
      <c r="J1960" s="35">
        <v>36.241666666666667</v>
      </c>
      <c r="K1960" s="28">
        <v>10</v>
      </c>
      <c r="L1960" s="28">
        <v>10</v>
      </c>
      <c r="M1960" s="28">
        <v>0</v>
      </c>
      <c r="N1960" s="36">
        <v>24.029800000000002</v>
      </c>
      <c r="O1960" s="35">
        <v>33.597999999999999</v>
      </c>
      <c r="P1960" s="20">
        <v>-0.14629401294117628</v>
      </c>
      <c r="Q1960" s="20">
        <v>-0.71292326000000017</v>
      </c>
      <c r="R1960" s="26" t="s">
        <v>393</v>
      </c>
      <c r="S1960" s="26"/>
      <c r="T1960" s="71" t="s">
        <v>626</v>
      </c>
    </row>
    <row r="1961" spans="1:20" ht="14" customHeight="1">
      <c r="A1961" s="19" t="s">
        <v>392</v>
      </c>
      <c r="B1961" s="19" t="s">
        <v>401</v>
      </c>
      <c r="C1961" s="19" t="s">
        <v>509</v>
      </c>
      <c r="D1961" s="34">
        <v>43308</v>
      </c>
      <c r="E1961" s="19">
        <v>2018</v>
      </c>
      <c r="F1961" s="19">
        <v>7</v>
      </c>
      <c r="G1961" s="30">
        <v>27</v>
      </c>
      <c r="H1961" s="29">
        <v>0.65228009259259256</v>
      </c>
      <c r="I1961" s="35">
        <v>135.75616666666667</v>
      </c>
      <c r="J1961" s="35">
        <v>36.498333333333335</v>
      </c>
      <c r="K1961" s="28">
        <v>10</v>
      </c>
      <c r="L1961" s="28">
        <v>10</v>
      </c>
      <c r="M1961" s="28">
        <v>0</v>
      </c>
      <c r="N1961" s="36">
        <v>26.608899999999998</v>
      </c>
      <c r="O1961" s="35">
        <v>33.976599999999998</v>
      </c>
      <c r="P1961" s="20">
        <v>-5.9881356470588232E-2</v>
      </c>
      <c r="Q1961" s="20">
        <v>-0.14561686000000051</v>
      </c>
      <c r="R1961" s="26" t="s">
        <v>393</v>
      </c>
      <c r="S1961" s="26"/>
      <c r="T1961" s="71" t="s">
        <v>626</v>
      </c>
    </row>
    <row r="1962" spans="1:20" ht="14" customHeight="1">
      <c r="A1962" s="19" t="s">
        <v>392</v>
      </c>
      <c r="B1962" s="19" t="s">
        <v>402</v>
      </c>
      <c r="C1962" s="19" t="s">
        <v>509</v>
      </c>
      <c r="D1962" s="34">
        <v>43308</v>
      </c>
      <c r="E1962" s="19">
        <v>2018</v>
      </c>
      <c r="F1962" s="19">
        <v>7</v>
      </c>
      <c r="G1962" s="30">
        <v>27</v>
      </c>
      <c r="H1962" s="29">
        <v>0.54214120370370367</v>
      </c>
      <c r="I1962" s="35">
        <v>135.70433333333332</v>
      </c>
      <c r="J1962" s="35">
        <v>36.729999999999997</v>
      </c>
      <c r="K1962" s="28">
        <v>10</v>
      </c>
      <c r="L1962" s="28">
        <v>10</v>
      </c>
      <c r="M1962" s="28">
        <v>0</v>
      </c>
      <c r="N1962" s="36">
        <v>22.582999999999998</v>
      </c>
      <c r="O1962" s="35">
        <v>34.136299999999999</v>
      </c>
      <c r="P1962" s="20">
        <v>2.6531300000000257E-2</v>
      </c>
      <c r="Q1962" s="20">
        <v>0.20020232000000071</v>
      </c>
      <c r="R1962" s="26" t="s">
        <v>393</v>
      </c>
      <c r="S1962" s="26"/>
      <c r="T1962" s="71" t="s">
        <v>626</v>
      </c>
    </row>
    <row r="1963" spans="1:20" ht="14" customHeight="1">
      <c r="A1963" s="19" t="s">
        <v>392</v>
      </c>
      <c r="B1963" s="19" t="s">
        <v>370</v>
      </c>
      <c r="C1963" s="19" t="s">
        <v>509</v>
      </c>
      <c r="D1963" s="34">
        <v>43308</v>
      </c>
      <c r="E1963" s="19">
        <v>2018</v>
      </c>
      <c r="F1963" s="19">
        <v>7</v>
      </c>
      <c r="G1963" s="30">
        <v>27</v>
      </c>
      <c r="H1963" s="29">
        <v>0.39628472222222227</v>
      </c>
      <c r="I1963" s="35">
        <v>135.74683333333334</v>
      </c>
      <c r="J1963" s="35">
        <v>37.00333333333333</v>
      </c>
      <c r="K1963" s="28">
        <v>500</v>
      </c>
      <c r="L1963" s="28">
        <v>500</v>
      </c>
      <c r="M1963" s="28">
        <v>0</v>
      </c>
      <c r="N1963" s="36">
        <v>0.58289999999999997</v>
      </c>
      <c r="O1963" s="35">
        <v>34.069099999999999</v>
      </c>
      <c r="P1963" s="20">
        <v>-6.3598803529411496E-2</v>
      </c>
      <c r="Q1963" s="20">
        <v>-0.96672247999999961</v>
      </c>
      <c r="R1963" s="26" t="s">
        <v>393</v>
      </c>
      <c r="S1963" s="26"/>
      <c r="T1963" s="71" t="s">
        <v>626</v>
      </c>
    </row>
    <row r="1964" spans="1:20" ht="14" customHeight="1">
      <c r="A1964" s="19" t="s">
        <v>392</v>
      </c>
      <c r="B1964" s="19" t="s">
        <v>370</v>
      </c>
      <c r="C1964" s="19" t="s">
        <v>509</v>
      </c>
      <c r="D1964" s="34">
        <v>43308</v>
      </c>
      <c r="E1964" s="19">
        <v>2018</v>
      </c>
      <c r="F1964" s="19">
        <v>7</v>
      </c>
      <c r="G1964" s="30">
        <v>27</v>
      </c>
      <c r="H1964" s="29">
        <v>0.39815972222222223</v>
      </c>
      <c r="I1964" s="35">
        <v>135.74683333333334</v>
      </c>
      <c r="J1964" s="35">
        <v>37.00333333333333</v>
      </c>
      <c r="K1964" s="28">
        <v>400</v>
      </c>
      <c r="L1964" s="28">
        <v>400</v>
      </c>
      <c r="M1964" s="28">
        <v>0</v>
      </c>
      <c r="N1964" s="36">
        <v>0.72309999999999997</v>
      </c>
      <c r="O1964" s="35">
        <v>34.064599999999999</v>
      </c>
      <c r="P1964" s="20">
        <v>-6.1584187058823847E-2</v>
      </c>
      <c r="Q1964" s="20">
        <v>-0.9495047999999997</v>
      </c>
      <c r="R1964" s="26" t="s">
        <v>393</v>
      </c>
      <c r="S1964" s="26"/>
      <c r="T1964" s="71" t="s">
        <v>626</v>
      </c>
    </row>
    <row r="1965" spans="1:20" ht="14" customHeight="1">
      <c r="A1965" s="19" t="s">
        <v>392</v>
      </c>
      <c r="B1965" s="19" t="s">
        <v>370</v>
      </c>
      <c r="C1965" s="19" t="s">
        <v>509</v>
      </c>
      <c r="D1965" s="34">
        <v>43308</v>
      </c>
      <c r="E1965" s="19">
        <v>2018</v>
      </c>
      <c r="F1965" s="19">
        <v>7</v>
      </c>
      <c r="G1965" s="30">
        <v>27</v>
      </c>
      <c r="H1965" s="29">
        <v>0.39981481481481485</v>
      </c>
      <c r="I1965" s="35">
        <v>135.74683333333334</v>
      </c>
      <c r="J1965" s="35">
        <v>37.00333333333333</v>
      </c>
      <c r="K1965" s="28">
        <v>300</v>
      </c>
      <c r="L1965" s="28">
        <v>300</v>
      </c>
      <c r="M1965" s="28">
        <v>0</v>
      </c>
      <c r="N1965" s="36">
        <v>0.9546</v>
      </c>
      <c r="O1965" s="35">
        <v>34.055399999999999</v>
      </c>
      <c r="P1965" s="20">
        <v>-7.3635910588235154E-2</v>
      </c>
      <c r="Q1965" s="20">
        <v>-1.0095820399999997</v>
      </c>
      <c r="R1965" s="26" t="s">
        <v>393</v>
      </c>
      <c r="S1965" s="26"/>
      <c r="T1965" s="71" t="s">
        <v>626</v>
      </c>
    </row>
    <row r="1966" spans="1:20" ht="14" customHeight="1">
      <c r="A1966" s="19" t="s">
        <v>392</v>
      </c>
      <c r="B1966" s="19" t="s">
        <v>370</v>
      </c>
      <c r="C1966" s="19" t="s">
        <v>509</v>
      </c>
      <c r="D1966" s="34">
        <v>43308</v>
      </c>
      <c r="E1966" s="19">
        <v>2018</v>
      </c>
      <c r="F1966" s="19">
        <v>7</v>
      </c>
      <c r="G1966" s="30">
        <v>27</v>
      </c>
      <c r="H1966" s="29">
        <v>0.40160879629629626</v>
      </c>
      <c r="I1966" s="35">
        <v>135.74683333333334</v>
      </c>
      <c r="J1966" s="35">
        <v>37.00333333333333</v>
      </c>
      <c r="K1966" s="28">
        <v>200</v>
      </c>
      <c r="L1966" s="28">
        <v>200</v>
      </c>
      <c r="M1966" s="28">
        <v>0</v>
      </c>
      <c r="N1966" s="36">
        <v>2.1101000000000001</v>
      </c>
      <c r="O1966" s="35">
        <v>34.033799999999999</v>
      </c>
      <c r="P1966" s="20">
        <v>-1.1686454117647127E-2</v>
      </c>
      <c r="Q1966" s="20">
        <v>-0.9058489800000018</v>
      </c>
      <c r="R1966" s="26" t="s">
        <v>393</v>
      </c>
      <c r="S1966" s="26"/>
      <c r="T1966" s="71" t="s">
        <v>626</v>
      </c>
    </row>
    <row r="1967" spans="1:20" ht="14" customHeight="1">
      <c r="A1967" s="19" t="s">
        <v>392</v>
      </c>
      <c r="B1967" s="19" t="s">
        <v>370</v>
      </c>
      <c r="C1967" s="19" t="s">
        <v>509</v>
      </c>
      <c r="D1967" s="34">
        <v>43308</v>
      </c>
      <c r="E1967" s="19">
        <v>2018</v>
      </c>
      <c r="F1967" s="19">
        <v>7</v>
      </c>
      <c r="G1967" s="30">
        <v>27</v>
      </c>
      <c r="H1967" s="29">
        <v>0.40371527777777777</v>
      </c>
      <c r="I1967" s="35">
        <v>135.74683333333334</v>
      </c>
      <c r="J1967" s="35">
        <v>37.00333333333333</v>
      </c>
      <c r="K1967" s="28">
        <v>125</v>
      </c>
      <c r="L1967" s="28">
        <v>125</v>
      </c>
      <c r="M1967" s="28">
        <v>0</v>
      </c>
      <c r="N1967" s="36">
        <v>7.4048999999999996</v>
      </c>
      <c r="O1967" s="35">
        <v>34.1873</v>
      </c>
      <c r="P1967" s="20">
        <v>0.14831966235294125</v>
      </c>
      <c r="Q1967" s="20">
        <v>0.20683781999999873</v>
      </c>
      <c r="R1967" s="26" t="s">
        <v>393</v>
      </c>
      <c r="S1967" s="26"/>
      <c r="T1967" s="71" t="s">
        <v>626</v>
      </c>
    </row>
    <row r="1968" spans="1:20" ht="14" customHeight="1">
      <c r="A1968" s="19" t="s">
        <v>392</v>
      </c>
      <c r="B1968" s="19" t="s">
        <v>370</v>
      </c>
      <c r="C1968" s="19" t="s">
        <v>509</v>
      </c>
      <c r="D1968" s="34">
        <v>43308</v>
      </c>
      <c r="E1968" s="19">
        <v>2018</v>
      </c>
      <c r="F1968" s="19">
        <v>7</v>
      </c>
      <c r="G1968" s="30">
        <v>27</v>
      </c>
      <c r="H1968" s="29">
        <v>0.40456018518518522</v>
      </c>
      <c r="I1968" s="35">
        <v>135.74683333333334</v>
      </c>
      <c r="J1968" s="35">
        <v>37.00333333333333</v>
      </c>
      <c r="K1968" s="28">
        <v>100</v>
      </c>
      <c r="L1968" s="28">
        <v>100</v>
      </c>
      <c r="M1968" s="28">
        <v>0</v>
      </c>
      <c r="N1968" s="36">
        <v>9.8995999999999995</v>
      </c>
      <c r="O1968" s="35">
        <v>34.286700000000003</v>
      </c>
      <c r="P1968" s="20">
        <v>0.10166674823529487</v>
      </c>
      <c r="Q1968" s="20">
        <v>0.50700791529411759</v>
      </c>
      <c r="R1968" s="26" t="s">
        <v>393</v>
      </c>
      <c r="S1968" s="26"/>
      <c r="T1968" s="71" t="s">
        <v>626</v>
      </c>
    </row>
    <row r="1969" spans="1:20" ht="14" customHeight="1">
      <c r="A1969" s="19" t="s">
        <v>392</v>
      </c>
      <c r="B1969" s="19" t="s">
        <v>370</v>
      </c>
      <c r="C1969" s="19" t="s">
        <v>509</v>
      </c>
      <c r="D1969" s="34">
        <v>43308</v>
      </c>
      <c r="E1969" s="19">
        <v>2018</v>
      </c>
      <c r="F1969" s="19">
        <v>7</v>
      </c>
      <c r="G1969" s="30">
        <v>27</v>
      </c>
      <c r="H1969" s="29">
        <v>0.40538194444444442</v>
      </c>
      <c r="I1969" s="35">
        <v>135.74683333333334</v>
      </c>
      <c r="J1969" s="35">
        <v>37.00333333333333</v>
      </c>
      <c r="K1969" s="28">
        <v>80</v>
      </c>
      <c r="L1969" s="28">
        <v>80</v>
      </c>
      <c r="M1969" s="28">
        <v>0</v>
      </c>
      <c r="N1969" s="36">
        <v>13.8482</v>
      </c>
      <c r="O1969" s="35">
        <v>34.436700000000002</v>
      </c>
      <c r="P1969" s="20">
        <v>0.14642582588235298</v>
      </c>
      <c r="Q1969" s="20">
        <v>0.86965710235294047</v>
      </c>
      <c r="R1969" s="26" t="s">
        <v>393</v>
      </c>
      <c r="S1969" s="26"/>
      <c r="T1969" s="71" t="s">
        <v>626</v>
      </c>
    </row>
    <row r="1970" spans="1:20" ht="14" customHeight="1">
      <c r="A1970" s="19" t="s">
        <v>392</v>
      </c>
      <c r="B1970" s="19" t="s">
        <v>370</v>
      </c>
      <c r="C1970" s="19" t="s">
        <v>509</v>
      </c>
      <c r="D1970" s="34">
        <v>43308</v>
      </c>
      <c r="E1970" s="19">
        <v>2018</v>
      </c>
      <c r="F1970" s="19">
        <v>7</v>
      </c>
      <c r="G1970" s="30">
        <v>27</v>
      </c>
      <c r="H1970" s="29">
        <v>0.40619212962962964</v>
      </c>
      <c r="I1970" s="35">
        <v>135.74683333333334</v>
      </c>
      <c r="J1970" s="35">
        <v>37.00333333333333</v>
      </c>
      <c r="K1970" s="28">
        <v>60</v>
      </c>
      <c r="L1970" s="28">
        <v>60</v>
      </c>
      <c r="M1970" s="28">
        <v>0</v>
      </c>
      <c r="N1970" s="36">
        <v>15.519600000000001</v>
      </c>
      <c r="O1970" s="35">
        <v>34.4178</v>
      </c>
      <c r="P1970" s="20">
        <v>0.18459345210084033</v>
      </c>
      <c r="Q1970" s="20">
        <v>1.1141257865546237</v>
      </c>
      <c r="R1970" s="26" t="s">
        <v>393</v>
      </c>
      <c r="S1970" s="26"/>
      <c r="T1970" s="71" t="s">
        <v>626</v>
      </c>
    </row>
    <row r="1971" spans="1:20" ht="14" customHeight="1">
      <c r="A1971" s="19" t="s">
        <v>392</v>
      </c>
      <c r="B1971" s="19" t="s">
        <v>370</v>
      </c>
      <c r="C1971" s="19" t="s">
        <v>509</v>
      </c>
      <c r="D1971" s="34">
        <v>43308</v>
      </c>
      <c r="E1971" s="19">
        <v>2018</v>
      </c>
      <c r="F1971" s="19">
        <v>7</v>
      </c>
      <c r="G1971" s="30">
        <v>27</v>
      </c>
      <c r="H1971" s="29">
        <v>0.4067824074074074</v>
      </c>
      <c r="I1971" s="35">
        <v>135.74683333333334</v>
      </c>
      <c r="J1971" s="35">
        <v>37.00333333333333</v>
      </c>
      <c r="K1971" s="28">
        <v>50</v>
      </c>
      <c r="L1971" s="28">
        <v>50</v>
      </c>
      <c r="M1971" s="28">
        <v>0</v>
      </c>
      <c r="N1971" s="36">
        <v>17.239899999999999</v>
      </c>
      <c r="O1971" s="35">
        <v>34.451300000000003</v>
      </c>
      <c r="P1971" s="20">
        <v>0.16591710117647018</v>
      </c>
      <c r="Q1971" s="20">
        <v>1.0257212564705895</v>
      </c>
      <c r="R1971" s="26" t="s">
        <v>393</v>
      </c>
      <c r="S1971" s="26"/>
      <c r="T1971" s="71" t="s">
        <v>626</v>
      </c>
    </row>
    <row r="1972" spans="1:20" ht="14" customHeight="1">
      <c r="A1972" s="19" t="s">
        <v>392</v>
      </c>
      <c r="B1972" s="19" t="s">
        <v>370</v>
      </c>
      <c r="C1972" s="19" t="s">
        <v>509</v>
      </c>
      <c r="D1972" s="34">
        <v>43308</v>
      </c>
      <c r="E1972" s="19">
        <v>2018</v>
      </c>
      <c r="F1972" s="19">
        <v>7</v>
      </c>
      <c r="G1972" s="30">
        <v>27</v>
      </c>
      <c r="H1972" s="29">
        <v>0.40732638888888889</v>
      </c>
      <c r="I1972" s="35">
        <v>135.74683333333334</v>
      </c>
      <c r="J1972" s="35">
        <v>37.00333333333333</v>
      </c>
      <c r="K1972" s="28">
        <v>40</v>
      </c>
      <c r="L1972" s="28">
        <v>40</v>
      </c>
      <c r="M1972" s="28">
        <v>0</v>
      </c>
      <c r="N1972" s="36">
        <v>18.581900000000001</v>
      </c>
      <c r="O1972" s="35">
        <v>34.361699999999999</v>
      </c>
      <c r="P1972" s="20">
        <v>0.22333409882352884</v>
      </c>
      <c r="Q1972" s="20">
        <v>1.0644112235294116</v>
      </c>
      <c r="R1972" s="26" t="s">
        <v>393</v>
      </c>
      <c r="S1972" s="26"/>
      <c r="T1972" s="71" t="s">
        <v>626</v>
      </c>
    </row>
    <row r="1973" spans="1:20" ht="14" customHeight="1">
      <c r="A1973" s="19" t="s">
        <v>392</v>
      </c>
      <c r="B1973" s="19" t="s">
        <v>370</v>
      </c>
      <c r="C1973" s="19" t="s">
        <v>509</v>
      </c>
      <c r="D1973" s="34">
        <v>43308</v>
      </c>
      <c r="E1973" s="19">
        <v>2018</v>
      </c>
      <c r="F1973" s="19">
        <v>7</v>
      </c>
      <c r="G1973" s="30">
        <v>27</v>
      </c>
      <c r="H1973" s="29">
        <v>0.40802083333333333</v>
      </c>
      <c r="I1973" s="35">
        <v>135.74683333333334</v>
      </c>
      <c r="J1973" s="35">
        <v>37.00333333333333</v>
      </c>
      <c r="K1973" s="28">
        <v>30</v>
      </c>
      <c r="L1973" s="28">
        <v>30</v>
      </c>
      <c r="M1973" s="28">
        <v>0</v>
      </c>
      <c r="N1973" s="36">
        <v>19.956</v>
      </c>
      <c r="O1973" s="35">
        <v>34.206400000000002</v>
      </c>
      <c r="P1973" s="20">
        <v>0.11118163361344502</v>
      </c>
      <c r="Q1973" s="20">
        <v>0.62903367058823534</v>
      </c>
      <c r="R1973" s="26" t="s">
        <v>393</v>
      </c>
      <c r="S1973" s="26"/>
      <c r="T1973" s="71" t="s">
        <v>626</v>
      </c>
    </row>
    <row r="1974" spans="1:20" ht="14" customHeight="1">
      <c r="A1974" s="19" t="s">
        <v>392</v>
      </c>
      <c r="B1974" s="19" t="s">
        <v>370</v>
      </c>
      <c r="C1974" s="19" t="s">
        <v>509</v>
      </c>
      <c r="D1974" s="34">
        <v>43308</v>
      </c>
      <c r="E1974" s="19">
        <v>2018</v>
      </c>
      <c r="F1974" s="19">
        <v>7</v>
      </c>
      <c r="G1974" s="30">
        <v>27</v>
      </c>
      <c r="H1974" s="29">
        <v>0.40908564814814818</v>
      </c>
      <c r="I1974" s="35">
        <v>135.74683333333334</v>
      </c>
      <c r="J1974" s="35">
        <v>37.00333333333333</v>
      </c>
      <c r="K1974" s="28">
        <v>20</v>
      </c>
      <c r="L1974" s="28">
        <v>20</v>
      </c>
      <c r="M1974" s="28">
        <v>0</v>
      </c>
      <c r="N1974" s="36">
        <v>21.0777</v>
      </c>
      <c r="O1974" s="35">
        <v>34.142899999999997</v>
      </c>
      <c r="P1974" s="20">
        <v>9.3788574117646295E-2</v>
      </c>
      <c r="Q1974" s="20">
        <v>0.41126409764706118</v>
      </c>
      <c r="R1974" s="26" t="s">
        <v>393</v>
      </c>
      <c r="S1974" s="26"/>
      <c r="T1974" s="71" t="s">
        <v>626</v>
      </c>
    </row>
    <row r="1975" spans="1:20" ht="14" customHeight="1">
      <c r="A1975" s="19" t="s">
        <v>392</v>
      </c>
      <c r="B1975" s="19" t="s">
        <v>370</v>
      </c>
      <c r="C1975" s="19" t="s">
        <v>509</v>
      </c>
      <c r="D1975" s="34">
        <v>43308</v>
      </c>
      <c r="E1975" s="19">
        <v>2018</v>
      </c>
      <c r="F1975" s="19">
        <v>7</v>
      </c>
      <c r="G1975" s="30">
        <v>27</v>
      </c>
      <c r="H1975" s="29">
        <v>0.40962962962962962</v>
      </c>
      <c r="I1975" s="35">
        <v>135.74683333333334</v>
      </c>
      <c r="J1975" s="35">
        <v>37.00333333333333</v>
      </c>
      <c r="K1975" s="28">
        <v>10</v>
      </c>
      <c r="L1975" s="28">
        <v>10</v>
      </c>
      <c r="M1975" s="28">
        <v>0</v>
      </c>
      <c r="N1975" s="36">
        <v>24.815999999999999</v>
      </c>
      <c r="O1975" s="35">
        <v>34.036000000000001</v>
      </c>
      <c r="P1975" s="20">
        <v>0.12082776470588152</v>
      </c>
      <c r="Q1975" s="20">
        <v>0.18280630588235347</v>
      </c>
      <c r="R1975" s="26" t="s">
        <v>393</v>
      </c>
      <c r="S1975" s="26"/>
      <c r="T1975" s="71" t="s">
        <v>626</v>
      </c>
    </row>
    <row r="1976" spans="1:20" s="14" customFormat="1">
      <c r="A1976" s="19" t="s">
        <v>392</v>
      </c>
      <c r="B1976" s="19" t="s">
        <v>371</v>
      </c>
      <c r="C1976" s="19" t="s">
        <v>509</v>
      </c>
      <c r="D1976" s="34">
        <v>43308</v>
      </c>
      <c r="E1976" s="19">
        <v>2018</v>
      </c>
      <c r="F1976" s="19">
        <v>7</v>
      </c>
      <c r="G1976" s="30">
        <v>27</v>
      </c>
      <c r="H1976" s="29">
        <v>0.28310185185185183</v>
      </c>
      <c r="I1976" s="35">
        <v>135.75899999999999</v>
      </c>
      <c r="J1976" s="35">
        <v>37.25</v>
      </c>
      <c r="K1976" s="28">
        <v>10</v>
      </c>
      <c r="L1976" s="28">
        <v>10</v>
      </c>
      <c r="M1976" s="28">
        <v>0</v>
      </c>
      <c r="N1976" s="36">
        <v>23.447700000000001</v>
      </c>
      <c r="O1976" s="35">
        <v>33.932699999999997</v>
      </c>
      <c r="P1976" s="20">
        <v>-4.0162689075630587E-2</v>
      </c>
      <c r="Q1976" s="20">
        <v>-6.9946489915967192E-2</v>
      </c>
      <c r="R1976" s="26" t="s">
        <v>393</v>
      </c>
      <c r="S1976" s="26"/>
      <c r="T1976" s="71" t="s">
        <v>626</v>
      </c>
    </row>
    <row r="1977" spans="1:20" s="14" customFormat="1">
      <c r="A1977" s="1" t="s">
        <v>439</v>
      </c>
      <c r="B1977" s="1" t="s">
        <v>440</v>
      </c>
      <c r="C1977" s="1" t="s">
        <v>509</v>
      </c>
      <c r="D1977" s="5">
        <v>43339.256111111114</v>
      </c>
      <c r="E1977" s="1">
        <v>2018</v>
      </c>
      <c r="F1977" s="1">
        <v>8</v>
      </c>
      <c r="G1977" s="4">
        <v>27</v>
      </c>
      <c r="H1977" s="8">
        <v>43339.631111111114</v>
      </c>
      <c r="I1977" s="11">
        <v>136.00299999999999</v>
      </c>
      <c r="J1977" s="11">
        <v>38.841999999999999</v>
      </c>
      <c r="K1977" s="27">
        <v>0</v>
      </c>
      <c r="L1977" s="27">
        <v>0</v>
      </c>
      <c r="M1977" s="27">
        <v>0</v>
      </c>
      <c r="N1977" s="32">
        <v>24.8</v>
      </c>
      <c r="O1977" s="11">
        <v>33.873103234589394</v>
      </c>
      <c r="P1977" s="31">
        <v>-0.10340355294117609</v>
      </c>
      <c r="Q1977" s="31">
        <v>-0.83306758352941124</v>
      </c>
      <c r="R1977" s="1" t="s">
        <v>441</v>
      </c>
      <c r="S1977" s="1"/>
      <c r="T1977" s="71" t="s">
        <v>626</v>
      </c>
    </row>
    <row r="1978" spans="1:20" s="14" customFormat="1">
      <c r="A1978" s="1" t="s">
        <v>439</v>
      </c>
      <c r="B1978" s="1" t="s">
        <v>440</v>
      </c>
      <c r="C1978" s="1" t="s">
        <v>509</v>
      </c>
      <c r="D1978" s="5">
        <v>43339.256111111114</v>
      </c>
      <c r="E1978" s="1">
        <v>2018</v>
      </c>
      <c r="F1978" s="1">
        <v>8</v>
      </c>
      <c r="G1978" s="4">
        <v>27</v>
      </c>
      <c r="H1978" s="8">
        <v>43339.631111111114</v>
      </c>
      <c r="I1978" s="11">
        <v>136.00299999999999</v>
      </c>
      <c r="J1978" s="11">
        <v>38.841999999999999</v>
      </c>
      <c r="K1978" s="27">
        <v>20</v>
      </c>
      <c r="L1978" s="27">
        <v>20</v>
      </c>
      <c r="M1978" s="9">
        <v>0</v>
      </c>
      <c r="N1978" s="12">
        <v>24.655000000000001</v>
      </c>
      <c r="O1978" s="11">
        <v>33.859357712528862</v>
      </c>
      <c r="P1978" s="31">
        <v>-7.0107911764706099E-2</v>
      </c>
      <c r="Q1978" s="31">
        <v>-0.66122399411764654</v>
      </c>
      <c r="R1978" s="1" t="s">
        <v>441</v>
      </c>
      <c r="S1978" s="1"/>
      <c r="T1978" s="71" t="s">
        <v>626</v>
      </c>
    </row>
    <row r="1979" spans="1:20" s="14" customFormat="1">
      <c r="A1979" s="1" t="s">
        <v>439</v>
      </c>
      <c r="B1979" s="1" t="s">
        <v>440</v>
      </c>
      <c r="C1979" s="1" t="s">
        <v>509</v>
      </c>
      <c r="D1979" s="5">
        <v>43339.256111111114</v>
      </c>
      <c r="E1979" s="1">
        <v>2018</v>
      </c>
      <c r="F1979" s="1">
        <v>8</v>
      </c>
      <c r="G1979" s="4">
        <v>27</v>
      </c>
      <c r="H1979" s="8">
        <v>43339.631111111114</v>
      </c>
      <c r="I1979" s="11">
        <v>136.00299999999999</v>
      </c>
      <c r="J1979" s="11">
        <v>38.841999999999999</v>
      </c>
      <c r="K1979" s="27">
        <v>50</v>
      </c>
      <c r="L1979" s="27">
        <v>50</v>
      </c>
      <c r="M1979" s="9">
        <v>0</v>
      </c>
      <c r="N1979" s="12">
        <v>20.059000000000001</v>
      </c>
      <c r="O1979" s="11">
        <v>34.16134149151938</v>
      </c>
      <c r="P1979" s="31">
        <v>6.3441729411765291E-2</v>
      </c>
      <c r="Q1979" s="31">
        <v>0.33932459529411929</v>
      </c>
      <c r="R1979" s="1" t="s">
        <v>441</v>
      </c>
      <c r="S1979" s="1"/>
      <c r="T1979" s="71" t="s">
        <v>626</v>
      </c>
    </row>
    <row r="1980" spans="1:20" s="14" customFormat="1">
      <c r="A1980" s="1" t="s">
        <v>439</v>
      </c>
      <c r="B1980" s="1" t="s">
        <v>442</v>
      </c>
      <c r="C1980" s="1" t="s">
        <v>509</v>
      </c>
      <c r="D1980" s="5">
        <v>43340.191666666666</v>
      </c>
      <c r="E1980" s="1">
        <v>2018</v>
      </c>
      <c r="F1980" s="1">
        <v>8</v>
      </c>
      <c r="G1980" s="4">
        <v>28</v>
      </c>
      <c r="H1980" s="8">
        <v>43340.566666666666</v>
      </c>
      <c r="I1980" s="11">
        <v>135.602</v>
      </c>
      <c r="J1980" s="11">
        <v>40.171999999999997</v>
      </c>
      <c r="K1980" s="27">
        <v>0</v>
      </c>
      <c r="L1980" s="27">
        <v>0</v>
      </c>
      <c r="M1980" s="27">
        <v>0</v>
      </c>
      <c r="N1980" s="32">
        <v>21.6</v>
      </c>
      <c r="O1980" s="11">
        <v>34.110821700952137</v>
      </c>
      <c r="P1980" s="31">
        <v>2.2365270588234676E-2</v>
      </c>
      <c r="Q1980" s="31">
        <v>-0.21858451529411838</v>
      </c>
      <c r="R1980" s="1" t="s">
        <v>441</v>
      </c>
      <c r="S1980" s="1"/>
      <c r="T1980" s="71" t="s">
        <v>626</v>
      </c>
    </row>
    <row r="1981" spans="1:20" s="14" customFormat="1">
      <c r="A1981" s="1" t="s">
        <v>439</v>
      </c>
      <c r="B1981" s="1" t="s">
        <v>442</v>
      </c>
      <c r="C1981" s="1" t="s">
        <v>509</v>
      </c>
      <c r="D1981" s="5">
        <v>43340.191666666666</v>
      </c>
      <c r="E1981" s="1">
        <v>2018</v>
      </c>
      <c r="F1981" s="1">
        <v>8</v>
      </c>
      <c r="G1981" s="4">
        <v>28</v>
      </c>
      <c r="H1981" s="8">
        <v>43340.566666666666</v>
      </c>
      <c r="I1981" s="11">
        <v>135.602</v>
      </c>
      <c r="J1981" s="11">
        <v>40.171999999999997</v>
      </c>
      <c r="K1981" s="27">
        <v>20</v>
      </c>
      <c r="L1981" s="27">
        <v>20</v>
      </c>
      <c r="M1981" s="9">
        <v>0</v>
      </c>
      <c r="N1981" s="12">
        <v>19.138999999999999</v>
      </c>
      <c r="O1981" s="11">
        <v>34.09856339906581</v>
      </c>
      <c r="P1981" s="31">
        <v>3.1415811764705648E-2</v>
      </c>
      <c r="Q1981" s="31">
        <v>-0.11484242588235283</v>
      </c>
      <c r="R1981" s="1" t="s">
        <v>441</v>
      </c>
      <c r="S1981" s="1"/>
      <c r="T1981" s="71" t="s">
        <v>626</v>
      </c>
    </row>
    <row r="1982" spans="1:20" s="14" customFormat="1">
      <c r="A1982" s="1" t="s">
        <v>439</v>
      </c>
      <c r="B1982" s="1" t="s">
        <v>442</v>
      </c>
      <c r="C1982" s="1" t="s">
        <v>509</v>
      </c>
      <c r="D1982" s="5">
        <v>43340.191666666666</v>
      </c>
      <c r="E1982" s="1">
        <v>2018</v>
      </c>
      <c r="F1982" s="1">
        <v>8</v>
      </c>
      <c r="G1982" s="4">
        <v>28</v>
      </c>
      <c r="H1982" s="8">
        <v>43340.566666666666</v>
      </c>
      <c r="I1982" s="11">
        <v>135.602</v>
      </c>
      <c r="J1982" s="11">
        <v>40.171999999999997</v>
      </c>
      <c r="K1982" s="27">
        <v>50</v>
      </c>
      <c r="L1982" s="27">
        <v>50</v>
      </c>
      <c r="M1982" s="9">
        <v>0</v>
      </c>
      <c r="N1982" s="12">
        <v>7.2930000000000001</v>
      </c>
      <c r="O1982" s="11">
        <v>34.135631714505742</v>
      </c>
      <c r="P1982" s="31">
        <v>3.678355294117619E-2</v>
      </c>
      <c r="Q1982" s="31">
        <v>-1.956789647059054E-2</v>
      </c>
      <c r="R1982" s="1" t="s">
        <v>441</v>
      </c>
      <c r="S1982" s="1"/>
      <c r="T1982" s="71" t="s">
        <v>626</v>
      </c>
    </row>
    <row r="1983" spans="1:20" s="14" customFormat="1">
      <c r="A1983" s="1" t="s">
        <v>439</v>
      </c>
      <c r="B1983" s="1" t="s">
        <v>216</v>
      </c>
      <c r="C1983" s="1" t="s">
        <v>508</v>
      </c>
      <c r="D1983" s="5">
        <v>43339.368657407409</v>
      </c>
      <c r="E1983" s="1">
        <v>2018</v>
      </c>
      <c r="F1983" s="1">
        <v>8</v>
      </c>
      <c r="G1983" s="4">
        <v>27</v>
      </c>
      <c r="H1983" s="8">
        <v>43339.743657407409</v>
      </c>
      <c r="I1983" s="11">
        <v>135.75700000000001</v>
      </c>
      <c r="J1983" s="11">
        <v>38.643999999999998</v>
      </c>
      <c r="K1983" s="27">
        <v>0</v>
      </c>
      <c r="L1983" s="27">
        <v>0</v>
      </c>
      <c r="M1983" s="27">
        <v>0</v>
      </c>
      <c r="N1983" s="32">
        <v>24.5</v>
      </c>
      <c r="O1983" s="11">
        <v>33.659942325689244</v>
      </c>
      <c r="P1983" s="31">
        <v>-9.192188235294152E-2</v>
      </c>
      <c r="Q1983" s="31">
        <v>-0.83613721882352721</v>
      </c>
      <c r="R1983" s="1" t="s">
        <v>441</v>
      </c>
      <c r="S1983" s="1"/>
      <c r="T1983" s="71" t="s">
        <v>626</v>
      </c>
    </row>
    <row r="1984" spans="1:20" s="14" customFormat="1">
      <c r="A1984" s="1" t="s">
        <v>439</v>
      </c>
      <c r="B1984" s="1" t="s">
        <v>216</v>
      </c>
      <c r="C1984" s="1" t="s">
        <v>508</v>
      </c>
      <c r="D1984" s="5">
        <v>43339.368657407409</v>
      </c>
      <c r="E1984" s="1">
        <v>2018</v>
      </c>
      <c r="F1984" s="1">
        <v>8</v>
      </c>
      <c r="G1984" s="4">
        <v>27</v>
      </c>
      <c r="H1984" s="8">
        <v>43339.743657407409</v>
      </c>
      <c r="I1984" s="11">
        <v>135.75700000000001</v>
      </c>
      <c r="J1984" s="11">
        <v>38.643999999999998</v>
      </c>
      <c r="K1984" s="27">
        <v>20</v>
      </c>
      <c r="L1984" s="27">
        <v>20</v>
      </c>
      <c r="M1984" s="9">
        <v>0</v>
      </c>
      <c r="N1984" s="12">
        <v>24.626999999999999</v>
      </c>
      <c r="O1984" s="11">
        <v>33.701305473077554</v>
      </c>
      <c r="P1984" s="31">
        <v>-8.2052941176470551E-2</v>
      </c>
      <c r="Q1984" s="31">
        <v>-0.72156452941176319</v>
      </c>
      <c r="R1984" s="1" t="s">
        <v>441</v>
      </c>
      <c r="S1984" s="1"/>
      <c r="T1984" s="71" t="s">
        <v>626</v>
      </c>
    </row>
    <row r="1985" spans="1:20" s="14" customFormat="1">
      <c r="A1985" s="1" t="s">
        <v>439</v>
      </c>
      <c r="B1985" s="1" t="s">
        <v>216</v>
      </c>
      <c r="C1985" s="1" t="s">
        <v>508</v>
      </c>
      <c r="D1985" s="5">
        <v>43339.368657407409</v>
      </c>
      <c r="E1985" s="1">
        <v>2018</v>
      </c>
      <c r="F1985" s="1">
        <v>8</v>
      </c>
      <c r="G1985" s="4">
        <v>27</v>
      </c>
      <c r="H1985" s="8">
        <v>43339.743657407409</v>
      </c>
      <c r="I1985" s="11">
        <v>135.75700000000001</v>
      </c>
      <c r="J1985" s="11">
        <v>38.643999999999998</v>
      </c>
      <c r="K1985" s="27">
        <v>50</v>
      </c>
      <c r="L1985" s="27">
        <v>50</v>
      </c>
      <c r="M1985" s="9">
        <v>0</v>
      </c>
      <c r="N1985" s="12">
        <v>19.568000000000001</v>
      </c>
      <c r="O1985" s="11">
        <v>34.315688711595328</v>
      </c>
      <c r="P1985" s="31">
        <v>8.351659999999983E-2</v>
      </c>
      <c r="Q1985" s="31">
        <v>0.69937544000000251</v>
      </c>
      <c r="R1985" s="1" t="s">
        <v>441</v>
      </c>
      <c r="S1985" s="1"/>
      <c r="T1985" s="71" t="s">
        <v>626</v>
      </c>
    </row>
    <row r="1986" spans="1:20" s="14" customFormat="1">
      <c r="A1986" s="1" t="s">
        <v>439</v>
      </c>
      <c r="B1986" s="1" t="s">
        <v>218</v>
      </c>
      <c r="C1986" s="1" t="s">
        <v>508</v>
      </c>
      <c r="D1986" s="5">
        <v>43340.355000000003</v>
      </c>
      <c r="E1986" s="1">
        <v>2018</v>
      </c>
      <c r="F1986" s="1">
        <v>8</v>
      </c>
      <c r="G1986" s="4">
        <v>28</v>
      </c>
      <c r="H1986" s="8">
        <v>43340.73</v>
      </c>
      <c r="I1986" s="11">
        <v>135.76400000000001</v>
      </c>
      <c r="J1986" s="11">
        <v>40.037999999999997</v>
      </c>
      <c r="K1986" s="27">
        <v>0</v>
      </c>
      <c r="L1986" s="27">
        <v>0</v>
      </c>
      <c r="M1986" s="27">
        <v>0</v>
      </c>
      <c r="N1986" s="32">
        <v>22.9</v>
      </c>
      <c r="O1986" s="11">
        <v>34.083912700915164</v>
      </c>
      <c r="P1986" s="31">
        <v>-9.3236588235288131E-3</v>
      </c>
      <c r="Q1986" s="31">
        <v>-0.27088415058823401</v>
      </c>
      <c r="R1986" s="1" t="s">
        <v>441</v>
      </c>
      <c r="S1986" s="1"/>
      <c r="T1986" s="71" t="s">
        <v>626</v>
      </c>
    </row>
    <row r="1987" spans="1:20" s="14" customFormat="1">
      <c r="A1987" s="1" t="s">
        <v>439</v>
      </c>
      <c r="B1987" s="1" t="s">
        <v>218</v>
      </c>
      <c r="C1987" s="1" t="s">
        <v>508</v>
      </c>
      <c r="D1987" s="5">
        <v>43340.355000000003</v>
      </c>
      <c r="E1987" s="1">
        <v>2018</v>
      </c>
      <c r="F1987" s="1">
        <v>8</v>
      </c>
      <c r="G1987" s="4">
        <v>28</v>
      </c>
      <c r="H1987" s="8">
        <v>43340.73</v>
      </c>
      <c r="I1987" s="11">
        <v>135.76400000000001</v>
      </c>
      <c r="J1987" s="11">
        <v>40.037999999999997</v>
      </c>
      <c r="K1987" s="27">
        <v>20</v>
      </c>
      <c r="L1987" s="27">
        <v>20</v>
      </c>
      <c r="M1987" s="9">
        <v>0</v>
      </c>
      <c r="N1987" s="12">
        <v>22.42</v>
      </c>
      <c r="O1987" s="11">
        <v>34.087268123967732</v>
      </c>
      <c r="P1987" s="31">
        <v>-5.9197917647058951E-2</v>
      </c>
      <c r="Q1987" s="31">
        <v>-0.51234282117647112</v>
      </c>
      <c r="R1987" s="1" t="s">
        <v>441</v>
      </c>
      <c r="S1987" s="1"/>
      <c r="T1987" s="71" t="s">
        <v>626</v>
      </c>
    </row>
    <row r="1988" spans="1:20" s="14" customFormat="1">
      <c r="A1988" s="1" t="s">
        <v>439</v>
      </c>
      <c r="B1988" s="1" t="s">
        <v>218</v>
      </c>
      <c r="C1988" s="1" t="s">
        <v>508</v>
      </c>
      <c r="D1988" s="5">
        <v>43340.355000000003</v>
      </c>
      <c r="E1988" s="1">
        <v>2018</v>
      </c>
      <c r="F1988" s="1">
        <v>8</v>
      </c>
      <c r="G1988" s="4">
        <v>28</v>
      </c>
      <c r="H1988" s="8">
        <v>43340.73</v>
      </c>
      <c r="I1988" s="11">
        <v>135.76400000000001</v>
      </c>
      <c r="J1988" s="11">
        <v>40.037999999999997</v>
      </c>
      <c r="K1988" s="27">
        <v>50</v>
      </c>
      <c r="L1988" s="27">
        <v>50</v>
      </c>
      <c r="M1988" s="9">
        <v>0</v>
      </c>
      <c r="N1988" s="12">
        <v>5.2770000000000001</v>
      </c>
      <c r="O1988" s="11">
        <v>33.981295727561374</v>
      </c>
      <c r="P1988" s="31">
        <v>-8.2269576470588301E-2</v>
      </c>
      <c r="Q1988" s="31">
        <v>-0.93496789176470685</v>
      </c>
      <c r="R1988" s="1" t="s">
        <v>441</v>
      </c>
      <c r="S1988" s="1"/>
      <c r="T1988" s="71" t="s">
        <v>626</v>
      </c>
    </row>
    <row r="1989" spans="1:20" s="14" customFormat="1">
      <c r="A1989" s="1" t="s">
        <v>439</v>
      </c>
      <c r="B1989" s="1" t="s">
        <v>219</v>
      </c>
      <c r="C1989" s="1" t="s">
        <v>508</v>
      </c>
      <c r="D1989" s="5">
        <v>43340.50273148148</v>
      </c>
      <c r="E1989" s="1">
        <v>2018</v>
      </c>
      <c r="F1989" s="1">
        <v>8</v>
      </c>
      <c r="G1989" s="4">
        <v>28</v>
      </c>
      <c r="H1989" s="8">
        <v>43340.87773148148</v>
      </c>
      <c r="I1989" s="11">
        <v>135.90600000000001</v>
      </c>
      <c r="J1989" s="11">
        <v>39.835000000000001</v>
      </c>
      <c r="K1989" s="27">
        <v>0</v>
      </c>
      <c r="L1989" s="27">
        <v>0</v>
      </c>
      <c r="M1989" s="27">
        <v>0</v>
      </c>
      <c r="N1989" s="32">
        <v>22.5</v>
      </c>
      <c r="O1989" s="11">
        <v>33.938831786197092</v>
      </c>
      <c r="P1989" s="31">
        <v>-0.10475666386554661</v>
      </c>
      <c r="Q1989" s="31">
        <v>-1.0009427109243685</v>
      </c>
      <c r="R1989" s="1" t="s">
        <v>441</v>
      </c>
      <c r="S1989" s="1"/>
      <c r="T1989" s="71" t="s">
        <v>626</v>
      </c>
    </row>
    <row r="1990" spans="1:20" s="17" customFormat="1">
      <c r="A1990" s="1" t="s">
        <v>439</v>
      </c>
      <c r="B1990" s="1" t="s">
        <v>219</v>
      </c>
      <c r="C1990" s="1" t="s">
        <v>508</v>
      </c>
      <c r="D1990" s="5">
        <v>43340.50273148148</v>
      </c>
      <c r="E1990" s="1">
        <v>2018</v>
      </c>
      <c r="F1990" s="1">
        <v>8</v>
      </c>
      <c r="G1990" s="4">
        <v>28</v>
      </c>
      <c r="H1990" s="8">
        <v>43340.87773148148</v>
      </c>
      <c r="I1990" s="11">
        <v>135.90600000000001</v>
      </c>
      <c r="J1990" s="11">
        <v>39.835000000000001</v>
      </c>
      <c r="K1990" s="27">
        <v>20</v>
      </c>
      <c r="L1990" s="27">
        <v>20</v>
      </c>
      <c r="M1990" s="9">
        <v>0</v>
      </c>
      <c r="N1990" s="12">
        <v>20.32</v>
      </c>
      <c r="O1990" s="11">
        <v>33.904390206745639</v>
      </c>
      <c r="P1990" s="31">
        <v>-0.11388629411764728</v>
      </c>
      <c r="Q1990" s="31">
        <v>-0.92637291294117574</v>
      </c>
      <c r="R1990" s="1" t="s">
        <v>441</v>
      </c>
      <c r="S1990" s="1"/>
      <c r="T1990" s="71" t="s">
        <v>626</v>
      </c>
    </row>
    <row r="1991" spans="1:20" s="17" customFormat="1">
      <c r="A1991" s="1" t="s">
        <v>439</v>
      </c>
      <c r="B1991" s="1" t="s">
        <v>219</v>
      </c>
      <c r="C1991" s="1" t="s">
        <v>508</v>
      </c>
      <c r="D1991" s="5">
        <v>43340.50273148148</v>
      </c>
      <c r="E1991" s="1">
        <v>2018</v>
      </c>
      <c r="F1991" s="1">
        <v>8</v>
      </c>
      <c r="G1991" s="4">
        <v>28</v>
      </c>
      <c r="H1991" s="8">
        <v>43340.87773148148</v>
      </c>
      <c r="I1991" s="11">
        <v>135.90600000000001</v>
      </c>
      <c r="J1991" s="11">
        <v>39.835000000000001</v>
      </c>
      <c r="K1991" s="27">
        <v>50</v>
      </c>
      <c r="L1991" s="27">
        <v>50</v>
      </c>
      <c r="M1991" s="9">
        <v>0</v>
      </c>
      <c r="N1991" s="12">
        <v>5.9720000000000004</v>
      </c>
      <c r="O1991" s="11">
        <v>34.124490503724196</v>
      </c>
      <c r="P1991" s="31">
        <v>-4.0289647058822986E-2</v>
      </c>
      <c r="Q1991" s="31">
        <v>-0.17306991764706048</v>
      </c>
      <c r="R1991" s="1" t="s">
        <v>441</v>
      </c>
      <c r="S1991" s="1"/>
      <c r="T1991" s="71" t="s">
        <v>626</v>
      </c>
    </row>
    <row r="1992" spans="1:20" s="17" customFormat="1">
      <c r="A1992" s="1" t="s">
        <v>439</v>
      </c>
      <c r="B1992" s="1" t="s">
        <v>460</v>
      </c>
      <c r="C1992" s="1" t="s">
        <v>508</v>
      </c>
      <c r="D1992" s="5">
        <v>43341.359560185185</v>
      </c>
      <c r="E1992" s="1">
        <v>2018</v>
      </c>
      <c r="F1992" s="1">
        <v>8</v>
      </c>
      <c r="G1992" s="4">
        <v>29</v>
      </c>
      <c r="H1992" s="8">
        <v>43341.734560185185</v>
      </c>
      <c r="I1992" s="11">
        <v>135.80000000000001</v>
      </c>
      <c r="J1992" s="11">
        <v>39.366</v>
      </c>
      <c r="K1992" s="27">
        <v>0</v>
      </c>
      <c r="L1992" s="27">
        <v>0</v>
      </c>
      <c r="M1992" s="27">
        <v>0</v>
      </c>
      <c r="N1992" s="32">
        <v>24.7</v>
      </c>
      <c r="O1992" s="11">
        <v>34.1359740606473</v>
      </c>
      <c r="P1992" s="31">
        <v>-6.8851764705875063E-3</v>
      </c>
      <c r="Q1992" s="31">
        <v>-0.15193686117647154</v>
      </c>
      <c r="R1992" s="1" t="s">
        <v>441</v>
      </c>
      <c r="S1992" s="1"/>
      <c r="T1992" s="71" t="s">
        <v>626</v>
      </c>
    </row>
    <row r="1993" spans="1:20" s="17" customFormat="1">
      <c r="A1993" s="1" t="s">
        <v>439</v>
      </c>
      <c r="B1993" s="1" t="s">
        <v>460</v>
      </c>
      <c r="C1993" s="1" t="s">
        <v>508</v>
      </c>
      <c r="D1993" s="5">
        <v>43341.359560185185</v>
      </c>
      <c r="E1993" s="1">
        <v>2018</v>
      </c>
      <c r="F1993" s="1">
        <v>8</v>
      </c>
      <c r="G1993" s="4">
        <v>29</v>
      </c>
      <c r="H1993" s="8">
        <v>43341.734560185185</v>
      </c>
      <c r="I1993" s="11">
        <v>135.80000000000001</v>
      </c>
      <c r="J1993" s="11">
        <v>39.366</v>
      </c>
      <c r="K1993" s="27">
        <v>20</v>
      </c>
      <c r="L1993" s="27">
        <v>20</v>
      </c>
      <c r="M1993" s="9">
        <v>0</v>
      </c>
      <c r="N1993" s="12">
        <v>22.766999999999999</v>
      </c>
      <c r="O1993" s="11">
        <v>34.158607923280549</v>
      </c>
      <c r="P1993" s="31">
        <v>3.4500254117647344E-2</v>
      </c>
      <c r="Q1993" s="31">
        <v>0.20795143529411675</v>
      </c>
      <c r="R1993" s="1" t="s">
        <v>441</v>
      </c>
      <c r="S1993" s="1"/>
      <c r="T1993" s="71" t="s">
        <v>626</v>
      </c>
    </row>
    <row r="1994" spans="1:20" s="17" customFormat="1">
      <c r="A1994" s="1" t="s">
        <v>439</v>
      </c>
      <c r="B1994" s="1" t="s">
        <v>460</v>
      </c>
      <c r="C1994" s="1" t="s">
        <v>508</v>
      </c>
      <c r="D1994" s="5">
        <v>43341.359560185185</v>
      </c>
      <c r="E1994" s="1">
        <v>2018</v>
      </c>
      <c r="F1994" s="1">
        <v>8</v>
      </c>
      <c r="G1994" s="4">
        <v>29</v>
      </c>
      <c r="H1994" s="8">
        <v>43341.734560185185</v>
      </c>
      <c r="I1994" s="11">
        <v>135.80000000000001</v>
      </c>
      <c r="J1994" s="11">
        <v>39.366</v>
      </c>
      <c r="K1994" s="27">
        <v>50</v>
      </c>
      <c r="L1994" s="27">
        <v>50</v>
      </c>
      <c r="M1994" s="9">
        <v>0</v>
      </c>
      <c r="N1994" s="12">
        <v>13.847</v>
      </c>
      <c r="O1994" s="11">
        <v>34.454076789068239</v>
      </c>
      <c r="P1994" s="31">
        <v>0.15651384470588248</v>
      </c>
      <c r="Q1994" s="31">
        <v>0.98546697176470666</v>
      </c>
      <c r="R1994" s="1" t="s">
        <v>441</v>
      </c>
      <c r="S1994" s="1"/>
      <c r="T1994" s="71" t="s">
        <v>626</v>
      </c>
    </row>
    <row r="1995" spans="1:20" s="17" customFormat="1">
      <c r="A1995" s="1" t="s">
        <v>439</v>
      </c>
      <c r="B1995" s="1" t="s">
        <v>461</v>
      </c>
      <c r="C1995" s="1" t="s">
        <v>508</v>
      </c>
      <c r="D1995" s="5">
        <v>43341.501226851855</v>
      </c>
      <c r="E1995" s="1">
        <v>2018</v>
      </c>
      <c r="F1995" s="1">
        <v>8</v>
      </c>
      <c r="G1995" s="4">
        <v>29</v>
      </c>
      <c r="H1995" s="8">
        <v>43341.876226851855</v>
      </c>
      <c r="I1995" s="11">
        <v>135.613</v>
      </c>
      <c r="J1995" s="11">
        <v>39.201999999999998</v>
      </c>
      <c r="K1995" s="27">
        <v>0</v>
      </c>
      <c r="L1995" s="27">
        <v>0</v>
      </c>
      <c r="M1995" s="27">
        <v>0</v>
      </c>
      <c r="N1995" s="32">
        <v>25.2</v>
      </c>
      <c r="O1995" s="11">
        <v>33.817872670522306</v>
      </c>
      <c r="P1995" s="31">
        <v>-0.13320824470588177</v>
      </c>
      <c r="Q1995" s="31">
        <v>-0.99872057176470541</v>
      </c>
      <c r="R1995" s="1" t="s">
        <v>441</v>
      </c>
      <c r="S1995" s="1"/>
      <c r="T1995" s="71" t="s">
        <v>626</v>
      </c>
    </row>
    <row r="1996" spans="1:20" s="17" customFormat="1">
      <c r="A1996" s="1" t="s">
        <v>439</v>
      </c>
      <c r="B1996" s="1" t="s">
        <v>461</v>
      </c>
      <c r="C1996" s="1" t="s">
        <v>508</v>
      </c>
      <c r="D1996" s="5">
        <v>43341.501226851855</v>
      </c>
      <c r="E1996" s="1">
        <v>2018</v>
      </c>
      <c r="F1996" s="1">
        <v>8</v>
      </c>
      <c r="G1996" s="4">
        <v>29</v>
      </c>
      <c r="H1996" s="8">
        <v>43341.876226851855</v>
      </c>
      <c r="I1996" s="11">
        <v>135.613</v>
      </c>
      <c r="J1996" s="11">
        <v>39.201999999999998</v>
      </c>
      <c r="K1996" s="27">
        <v>20</v>
      </c>
      <c r="L1996" s="27">
        <v>20</v>
      </c>
      <c r="M1996" s="9">
        <v>0</v>
      </c>
      <c r="N1996" s="12">
        <v>20.581</v>
      </c>
      <c r="O1996" s="11">
        <v>34.205606972739879</v>
      </c>
      <c r="P1996" s="31">
        <v>8.6418625882353162E-2</v>
      </c>
      <c r="Q1996" s="31">
        <v>0.44467182470588362</v>
      </c>
      <c r="R1996" s="1" t="s">
        <v>441</v>
      </c>
      <c r="S1996" s="1"/>
      <c r="T1996" s="71" t="s">
        <v>626</v>
      </c>
    </row>
    <row r="1997" spans="1:20" s="17" customFormat="1">
      <c r="A1997" s="1" t="s">
        <v>439</v>
      </c>
      <c r="B1997" s="1" t="s">
        <v>461</v>
      </c>
      <c r="C1997" s="1" t="s">
        <v>508</v>
      </c>
      <c r="D1997" s="5">
        <v>43341.501226851855</v>
      </c>
      <c r="E1997" s="1">
        <v>2018</v>
      </c>
      <c r="F1997" s="1">
        <v>8</v>
      </c>
      <c r="G1997" s="4">
        <v>29</v>
      </c>
      <c r="H1997" s="8">
        <v>43341.876226851855</v>
      </c>
      <c r="I1997" s="11">
        <v>135.613</v>
      </c>
      <c r="J1997" s="11">
        <v>39.201999999999998</v>
      </c>
      <c r="K1997" s="27">
        <v>50</v>
      </c>
      <c r="L1997" s="27">
        <v>50</v>
      </c>
      <c r="M1997" s="9">
        <v>0</v>
      </c>
      <c r="N1997" s="12">
        <v>16.158999999999999</v>
      </c>
      <c r="O1997" s="11">
        <v>34.520188074206956</v>
      </c>
      <c r="P1997" s="31">
        <v>0.16116037647058867</v>
      </c>
      <c r="Q1997" s="31">
        <v>1.1192594011764729</v>
      </c>
      <c r="R1997" s="1" t="s">
        <v>441</v>
      </c>
      <c r="S1997" s="1"/>
      <c r="T1997" s="71" t="s">
        <v>626</v>
      </c>
    </row>
    <row r="1998" spans="1:20" s="17" customFormat="1">
      <c r="A1998" s="1" t="s">
        <v>439</v>
      </c>
      <c r="B1998" s="1" t="s">
        <v>222</v>
      </c>
      <c r="C1998" s="1" t="s">
        <v>508</v>
      </c>
      <c r="D1998" s="5">
        <v>43342.355925925927</v>
      </c>
      <c r="E1998" s="1">
        <v>2018</v>
      </c>
      <c r="F1998" s="1">
        <v>8</v>
      </c>
      <c r="G1998" s="4">
        <v>30</v>
      </c>
      <c r="H1998" s="8">
        <v>43342.730925925927</v>
      </c>
      <c r="I1998" s="11">
        <v>135.97499999999999</v>
      </c>
      <c r="J1998" s="11">
        <v>37.700000000000003</v>
      </c>
      <c r="K1998" s="27">
        <v>0</v>
      </c>
      <c r="L1998" s="27">
        <v>0</v>
      </c>
      <c r="M1998" s="27">
        <v>0</v>
      </c>
      <c r="N1998" s="32">
        <v>26.2</v>
      </c>
      <c r="O1998" s="11">
        <v>33.421704611300932</v>
      </c>
      <c r="P1998" s="31">
        <v>-0.22070990117647016</v>
      </c>
      <c r="Q1998" s="31">
        <v>-1.7231482929411763</v>
      </c>
      <c r="R1998" s="1" t="s">
        <v>441</v>
      </c>
      <c r="S1998" s="1"/>
      <c r="T1998" s="71" t="s">
        <v>626</v>
      </c>
    </row>
    <row r="1999" spans="1:20" s="17" customFormat="1">
      <c r="A1999" s="1" t="s">
        <v>439</v>
      </c>
      <c r="B1999" s="1" t="s">
        <v>222</v>
      </c>
      <c r="C1999" s="1" t="s">
        <v>508</v>
      </c>
      <c r="D1999" s="5">
        <v>43342.355925925927</v>
      </c>
      <c r="E1999" s="1">
        <v>2018</v>
      </c>
      <c r="F1999" s="1">
        <v>8</v>
      </c>
      <c r="G1999" s="4">
        <v>30</v>
      </c>
      <c r="H1999" s="8">
        <v>43342.730925925927</v>
      </c>
      <c r="I1999" s="11">
        <v>135.97499999999999</v>
      </c>
      <c r="J1999" s="11">
        <v>37.700000000000003</v>
      </c>
      <c r="K1999" s="27">
        <v>20</v>
      </c>
      <c r="L1999" s="27">
        <v>20</v>
      </c>
      <c r="M1999" s="9">
        <v>0</v>
      </c>
      <c r="N1999" s="12">
        <v>24.152000000000001</v>
      </c>
      <c r="O1999" s="11">
        <v>33.460286384382101</v>
      </c>
      <c r="P1999" s="31">
        <v>-0.18904487058823505</v>
      </c>
      <c r="Q1999" s="31">
        <v>-1.4226111764705864</v>
      </c>
      <c r="R1999" s="1" t="s">
        <v>441</v>
      </c>
      <c r="S1999" s="1"/>
      <c r="T1999" s="71" t="s">
        <v>626</v>
      </c>
    </row>
    <row r="2000" spans="1:20" s="17" customFormat="1">
      <c r="A2000" s="1" t="s">
        <v>439</v>
      </c>
      <c r="B2000" s="1" t="s">
        <v>222</v>
      </c>
      <c r="C2000" s="1" t="s">
        <v>508</v>
      </c>
      <c r="D2000" s="5">
        <v>43342.355925925927</v>
      </c>
      <c r="E2000" s="1">
        <v>2018</v>
      </c>
      <c r="F2000" s="1">
        <v>8</v>
      </c>
      <c r="G2000" s="4">
        <v>30</v>
      </c>
      <c r="H2000" s="8">
        <v>43342.730925925927</v>
      </c>
      <c r="I2000" s="11">
        <v>135.97499999999999</v>
      </c>
      <c r="J2000" s="11">
        <v>37.700000000000003</v>
      </c>
      <c r="K2000" s="27">
        <v>50</v>
      </c>
      <c r="L2000" s="27">
        <v>50</v>
      </c>
      <c r="M2000" s="9">
        <v>0</v>
      </c>
      <c r="N2000" s="12">
        <v>15.052</v>
      </c>
      <c r="O2000" s="11">
        <v>34.403019858008534</v>
      </c>
      <c r="P2000" s="31">
        <v>9.9648000000000181E-2</v>
      </c>
      <c r="Q2000" s="31">
        <v>0.85268364000000041</v>
      </c>
      <c r="R2000" s="1" t="s">
        <v>441</v>
      </c>
      <c r="S2000" s="1"/>
      <c r="T2000" s="71" t="s">
        <v>626</v>
      </c>
    </row>
    <row r="2001" spans="1:20" s="17" customFormat="1">
      <c r="A2001" s="1" t="s">
        <v>439</v>
      </c>
      <c r="B2001" s="1" t="s">
        <v>223</v>
      </c>
      <c r="C2001" s="1" t="s">
        <v>508</v>
      </c>
      <c r="D2001" s="5">
        <v>43342.520451388889</v>
      </c>
      <c r="E2001" s="1">
        <v>2018</v>
      </c>
      <c r="F2001" s="1">
        <v>8</v>
      </c>
      <c r="G2001" s="4">
        <v>30</v>
      </c>
      <c r="H2001" s="8">
        <v>43342.895451388889</v>
      </c>
      <c r="I2001" s="11">
        <v>135.75700000000001</v>
      </c>
      <c r="J2001" s="11">
        <v>37.881</v>
      </c>
      <c r="K2001" s="27">
        <v>0</v>
      </c>
      <c r="L2001" s="27">
        <v>0</v>
      </c>
      <c r="M2001" s="27">
        <v>0</v>
      </c>
      <c r="N2001" s="32">
        <v>25.3</v>
      </c>
      <c r="O2001" s="11">
        <v>33.459682547273601</v>
      </c>
      <c r="P2001" s="31">
        <v>-0.25801456941176459</v>
      </c>
      <c r="Q2001" s="31">
        <v>-1.8845343235294125</v>
      </c>
      <c r="R2001" s="1" t="s">
        <v>441</v>
      </c>
      <c r="S2001" s="1"/>
      <c r="T2001" s="71" t="s">
        <v>626</v>
      </c>
    </row>
    <row r="2002" spans="1:20" s="17" customFormat="1">
      <c r="A2002" s="1" t="s">
        <v>439</v>
      </c>
      <c r="B2002" s="1" t="s">
        <v>223</v>
      </c>
      <c r="C2002" s="1" t="s">
        <v>508</v>
      </c>
      <c r="D2002" s="5">
        <v>43342.520451388889</v>
      </c>
      <c r="E2002" s="1">
        <v>2018</v>
      </c>
      <c r="F2002" s="1">
        <v>8</v>
      </c>
      <c r="G2002" s="4">
        <v>30</v>
      </c>
      <c r="H2002" s="8">
        <v>43342.895451388889</v>
      </c>
      <c r="I2002" s="11">
        <v>135.75700000000001</v>
      </c>
      <c r="J2002" s="11">
        <v>37.881</v>
      </c>
      <c r="K2002" s="27">
        <v>20</v>
      </c>
      <c r="L2002" s="27">
        <v>20</v>
      </c>
      <c r="M2002" s="9">
        <v>0</v>
      </c>
      <c r="N2002" s="12">
        <v>24.033999999999999</v>
      </c>
      <c r="O2002" s="11">
        <v>33.61987440935733</v>
      </c>
      <c r="P2002" s="31">
        <v>-0.15012113882352929</v>
      </c>
      <c r="Q2002" s="31">
        <v>-1.0760615270588225</v>
      </c>
      <c r="R2002" s="1" t="s">
        <v>441</v>
      </c>
      <c r="S2002" s="1"/>
      <c r="T2002" s="71" t="s">
        <v>626</v>
      </c>
    </row>
    <row r="2003" spans="1:20" s="17" customFormat="1">
      <c r="A2003" s="1" t="s">
        <v>439</v>
      </c>
      <c r="B2003" s="1" t="s">
        <v>223</v>
      </c>
      <c r="C2003" s="1" t="s">
        <v>508</v>
      </c>
      <c r="D2003" s="5">
        <v>43342.520451388889</v>
      </c>
      <c r="E2003" s="1">
        <v>2018</v>
      </c>
      <c r="F2003" s="1">
        <v>8</v>
      </c>
      <c r="G2003" s="4">
        <v>30</v>
      </c>
      <c r="H2003" s="8">
        <v>43342.895451388889</v>
      </c>
      <c r="I2003" s="11">
        <v>135.75700000000001</v>
      </c>
      <c r="J2003" s="11">
        <v>37.881</v>
      </c>
      <c r="K2003" s="27">
        <v>50</v>
      </c>
      <c r="L2003" s="27">
        <v>50</v>
      </c>
      <c r="M2003" s="9">
        <v>0</v>
      </c>
      <c r="N2003" s="12">
        <v>14.1</v>
      </c>
      <c r="O2003" s="11">
        <v>34.373721840195053</v>
      </c>
      <c r="P2003" s="31">
        <v>0.19761037176470619</v>
      </c>
      <c r="Q2003" s="31">
        <v>0.86935114941176472</v>
      </c>
      <c r="R2003" s="1" t="s">
        <v>441</v>
      </c>
      <c r="S2003" s="1"/>
      <c r="T2003" s="71" t="s">
        <v>626</v>
      </c>
    </row>
    <row r="2004" spans="1:20" s="17" customFormat="1">
      <c r="A2004" s="1" t="s">
        <v>439</v>
      </c>
      <c r="B2004" s="1" t="s">
        <v>226</v>
      </c>
      <c r="C2004" s="1" t="s">
        <v>508</v>
      </c>
      <c r="D2004" s="5">
        <v>43343.365277777775</v>
      </c>
      <c r="E2004" s="1">
        <v>2018</v>
      </c>
      <c r="F2004" s="1">
        <v>8</v>
      </c>
      <c r="G2004" s="4">
        <v>31</v>
      </c>
      <c r="H2004" s="8">
        <v>43343.740277777775</v>
      </c>
      <c r="I2004" s="11">
        <v>135.76</v>
      </c>
      <c r="J2004" s="11">
        <v>37.136000000000003</v>
      </c>
      <c r="K2004" s="27">
        <v>0</v>
      </c>
      <c r="L2004" s="27">
        <v>0</v>
      </c>
      <c r="M2004" s="27">
        <v>0</v>
      </c>
      <c r="N2004" s="32">
        <v>25.4</v>
      </c>
      <c r="O2004" s="11">
        <v>33.201400468988766</v>
      </c>
      <c r="P2004" s="31">
        <v>-0.2887707576470584</v>
      </c>
      <c r="Q2004" s="31">
        <v>-2.5284198141176475</v>
      </c>
      <c r="R2004" s="1" t="s">
        <v>441</v>
      </c>
      <c r="S2004" s="1"/>
      <c r="T2004" s="71" t="s">
        <v>626</v>
      </c>
    </row>
    <row r="2005" spans="1:20" s="17" customFormat="1">
      <c r="A2005" s="1" t="s">
        <v>439</v>
      </c>
      <c r="B2005" s="1" t="s">
        <v>226</v>
      </c>
      <c r="C2005" s="1" t="s">
        <v>508</v>
      </c>
      <c r="D2005" s="5">
        <v>43343.365277777775</v>
      </c>
      <c r="E2005" s="1">
        <v>2018</v>
      </c>
      <c r="F2005" s="1">
        <v>8</v>
      </c>
      <c r="G2005" s="4">
        <v>31</v>
      </c>
      <c r="H2005" s="8">
        <v>43343.740277777775</v>
      </c>
      <c r="I2005" s="11">
        <v>135.76</v>
      </c>
      <c r="J2005" s="11">
        <v>37.136000000000003</v>
      </c>
      <c r="K2005" s="27">
        <v>20</v>
      </c>
      <c r="L2005" s="27">
        <v>20</v>
      </c>
      <c r="M2005" s="9">
        <v>0</v>
      </c>
      <c r="N2005" s="12">
        <v>24.402999999999999</v>
      </c>
      <c r="O2005" s="11">
        <v>33.848048031436953</v>
      </c>
      <c r="P2005" s="31">
        <v>-3.4150447058823197E-2</v>
      </c>
      <c r="Q2005" s="31">
        <v>-0.74883551764705913</v>
      </c>
      <c r="R2005" s="1" t="s">
        <v>441</v>
      </c>
      <c r="S2005" s="1"/>
      <c r="T2005" s="71" t="s">
        <v>626</v>
      </c>
    </row>
    <row r="2006" spans="1:20" s="17" customFormat="1">
      <c r="A2006" s="1" t="s">
        <v>439</v>
      </c>
      <c r="B2006" s="1" t="s">
        <v>226</v>
      </c>
      <c r="C2006" s="1" t="s">
        <v>508</v>
      </c>
      <c r="D2006" s="5">
        <v>43343.365277777775</v>
      </c>
      <c r="E2006" s="1">
        <v>2018</v>
      </c>
      <c r="F2006" s="1">
        <v>8</v>
      </c>
      <c r="G2006" s="4">
        <v>31</v>
      </c>
      <c r="H2006" s="8">
        <v>43343.740277777775</v>
      </c>
      <c r="I2006" s="11">
        <v>135.76</v>
      </c>
      <c r="J2006" s="11">
        <v>37.136000000000003</v>
      </c>
      <c r="K2006" s="27">
        <v>50</v>
      </c>
      <c r="L2006" s="27">
        <v>50</v>
      </c>
      <c r="M2006" s="9">
        <v>0</v>
      </c>
      <c r="N2006" s="12">
        <v>12.868</v>
      </c>
      <c r="O2006" s="11">
        <v>34.379764082928858</v>
      </c>
      <c r="P2006" s="31">
        <v>5.4991960000000173E-2</v>
      </c>
      <c r="Q2006" s="31">
        <v>0.59847329999999843</v>
      </c>
      <c r="R2006" s="1" t="s">
        <v>441</v>
      </c>
      <c r="S2006" s="1"/>
      <c r="T2006" s="71" t="s">
        <v>626</v>
      </c>
    </row>
    <row r="2007" spans="1:20" s="17" customFormat="1">
      <c r="A2007" s="1" t="s">
        <v>439</v>
      </c>
      <c r="B2007" s="1" t="s">
        <v>115</v>
      </c>
      <c r="C2007" s="1" t="s">
        <v>508</v>
      </c>
      <c r="D2007" s="5">
        <v>43343.490972222222</v>
      </c>
      <c r="E2007" s="1">
        <v>2018</v>
      </c>
      <c r="F2007" s="1">
        <v>8</v>
      </c>
      <c r="G2007" s="4">
        <v>31</v>
      </c>
      <c r="H2007" s="8">
        <v>43343.865972222222</v>
      </c>
      <c r="I2007" s="11">
        <v>135.95699999999999</v>
      </c>
      <c r="J2007" s="11">
        <v>37.298000000000002</v>
      </c>
      <c r="K2007" s="27">
        <v>0</v>
      </c>
      <c r="L2007" s="27">
        <v>0</v>
      </c>
      <c r="M2007" s="27">
        <v>0</v>
      </c>
      <c r="N2007" s="32">
        <v>26.1</v>
      </c>
      <c r="O2007" s="11">
        <v>32.566520188603342</v>
      </c>
      <c r="P2007" s="31">
        <v>-0.65725087999999965</v>
      </c>
      <c r="Q2007" s="31">
        <v>-4.3860501999999997</v>
      </c>
      <c r="R2007" s="1" t="s">
        <v>441</v>
      </c>
      <c r="S2007" s="1"/>
      <c r="T2007" s="71" t="s">
        <v>626</v>
      </c>
    </row>
    <row r="2008" spans="1:20" s="17" customFormat="1">
      <c r="A2008" s="1" t="s">
        <v>439</v>
      </c>
      <c r="B2008" s="1" t="s">
        <v>115</v>
      </c>
      <c r="C2008" s="1" t="s">
        <v>508</v>
      </c>
      <c r="D2008" s="5">
        <v>43343.490972222222</v>
      </c>
      <c r="E2008" s="1">
        <v>2018</v>
      </c>
      <c r="F2008" s="1">
        <v>8</v>
      </c>
      <c r="G2008" s="4">
        <v>31</v>
      </c>
      <c r="H2008" s="8">
        <v>43343.865972222222</v>
      </c>
      <c r="I2008" s="11">
        <v>135.95699999999999</v>
      </c>
      <c r="J2008" s="11">
        <v>37.298000000000002</v>
      </c>
      <c r="K2008" s="27">
        <v>20</v>
      </c>
      <c r="L2008" s="27">
        <v>20</v>
      </c>
      <c r="M2008" s="9">
        <v>0</v>
      </c>
      <c r="N2008" s="12">
        <v>22.364000000000001</v>
      </c>
      <c r="O2008" s="11">
        <v>33.971092664051582</v>
      </c>
      <c r="P2008" s="31">
        <v>-0.14085943999999939</v>
      </c>
      <c r="Q2008" s="31">
        <v>-0.57839799999999819</v>
      </c>
      <c r="R2008" s="1" t="s">
        <v>441</v>
      </c>
      <c r="S2008" s="1"/>
      <c r="T2008" s="71" t="s">
        <v>626</v>
      </c>
    </row>
    <row r="2009" spans="1:20" s="17" customFormat="1">
      <c r="A2009" s="1" t="s">
        <v>439</v>
      </c>
      <c r="B2009" s="1" t="s">
        <v>115</v>
      </c>
      <c r="C2009" s="1" t="s">
        <v>508</v>
      </c>
      <c r="D2009" s="5">
        <v>43343.490972222222</v>
      </c>
      <c r="E2009" s="1">
        <v>2018</v>
      </c>
      <c r="F2009" s="1">
        <v>8</v>
      </c>
      <c r="G2009" s="4">
        <v>31</v>
      </c>
      <c r="H2009" s="8">
        <v>43343.865972222222</v>
      </c>
      <c r="I2009" s="11">
        <v>135.95699999999999</v>
      </c>
      <c r="J2009" s="11">
        <v>37.298000000000002</v>
      </c>
      <c r="K2009" s="27">
        <v>50</v>
      </c>
      <c r="L2009" s="27">
        <v>50</v>
      </c>
      <c r="M2009" s="9">
        <v>0</v>
      </c>
      <c r="N2009" s="12">
        <v>13.96</v>
      </c>
      <c r="O2009" s="11">
        <v>34.419834020522337</v>
      </c>
      <c r="P2009" s="31">
        <v>3.6466399999999677E-2</v>
      </c>
      <c r="Q2009" s="31">
        <v>0.64549958333333279</v>
      </c>
      <c r="R2009" s="1" t="s">
        <v>441</v>
      </c>
      <c r="S2009" s="1"/>
      <c r="T2009" s="71" t="s">
        <v>626</v>
      </c>
    </row>
    <row r="2010" spans="1:20" s="17" customFormat="1">
      <c r="A2010" s="1" t="s">
        <v>498</v>
      </c>
      <c r="B2010" s="1" t="s">
        <v>440</v>
      </c>
      <c r="C2010" s="1" t="s">
        <v>509</v>
      </c>
      <c r="D2010" s="5">
        <v>43701</v>
      </c>
      <c r="E2010" s="1">
        <v>2019</v>
      </c>
      <c r="F2010" s="1">
        <v>8</v>
      </c>
      <c r="G2010" s="4">
        <v>24</v>
      </c>
      <c r="H2010" s="8">
        <v>0.57422453703703702</v>
      </c>
      <c r="I2010" s="11">
        <v>135.99916666666667</v>
      </c>
      <c r="J2010" s="11">
        <v>38.090166666666669</v>
      </c>
      <c r="K2010" s="9">
        <v>0</v>
      </c>
      <c r="L2010" s="9">
        <v>0</v>
      </c>
      <c r="M2010" s="27">
        <v>0</v>
      </c>
      <c r="N2010" s="12">
        <v>26.64</v>
      </c>
      <c r="O2010" s="11">
        <v>33.538594026685857</v>
      </c>
      <c r="P2010" s="33">
        <v>-0.11596990941176522</v>
      </c>
      <c r="Q2010" s="33">
        <v>-0.84398090117647229</v>
      </c>
      <c r="R2010" s="1" t="s">
        <v>500</v>
      </c>
      <c r="S2010" s="1"/>
      <c r="T2010" s="71" t="s">
        <v>626</v>
      </c>
    </row>
    <row r="2011" spans="1:20" s="17" customFormat="1">
      <c r="A2011" s="1" t="s">
        <v>498</v>
      </c>
      <c r="B2011" s="1" t="s">
        <v>491</v>
      </c>
      <c r="C2011" s="1" t="s">
        <v>509</v>
      </c>
      <c r="D2011" s="5">
        <v>43701</v>
      </c>
      <c r="E2011" s="1">
        <v>2019</v>
      </c>
      <c r="F2011" s="1">
        <v>8</v>
      </c>
      <c r="G2011" s="4">
        <v>24</v>
      </c>
      <c r="H2011" s="8">
        <v>0.73532407407407396</v>
      </c>
      <c r="I2011" s="11">
        <v>136.00066666666666</v>
      </c>
      <c r="J2011" s="11">
        <v>37.902999999999999</v>
      </c>
      <c r="K2011" s="9">
        <v>0</v>
      </c>
      <c r="L2011" s="9">
        <v>0</v>
      </c>
      <c r="M2011" s="27">
        <v>0</v>
      </c>
      <c r="N2011" s="12">
        <v>25.88</v>
      </c>
      <c r="O2011" s="11">
        <v>33.540241731316968</v>
      </c>
      <c r="P2011" s="33">
        <v>-8.4442128235294067E-2</v>
      </c>
      <c r="Q2011" s="33">
        <v>-0.71207536352941325</v>
      </c>
      <c r="R2011" s="1" t="s">
        <v>500</v>
      </c>
      <c r="S2011" s="1"/>
      <c r="T2011" s="71" t="s">
        <v>626</v>
      </c>
    </row>
    <row r="2012" spans="1:20" s="17" customFormat="1">
      <c r="A2012" s="1" t="s">
        <v>498</v>
      </c>
      <c r="B2012" s="1" t="s">
        <v>492</v>
      </c>
      <c r="C2012" s="1" t="s">
        <v>509</v>
      </c>
      <c r="D2012" s="5">
        <v>43701</v>
      </c>
      <c r="E2012" s="1">
        <v>2019</v>
      </c>
      <c r="F2012" s="1">
        <v>8</v>
      </c>
      <c r="G2012" s="4">
        <v>24</v>
      </c>
      <c r="H2012" s="8">
        <v>0.90020833333333339</v>
      </c>
      <c r="I2012" s="11">
        <v>135.59950000000001</v>
      </c>
      <c r="J2012" s="11">
        <v>37.850666666666669</v>
      </c>
      <c r="K2012" s="9">
        <v>0</v>
      </c>
      <c r="L2012" s="9">
        <v>0</v>
      </c>
      <c r="M2012" s="27">
        <v>0</v>
      </c>
      <c r="N2012" s="12">
        <v>26.18</v>
      </c>
      <c r="O2012" s="11">
        <v>33.559679236311482</v>
      </c>
      <c r="P2012" s="33">
        <v>-3.8864187058824218E-2</v>
      </c>
      <c r="Q2012" s="33">
        <v>-0.577996005882353</v>
      </c>
      <c r="R2012" s="1" t="s">
        <v>500</v>
      </c>
      <c r="S2012" s="1"/>
      <c r="T2012" s="71" t="s">
        <v>626</v>
      </c>
    </row>
    <row r="2013" spans="1:20" s="17" customFormat="1">
      <c r="A2013" s="1" t="s">
        <v>498</v>
      </c>
      <c r="B2013" s="1" t="s">
        <v>442</v>
      </c>
      <c r="C2013" s="1" t="s">
        <v>509</v>
      </c>
      <c r="D2013" s="5">
        <v>43702</v>
      </c>
      <c r="E2013" s="1">
        <v>2019</v>
      </c>
      <c r="F2013" s="1">
        <v>8</v>
      </c>
      <c r="G2013" s="4">
        <v>25</v>
      </c>
      <c r="H2013" s="8">
        <v>0.61842592592592593</v>
      </c>
      <c r="I2013" s="11">
        <v>136.00133333333332</v>
      </c>
      <c r="J2013" s="11">
        <v>39.591000000000001</v>
      </c>
      <c r="K2013" s="9">
        <v>0</v>
      </c>
      <c r="L2013" s="9">
        <v>0</v>
      </c>
      <c r="M2013" s="27">
        <v>0</v>
      </c>
      <c r="N2013" s="12">
        <v>26.42</v>
      </c>
      <c r="O2013" s="11">
        <v>33.897460930799575</v>
      </c>
      <c r="P2013" s="33">
        <v>-5.5940722352941563E-2</v>
      </c>
      <c r="Q2013" s="33">
        <v>-0.42743281529411803</v>
      </c>
      <c r="R2013" s="1" t="s">
        <v>500</v>
      </c>
      <c r="S2013" s="1"/>
      <c r="T2013" s="71" t="s">
        <v>626</v>
      </c>
    </row>
    <row r="2014" spans="1:20" s="17" customFormat="1">
      <c r="A2014" s="1" t="s">
        <v>498</v>
      </c>
      <c r="B2014" s="1" t="s">
        <v>97</v>
      </c>
      <c r="C2014" s="1" t="s">
        <v>509</v>
      </c>
      <c r="D2014" s="5">
        <v>43702</v>
      </c>
      <c r="E2014" s="1">
        <v>2019</v>
      </c>
      <c r="F2014" s="1">
        <v>8</v>
      </c>
      <c r="G2014" s="4">
        <v>25</v>
      </c>
      <c r="H2014" s="8">
        <v>0.7381712962962963</v>
      </c>
      <c r="I2014" s="11">
        <v>135.79949999999999</v>
      </c>
      <c r="J2014" s="11">
        <v>39.417499999999997</v>
      </c>
      <c r="K2014" s="9">
        <v>0</v>
      </c>
      <c r="L2014" s="9">
        <v>0</v>
      </c>
      <c r="M2014" s="27">
        <v>0</v>
      </c>
      <c r="N2014" s="12">
        <v>26.41</v>
      </c>
      <c r="O2014" s="11">
        <v>33.681221693122879</v>
      </c>
      <c r="P2014" s="33">
        <v>-8.1233441176471022E-2</v>
      </c>
      <c r="Q2014" s="33">
        <v>-0.69333633764705915</v>
      </c>
      <c r="R2014" s="1" t="s">
        <v>500</v>
      </c>
      <c r="S2014" s="1"/>
      <c r="T2014" s="71" t="s">
        <v>626</v>
      </c>
    </row>
    <row r="2015" spans="1:20" s="17" customFormat="1">
      <c r="A2015" s="1" t="s">
        <v>498</v>
      </c>
      <c r="B2015" s="1" t="s">
        <v>493</v>
      </c>
      <c r="C2015" s="1" t="s">
        <v>509</v>
      </c>
      <c r="D2015" s="5">
        <v>43702</v>
      </c>
      <c r="E2015" s="1">
        <v>2019</v>
      </c>
      <c r="F2015" s="1">
        <v>8</v>
      </c>
      <c r="G2015" s="4">
        <v>25</v>
      </c>
      <c r="H2015" s="8">
        <v>0.87078703703703697</v>
      </c>
      <c r="I2015" s="11">
        <v>135.59950000000001</v>
      </c>
      <c r="J2015" s="11">
        <v>39.417333333333332</v>
      </c>
      <c r="K2015" s="9">
        <v>0</v>
      </c>
      <c r="L2015" s="9">
        <v>0</v>
      </c>
      <c r="M2015" s="27">
        <v>0</v>
      </c>
      <c r="N2015" s="12">
        <v>25.42</v>
      </c>
      <c r="O2015" s="11">
        <v>33.912184297616811</v>
      </c>
      <c r="P2015" s="33">
        <v>-9.3715720000000502E-2</v>
      </c>
      <c r="Q2015" s="33">
        <v>-1.1108143999999989</v>
      </c>
      <c r="R2015" s="1" t="s">
        <v>500</v>
      </c>
      <c r="S2015" s="1"/>
      <c r="T2015" s="71" t="s">
        <v>626</v>
      </c>
    </row>
    <row r="2016" spans="1:20" s="17" customFormat="1">
      <c r="A2016" s="1" t="s">
        <v>498</v>
      </c>
      <c r="B2016" s="1" t="s">
        <v>449</v>
      </c>
      <c r="C2016" s="1" t="s">
        <v>509</v>
      </c>
      <c r="D2016" s="5">
        <v>43703</v>
      </c>
      <c r="E2016" s="1">
        <v>2019</v>
      </c>
      <c r="F2016" s="1">
        <v>8</v>
      </c>
      <c r="G2016" s="4">
        <v>26</v>
      </c>
      <c r="H2016" s="8">
        <v>0.56295138888888896</v>
      </c>
      <c r="I2016" s="11">
        <v>136.00066666666666</v>
      </c>
      <c r="J2016" s="11">
        <v>40.174833333333332</v>
      </c>
      <c r="K2016" s="9">
        <v>0</v>
      </c>
      <c r="L2016" s="9">
        <v>0</v>
      </c>
      <c r="M2016" s="27">
        <v>0</v>
      </c>
      <c r="N2016" s="12">
        <v>24.8</v>
      </c>
      <c r="O2016" s="11">
        <v>33.891642881409396</v>
      </c>
      <c r="P2016" s="33">
        <v>-0.19070557882352901</v>
      </c>
      <c r="Q2016" s="33">
        <v>-1.4992423223529401</v>
      </c>
      <c r="R2016" s="1" t="s">
        <v>500</v>
      </c>
      <c r="S2016" s="1"/>
      <c r="T2016" s="71" t="s">
        <v>626</v>
      </c>
    </row>
    <row r="2017" spans="1:20" s="17" customFormat="1">
      <c r="A2017" s="1" t="s">
        <v>498</v>
      </c>
      <c r="B2017" s="1" t="s">
        <v>494</v>
      </c>
      <c r="C2017" s="1" t="s">
        <v>509</v>
      </c>
      <c r="D2017" s="5">
        <v>43703</v>
      </c>
      <c r="E2017" s="1">
        <v>2019</v>
      </c>
      <c r="F2017" s="1">
        <v>8</v>
      </c>
      <c r="G2017" s="4">
        <v>26</v>
      </c>
      <c r="H2017" s="8">
        <v>0.73644675925925929</v>
      </c>
      <c r="I2017" s="11">
        <v>135.80133333333333</v>
      </c>
      <c r="J2017" s="11">
        <v>40.000500000000002</v>
      </c>
      <c r="K2017" s="9">
        <v>0</v>
      </c>
      <c r="L2017" s="9">
        <v>0</v>
      </c>
      <c r="M2017" s="27">
        <v>0</v>
      </c>
      <c r="N2017" s="12">
        <v>25.32</v>
      </c>
      <c r="O2017" s="11">
        <v>34.03301096008456</v>
      </c>
      <c r="P2017" s="33">
        <v>-8.6860797647059229E-2</v>
      </c>
      <c r="Q2017" s="33">
        <v>-0.84166758470588121</v>
      </c>
      <c r="R2017" s="1" t="s">
        <v>500</v>
      </c>
      <c r="S2017" s="1"/>
      <c r="T2017" s="71" t="s">
        <v>626</v>
      </c>
    </row>
    <row r="2018" spans="1:20" s="17" customFormat="1">
      <c r="A2018" s="1" t="s">
        <v>498</v>
      </c>
      <c r="B2018" s="1" t="s">
        <v>105</v>
      </c>
      <c r="C2018" s="1" t="s">
        <v>509</v>
      </c>
      <c r="D2018" s="5">
        <v>43703</v>
      </c>
      <c r="E2018" s="1">
        <v>2019</v>
      </c>
      <c r="F2018" s="1">
        <v>8</v>
      </c>
      <c r="G2018" s="4">
        <v>26</v>
      </c>
      <c r="H2018" s="8">
        <v>0.86694444444444441</v>
      </c>
      <c r="I2018" s="11">
        <v>135.60116666666667</v>
      </c>
      <c r="J2018" s="11">
        <v>39.948999999999998</v>
      </c>
      <c r="K2018" s="9">
        <v>0</v>
      </c>
      <c r="L2018" s="9">
        <v>0</v>
      </c>
      <c r="M2018" s="27">
        <v>0</v>
      </c>
      <c r="N2018" s="12">
        <v>25.5</v>
      </c>
      <c r="O2018" s="11">
        <v>34.009195480788897</v>
      </c>
      <c r="P2018" s="33">
        <v>-4.5208636470588814E-2</v>
      </c>
      <c r="Q2018" s="33">
        <v>-0.48546334705882366</v>
      </c>
      <c r="R2018" s="1" t="s">
        <v>500</v>
      </c>
      <c r="S2018" s="1"/>
      <c r="T2018" s="71" t="s">
        <v>626</v>
      </c>
    </row>
    <row r="2019" spans="1:20" s="17" customFormat="1">
      <c r="A2019" s="1" t="s">
        <v>498</v>
      </c>
      <c r="B2019" s="1" t="s">
        <v>450</v>
      </c>
      <c r="C2019" s="1" t="s">
        <v>509</v>
      </c>
      <c r="D2019" s="5">
        <v>43704</v>
      </c>
      <c r="E2019" s="1">
        <v>2019</v>
      </c>
      <c r="F2019" s="1">
        <v>8</v>
      </c>
      <c r="G2019" s="4">
        <v>27</v>
      </c>
      <c r="H2019" s="8">
        <v>0.56412037037037044</v>
      </c>
      <c r="I2019" s="11">
        <v>136.00183333333334</v>
      </c>
      <c r="J2019" s="11">
        <v>38.493000000000002</v>
      </c>
      <c r="K2019" s="9">
        <v>0</v>
      </c>
      <c r="L2019" s="9">
        <v>0</v>
      </c>
      <c r="M2019" s="27">
        <v>0</v>
      </c>
      <c r="N2019" s="12">
        <v>26.3</v>
      </c>
      <c r="O2019" s="11">
        <v>33.547284953189745</v>
      </c>
      <c r="P2019" s="33">
        <v>-0.1219497352941179</v>
      </c>
      <c r="Q2019" s="33">
        <v>-1.0396944494117673</v>
      </c>
      <c r="R2019" s="1" t="s">
        <v>500</v>
      </c>
      <c r="S2019" s="1"/>
      <c r="T2019" s="71" t="s">
        <v>626</v>
      </c>
    </row>
    <row r="2020" spans="1:20" s="17" customFormat="1">
      <c r="A2020" s="1" t="s">
        <v>498</v>
      </c>
      <c r="B2020" s="1" t="s">
        <v>109</v>
      </c>
      <c r="C2020" s="1" t="s">
        <v>509</v>
      </c>
      <c r="D2020" s="5">
        <v>43704</v>
      </c>
      <c r="E2020" s="1">
        <v>2019</v>
      </c>
      <c r="F2020" s="1">
        <v>8</v>
      </c>
      <c r="G2020" s="4">
        <v>27</v>
      </c>
      <c r="H2020" s="8">
        <v>0.73335648148148147</v>
      </c>
      <c r="I2020" s="11">
        <v>135.79883333333333</v>
      </c>
      <c r="J2020" s="11">
        <v>38.50033333333333</v>
      </c>
      <c r="K2020" s="9">
        <v>0</v>
      </c>
      <c r="L2020" s="9">
        <v>0</v>
      </c>
      <c r="M2020" s="27">
        <v>0</v>
      </c>
      <c r="N2020" s="12">
        <v>26.2</v>
      </c>
      <c r="O2020" s="11">
        <v>33.476793469007319</v>
      </c>
      <c r="P2020" s="33">
        <v>-0.13815117411764755</v>
      </c>
      <c r="Q2020" s="33">
        <v>-1.1814926117647069</v>
      </c>
      <c r="R2020" s="1" t="s">
        <v>500</v>
      </c>
      <c r="S2020" s="1"/>
      <c r="T2020" s="71" t="s">
        <v>626</v>
      </c>
    </row>
    <row r="2021" spans="1:20" s="17" customFormat="1">
      <c r="A2021" s="1" t="s">
        <v>498</v>
      </c>
      <c r="B2021" s="1" t="s">
        <v>110</v>
      </c>
      <c r="C2021" s="1" t="s">
        <v>509</v>
      </c>
      <c r="D2021" s="5">
        <v>43704</v>
      </c>
      <c r="E2021" s="1">
        <v>2019</v>
      </c>
      <c r="F2021" s="1">
        <v>8</v>
      </c>
      <c r="G2021" s="4">
        <v>27</v>
      </c>
      <c r="H2021" s="8">
        <v>0.85612268518518519</v>
      </c>
      <c r="I2021" s="11">
        <v>135.59933333333333</v>
      </c>
      <c r="J2021" s="11">
        <v>38.50033333333333</v>
      </c>
      <c r="K2021" s="9">
        <v>0</v>
      </c>
      <c r="L2021" s="9">
        <v>0</v>
      </c>
      <c r="M2021" s="27">
        <v>0</v>
      </c>
      <c r="N2021" s="12">
        <v>26.19</v>
      </c>
      <c r="O2021" s="11">
        <v>33.598385534249111</v>
      </c>
      <c r="P2021" s="33">
        <v>-0.13028944941176501</v>
      </c>
      <c r="Q2021" s="33">
        <v>-0.91328036470588181</v>
      </c>
      <c r="R2021" s="1" t="s">
        <v>500</v>
      </c>
      <c r="S2021" s="1"/>
      <c r="T2021" s="71" t="s">
        <v>626</v>
      </c>
    </row>
    <row r="2022" spans="1:20" s="17" customFormat="1">
      <c r="A2022" s="1" t="s">
        <v>498</v>
      </c>
      <c r="B2022" s="1" t="s">
        <v>499</v>
      </c>
      <c r="C2022" s="1" t="s">
        <v>509</v>
      </c>
      <c r="D2022" s="5">
        <v>43705</v>
      </c>
      <c r="E2022" s="1">
        <v>2019</v>
      </c>
      <c r="F2022" s="1">
        <v>8</v>
      </c>
      <c r="G2022" s="4">
        <v>28</v>
      </c>
      <c r="H2022" s="8">
        <v>0.75637731481481485</v>
      </c>
      <c r="I2022" s="11">
        <v>135.99833333333333</v>
      </c>
      <c r="J2022" s="11">
        <v>37.342666666666666</v>
      </c>
      <c r="K2022" s="9">
        <v>0</v>
      </c>
      <c r="L2022" s="9">
        <v>0</v>
      </c>
      <c r="M2022" s="27">
        <v>0</v>
      </c>
      <c r="N2022" s="12">
        <v>26.1</v>
      </c>
      <c r="O2022" s="11">
        <v>33.890781950404659</v>
      </c>
      <c r="P2022" s="33">
        <v>-6.6046155294117614E-2</v>
      </c>
      <c r="Q2022" s="33">
        <v>-0.36219955764705958</v>
      </c>
      <c r="R2022" s="1" t="s">
        <v>500</v>
      </c>
      <c r="S2022" s="1"/>
      <c r="T2022" s="71" t="s">
        <v>626</v>
      </c>
    </row>
    <row r="2023" spans="1:20" s="17" customFormat="1">
      <c r="A2023" s="1" t="s">
        <v>498</v>
      </c>
      <c r="B2023" s="1" t="s">
        <v>115</v>
      </c>
      <c r="C2023" s="1" t="s">
        <v>509</v>
      </c>
      <c r="D2023" s="5">
        <v>43705</v>
      </c>
      <c r="E2023" s="1">
        <v>2019</v>
      </c>
      <c r="F2023" s="1">
        <v>8</v>
      </c>
      <c r="G2023" s="4">
        <v>28</v>
      </c>
      <c r="H2023" s="8">
        <v>0.95571759259259259</v>
      </c>
      <c r="I2023" s="11">
        <v>136.00183333333334</v>
      </c>
      <c r="J2023" s="11">
        <v>37.001333333333335</v>
      </c>
      <c r="K2023" s="9">
        <v>0</v>
      </c>
      <c r="L2023" s="9">
        <v>0</v>
      </c>
      <c r="M2023" s="27">
        <v>0</v>
      </c>
      <c r="N2023" s="12">
        <v>25.8</v>
      </c>
      <c r="O2023" s="11">
        <v>34.099870498634523</v>
      </c>
      <c r="P2023" s="33">
        <v>-6.3293741176470686E-2</v>
      </c>
      <c r="Q2023" s="33">
        <v>-0.41603357058823498</v>
      </c>
      <c r="R2023" s="1" t="s">
        <v>500</v>
      </c>
      <c r="S2023" s="1"/>
      <c r="T2023" s="71" t="s">
        <v>626</v>
      </c>
    </row>
    <row r="2024" spans="1:20" s="55" customFormat="1">
      <c r="A2024" s="47" t="s">
        <v>606</v>
      </c>
      <c r="B2024" s="47">
        <v>1</v>
      </c>
      <c r="C2024" s="47" t="s">
        <v>607</v>
      </c>
      <c r="D2024" s="48" t="s">
        <v>581</v>
      </c>
      <c r="E2024" s="47">
        <v>2021</v>
      </c>
      <c r="F2024" s="47">
        <v>2</v>
      </c>
      <c r="G2024" s="49">
        <v>16</v>
      </c>
      <c r="H2024" s="50">
        <v>0.99413194444444442</v>
      </c>
      <c r="I2024" s="51">
        <v>128.249</v>
      </c>
      <c r="J2024" s="51">
        <v>30.254000000000001</v>
      </c>
      <c r="K2024" s="52">
        <v>10</v>
      </c>
      <c r="L2024" s="52"/>
      <c r="M2024" s="52">
        <v>1</v>
      </c>
      <c r="N2024" s="53">
        <v>21.95</v>
      </c>
      <c r="O2024" s="51">
        <v>34.673000000000002</v>
      </c>
      <c r="P2024" s="54">
        <v>0.14596482352941198</v>
      </c>
      <c r="Q2024" s="54">
        <v>1.1798064517647067</v>
      </c>
      <c r="R2024" s="47" t="s">
        <v>608</v>
      </c>
      <c r="S2024" s="47"/>
      <c r="T2024" s="71" t="s">
        <v>626</v>
      </c>
    </row>
    <row r="2025" spans="1:20" s="55" customFormat="1">
      <c r="A2025" s="47" t="s">
        <v>606</v>
      </c>
      <c r="B2025" s="47">
        <v>2</v>
      </c>
      <c r="C2025" s="47" t="s">
        <v>607</v>
      </c>
      <c r="D2025" s="48" t="s">
        <v>582</v>
      </c>
      <c r="E2025" s="47">
        <v>2021</v>
      </c>
      <c r="F2025" s="47">
        <v>2</v>
      </c>
      <c r="G2025" s="49">
        <v>17</v>
      </c>
      <c r="H2025" s="50">
        <v>0.1330787037037037</v>
      </c>
      <c r="I2025" s="51">
        <v>128.75200000000001</v>
      </c>
      <c r="J2025" s="51">
        <v>30.251000000000001</v>
      </c>
      <c r="K2025" s="52">
        <v>10</v>
      </c>
      <c r="L2025" s="52"/>
      <c r="M2025" s="52">
        <v>1</v>
      </c>
      <c r="N2025" s="53">
        <v>21.84</v>
      </c>
      <c r="O2025" s="51">
        <v>34.67</v>
      </c>
      <c r="P2025" s="54">
        <v>0.19811166823529458</v>
      </c>
      <c r="Q2025" s="54">
        <v>1.3205077341176459</v>
      </c>
      <c r="R2025" s="47" t="s">
        <v>608</v>
      </c>
      <c r="S2025" s="47"/>
      <c r="T2025" s="71" t="s">
        <v>626</v>
      </c>
    </row>
    <row r="2026" spans="1:20" s="55" customFormat="1">
      <c r="A2026" s="47" t="s">
        <v>606</v>
      </c>
      <c r="B2026" s="47">
        <v>9</v>
      </c>
      <c r="C2026" s="47" t="s">
        <v>607</v>
      </c>
      <c r="D2026" s="48" t="s">
        <v>582</v>
      </c>
      <c r="E2026" s="47">
        <v>2021</v>
      </c>
      <c r="F2026" s="47">
        <v>2</v>
      </c>
      <c r="G2026" s="49">
        <v>17</v>
      </c>
      <c r="H2026" s="50">
        <v>0.29439814814814813</v>
      </c>
      <c r="I2026" s="51">
        <v>128.75200000000001</v>
      </c>
      <c r="J2026" s="51">
        <v>29.751999999999999</v>
      </c>
      <c r="K2026" s="52">
        <v>9</v>
      </c>
      <c r="L2026" s="52"/>
      <c r="M2026" s="52">
        <v>1</v>
      </c>
      <c r="N2026" s="53">
        <v>21.96</v>
      </c>
      <c r="O2026" s="51">
        <v>34.646999999999998</v>
      </c>
      <c r="P2026" s="54">
        <v>0.14213919294117616</v>
      </c>
      <c r="Q2026" s="54">
        <v>1.1649168164705888</v>
      </c>
      <c r="R2026" s="47" t="s">
        <v>608</v>
      </c>
      <c r="S2026" s="47"/>
      <c r="T2026" s="71" t="s">
        <v>626</v>
      </c>
    </row>
    <row r="2027" spans="1:20" s="55" customFormat="1">
      <c r="A2027" s="47" t="s">
        <v>606</v>
      </c>
      <c r="B2027" s="47">
        <v>10</v>
      </c>
      <c r="C2027" s="47" t="s">
        <v>607</v>
      </c>
      <c r="D2027" s="48" t="s">
        <v>582</v>
      </c>
      <c r="E2027" s="47">
        <v>2021</v>
      </c>
      <c r="F2027" s="47">
        <v>2</v>
      </c>
      <c r="G2027" s="49">
        <v>17</v>
      </c>
      <c r="H2027" s="50">
        <v>0.47825231481481478</v>
      </c>
      <c r="I2027" s="51">
        <v>128.255</v>
      </c>
      <c r="J2027" s="51">
        <v>29.748000000000001</v>
      </c>
      <c r="K2027" s="52">
        <v>9</v>
      </c>
      <c r="L2027" s="52"/>
      <c r="M2027" s="52">
        <v>1</v>
      </c>
      <c r="N2027" s="53">
        <v>21.37</v>
      </c>
      <c r="O2027" s="51">
        <v>34.659999999999997</v>
      </c>
      <c r="P2027" s="54">
        <v>0.17643711764705827</v>
      </c>
      <c r="Q2027" s="54">
        <v>1.2041723588235289</v>
      </c>
      <c r="R2027" s="47" t="s">
        <v>608</v>
      </c>
      <c r="S2027" s="47"/>
      <c r="T2027" s="71" t="s">
        <v>626</v>
      </c>
    </row>
    <row r="2028" spans="1:20" s="55" customFormat="1">
      <c r="A2028" s="47" t="s">
        <v>606</v>
      </c>
      <c r="B2028" s="47">
        <v>11</v>
      </c>
      <c r="C2028" s="47" t="s">
        <v>607</v>
      </c>
      <c r="D2028" s="48" t="s">
        <v>582</v>
      </c>
      <c r="E2028" s="47">
        <v>2021</v>
      </c>
      <c r="F2028" s="47">
        <v>2</v>
      </c>
      <c r="G2028" s="49">
        <v>17</v>
      </c>
      <c r="H2028" s="50">
        <v>0.75460648148148157</v>
      </c>
      <c r="I2028" s="51">
        <v>127.755</v>
      </c>
      <c r="J2028" s="51">
        <v>29.745999999999999</v>
      </c>
      <c r="K2028" s="52">
        <v>9</v>
      </c>
      <c r="L2028" s="52"/>
      <c r="M2028" s="52">
        <v>1</v>
      </c>
      <c r="N2028" s="53">
        <v>20.27</v>
      </c>
      <c r="O2028" s="51">
        <v>34.686</v>
      </c>
      <c r="P2028" s="54">
        <v>0.16924143235294142</v>
      </c>
      <c r="Q2028" s="54">
        <v>1.1915767661764693</v>
      </c>
      <c r="R2028" s="47" t="s">
        <v>608</v>
      </c>
      <c r="S2028" s="47"/>
      <c r="T2028" s="71" t="s">
        <v>626</v>
      </c>
    </row>
    <row r="2029" spans="1:20" s="55" customFormat="1">
      <c r="A2029" s="47" t="s">
        <v>606</v>
      </c>
      <c r="B2029" s="47">
        <v>12</v>
      </c>
      <c r="C2029" s="47" t="s">
        <v>607</v>
      </c>
      <c r="D2029" s="48" t="s">
        <v>583</v>
      </c>
      <c r="E2029" s="47">
        <v>2021</v>
      </c>
      <c r="F2029" s="47">
        <v>2</v>
      </c>
      <c r="G2029" s="49">
        <v>19</v>
      </c>
      <c r="H2029" s="50">
        <v>0.12416666666666666</v>
      </c>
      <c r="I2029" s="51">
        <v>127.251</v>
      </c>
      <c r="J2029" s="51">
        <v>30</v>
      </c>
      <c r="K2029" s="52">
        <v>9</v>
      </c>
      <c r="L2029" s="52"/>
      <c r="M2029" s="52">
        <v>1</v>
      </c>
      <c r="N2029" s="53">
        <v>19.45</v>
      </c>
      <c r="O2029" s="51">
        <v>34.710999999999999</v>
      </c>
      <c r="P2029" s="54">
        <v>0.17527856705882305</v>
      </c>
      <c r="Q2029" s="54">
        <v>1.3798123435294123</v>
      </c>
      <c r="R2029" s="47" t="s">
        <v>608</v>
      </c>
      <c r="S2029" s="47"/>
      <c r="T2029" s="71" t="s">
        <v>626</v>
      </c>
    </row>
    <row r="2030" spans="1:20" s="55" customFormat="1">
      <c r="A2030" s="47" t="s">
        <v>606</v>
      </c>
      <c r="B2030" s="47">
        <v>13</v>
      </c>
      <c r="C2030" s="47" t="s">
        <v>607</v>
      </c>
      <c r="D2030" s="48" t="s">
        <v>583</v>
      </c>
      <c r="E2030" s="47">
        <v>2021</v>
      </c>
      <c r="F2030" s="47">
        <v>2</v>
      </c>
      <c r="G2030" s="49">
        <v>19</v>
      </c>
      <c r="H2030" s="50">
        <v>0.44799768518518518</v>
      </c>
      <c r="I2030" s="51">
        <v>126.75700000000001</v>
      </c>
      <c r="J2030" s="51">
        <v>30</v>
      </c>
      <c r="K2030" s="52">
        <v>9</v>
      </c>
      <c r="L2030" s="52"/>
      <c r="M2030" s="52">
        <v>1</v>
      </c>
      <c r="N2030" s="53">
        <v>15.62</v>
      </c>
      <c r="O2030" s="51">
        <v>34.728000000000002</v>
      </c>
      <c r="P2030" s="54">
        <v>0.22291189176470549</v>
      </c>
      <c r="Q2030" s="54">
        <v>1.4802885258823526</v>
      </c>
      <c r="R2030" s="47" t="s">
        <v>608</v>
      </c>
      <c r="S2030" s="47"/>
      <c r="T2030" s="71" t="s">
        <v>626</v>
      </c>
    </row>
    <row r="2031" spans="1:20" s="55" customFormat="1">
      <c r="A2031" s="47" t="s">
        <v>606</v>
      </c>
      <c r="B2031" s="47">
        <v>14</v>
      </c>
      <c r="C2031" s="47" t="s">
        <v>607</v>
      </c>
      <c r="D2031" s="48" t="s">
        <v>583</v>
      </c>
      <c r="E2031" s="47">
        <v>2021</v>
      </c>
      <c r="F2031" s="47">
        <v>2</v>
      </c>
      <c r="G2031" s="49">
        <v>19</v>
      </c>
      <c r="H2031" s="50">
        <v>0.66347222222222224</v>
      </c>
      <c r="I2031" s="51">
        <v>126.25</v>
      </c>
      <c r="J2031" s="51">
        <v>29.5</v>
      </c>
      <c r="K2031" s="52">
        <v>9</v>
      </c>
      <c r="L2031" s="52"/>
      <c r="M2031" s="52">
        <v>1</v>
      </c>
      <c r="N2031" s="53">
        <v>16.63</v>
      </c>
      <c r="O2031" s="51">
        <v>34.683999999999997</v>
      </c>
      <c r="P2031" s="54">
        <v>0.18756403058823468</v>
      </c>
      <c r="Q2031" s="54">
        <v>1.4669917352941191</v>
      </c>
      <c r="R2031" s="47" t="s">
        <v>608</v>
      </c>
      <c r="S2031" s="47"/>
      <c r="T2031" s="71" t="s">
        <v>626</v>
      </c>
    </row>
    <row r="2032" spans="1:20" s="55" customFormat="1">
      <c r="A2032" s="47" t="s">
        <v>606</v>
      </c>
      <c r="B2032" s="47">
        <v>15</v>
      </c>
      <c r="C2032" s="47" t="s">
        <v>607</v>
      </c>
      <c r="D2032" s="48" t="s">
        <v>583</v>
      </c>
      <c r="E2032" s="47">
        <v>2021</v>
      </c>
      <c r="F2032" s="47">
        <v>2</v>
      </c>
      <c r="G2032" s="49">
        <v>19</v>
      </c>
      <c r="H2032" s="50">
        <v>0.7874537037037036</v>
      </c>
      <c r="I2032" s="51">
        <v>126.75</v>
      </c>
      <c r="J2032" s="51">
        <v>29.5</v>
      </c>
      <c r="K2032" s="52">
        <v>9</v>
      </c>
      <c r="L2032" s="52"/>
      <c r="M2032" s="52">
        <v>1</v>
      </c>
      <c r="N2032" s="53">
        <v>16.850000000000001</v>
      </c>
      <c r="O2032" s="51">
        <v>34.698</v>
      </c>
      <c r="P2032" s="54">
        <v>0.19519115529411701</v>
      </c>
      <c r="Q2032" s="54">
        <v>1.2723530376470595</v>
      </c>
      <c r="R2032" s="47" t="s">
        <v>608</v>
      </c>
      <c r="S2032" s="47"/>
      <c r="T2032" s="71" t="s">
        <v>626</v>
      </c>
    </row>
    <row r="2033" spans="1:20" s="55" customFormat="1">
      <c r="A2033" s="47" t="s">
        <v>606</v>
      </c>
      <c r="B2033" s="47">
        <v>16</v>
      </c>
      <c r="C2033" s="47" t="s">
        <v>607</v>
      </c>
      <c r="D2033" s="48" t="s">
        <v>583</v>
      </c>
      <c r="E2033" s="47">
        <v>2021</v>
      </c>
      <c r="F2033" s="47">
        <v>2</v>
      </c>
      <c r="G2033" s="49">
        <v>19</v>
      </c>
      <c r="H2033" s="50">
        <v>0.92265046296296294</v>
      </c>
      <c r="I2033" s="51">
        <v>127.25</v>
      </c>
      <c r="J2033" s="51">
        <v>29.5</v>
      </c>
      <c r="K2033" s="52">
        <v>10</v>
      </c>
      <c r="L2033" s="52"/>
      <c r="M2033" s="52">
        <v>1</v>
      </c>
      <c r="N2033" s="53">
        <v>19.97</v>
      </c>
      <c r="O2033" s="51">
        <v>34.691000000000003</v>
      </c>
      <c r="P2033" s="54">
        <v>0.22743747999999941</v>
      </c>
      <c r="Q2033" s="54">
        <v>1.3328003400000004</v>
      </c>
      <c r="R2033" s="47" t="s">
        <v>608</v>
      </c>
      <c r="S2033" s="47"/>
      <c r="T2033" s="71" t="s">
        <v>626</v>
      </c>
    </row>
    <row r="2034" spans="1:20" s="55" customFormat="1">
      <c r="A2034" s="47" t="s">
        <v>606</v>
      </c>
      <c r="B2034" s="47">
        <v>17</v>
      </c>
      <c r="C2034" s="47" t="s">
        <v>607</v>
      </c>
      <c r="D2034" s="48" t="s">
        <v>584</v>
      </c>
      <c r="E2034" s="47">
        <v>2021</v>
      </c>
      <c r="F2034" s="47">
        <v>2</v>
      </c>
      <c r="G2034" s="49">
        <v>20</v>
      </c>
      <c r="H2034" s="50">
        <v>7.4490740740740746E-2</v>
      </c>
      <c r="I2034" s="51">
        <v>127.753</v>
      </c>
      <c r="J2034" s="51">
        <v>29.251999999999999</v>
      </c>
      <c r="K2034" s="52">
        <v>10</v>
      </c>
      <c r="L2034" s="52"/>
      <c r="M2034" s="52">
        <v>1</v>
      </c>
      <c r="N2034" s="53">
        <v>22.48</v>
      </c>
      <c r="O2034" s="51">
        <v>34.65</v>
      </c>
      <c r="P2034" s="54">
        <v>0.20684045042016797</v>
      </c>
      <c r="Q2034" s="54">
        <v>1.4038715537815118</v>
      </c>
      <c r="R2034" s="47" t="s">
        <v>608</v>
      </c>
      <c r="S2034" s="47"/>
      <c r="T2034" s="71" t="s">
        <v>626</v>
      </c>
    </row>
    <row r="2035" spans="1:20" s="55" customFormat="1">
      <c r="A2035" s="47" t="s">
        <v>606</v>
      </c>
      <c r="B2035" s="47">
        <v>18</v>
      </c>
      <c r="C2035" s="47" t="s">
        <v>607</v>
      </c>
      <c r="D2035" s="48" t="s">
        <v>584</v>
      </c>
      <c r="E2035" s="47">
        <v>2021</v>
      </c>
      <c r="F2035" s="47">
        <v>2</v>
      </c>
      <c r="G2035" s="49">
        <v>20</v>
      </c>
      <c r="H2035" s="50">
        <v>0.20552083333333335</v>
      </c>
      <c r="I2035" s="51">
        <v>128.25</v>
      </c>
      <c r="J2035" s="51">
        <v>29.248000000000001</v>
      </c>
      <c r="K2035" s="52">
        <v>9</v>
      </c>
      <c r="L2035" s="52"/>
      <c r="M2035" s="52">
        <v>1</v>
      </c>
      <c r="N2035" s="53">
        <v>21.97</v>
      </c>
      <c r="O2035" s="51">
        <v>34.665999999999997</v>
      </c>
      <c r="P2035" s="54">
        <v>0.18073340941176408</v>
      </c>
      <c r="Q2035" s="54">
        <v>1.367358144705884</v>
      </c>
      <c r="R2035" s="47" t="s">
        <v>608</v>
      </c>
      <c r="S2035" s="47"/>
      <c r="T2035" s="71" t="s">
        <v>626</v>
      </c>
    </row>
    <row r="2036" spans="1:20" s="55" customFormat="1">
      <c r="A2036" s="47" t="s">
        <v>606</v>
      </c>
      <c r="B2036" s="47">
        <v>21</v>
      </c>
      <c r="C2036" s="47" t="s">
        <v>607</v>
      </c>
      <c r="D2036" s="48" t="s">
        <v>584</v>
      </c>
      <c r="E2036" s="47">
        <v>2021</v>
      </c>
      <c r="F2036" s="47">
        <v>2</v>
      </c>
      <c r="G2036" s="49">
        <v>20</v>
      </c>
      <c r="H2036" s="50">
        <v>0.35388888888888892</v>
      </c>
      <c r="I2036" s="51">
        <v>128.25</v>
      </c>
      <c r="J2036" s="51">
        <v>28.748999999999999</v>
      </c>
      <c r="K2036" s="52">
        <v>9</v>
      </c>
      <c r="L2036" s="52"/>
      <c r="M2036" s="52">
        <v>1</v>
      </c>
      <c r="N2036" s="53">
        <v>20.96</v>
      </c>
      <c r="O2036" s="51">
        <v>34.738</v>
      </c>
      <c r="P2036" s="54">
        <v>0.21523649411764767</v>
      </c>
      <c r="Q2036" s="54">
        <v>1.2737727470588229</v>
      </c>
      <c r="R2036" s="47" t="s">
        <v>608</v>
      </c>
      <c r="S2036" s="47"/>
      <c r="T2036" s="71" t="s">
        <v>626</v>
      </c>
    </row>
    <row r="2037" spans="1:20" s="55" customFormat="1">
      <c r="A2037" s="47" t="s">
        <v>606</v>
      </c>
      <c r="B2037" s="47">
        <v>22</v>
      </c>
      <c r="C2037" s="47" t="s">
        <v>607</v>
      </c>
      <c r="D2037" s="48" t="s">
        <v>584</v>
      </c>
      <c r="E2037" s="47">
        <v>2021</v>
      </c>
      <c r="F2037" s="47">
        <v>2</v>
      </c>
      <c r="G2037" s="49">
        <v>20</v>
      </c>
      <c r="H2037" s="50">
        <v>0.49329861111111112</v>
      </c>
      <c r="I2037" s="51">
        <v>127.75</v>
      </c>
      <c r="J2037" s="51">
        <v>28.75</v>
      </c>
      <c r="K2037" s="52">
        <v>9</v>
      </c>
      <c r="L2037" s="52"/>
      <c r="M2037" s="52">
        <v>1</v>
      </c>
      <c r="N2037" s="53">
        <v>22.39</v>
      </c>
      <c r="O2037" s="51">
        <v>34.667000000000002</v>
      </c>
      <c r="P2037" s="54">
        <v>0.17690777882352959</v>
      </c>
      <c r="Q2037" s="54">
        <v>1.3140093894117637</v>
      </c>
      <c r="R2037" s="47" t="s">
        <v>608</v>
      </c>
      <c r="S2037" s="47"/>
      <c r="T2037" s="71" t="s">
        <v>626</v>
      </c>
    </row>
    <row r="2038" spans="1:20" s="55" customFormat="1">
      <c r="A2038" s="47" t="s">
        <v>606</v>
      </c>
      <c r="B2038" s="47">
        <v>23</v>
      </c>
      <c r="C2038" s="47" t="s">
        <v>607</v>
      </c>
      <c r="D2038" s="48" t="s">
        <v>584</v>
      </c>
      <c r="E2038" s="47">
        <v>2021</v>
      </c>
      <c r="F2038" s="47">
        <v>2</v>
      </c>
      <c r="G2038" s="49">
        <v>20</v>
      </c>
      <c r="H2038" s="50">
        <v>0.64306712962962964</v>
      </c>
      <c r="I2038" s="51">
        <v>127.251</v>
      </c>
      <c r="J2038" s="51">
        <v>28.751000000000001</v>
      </c>
      <c r="K2038" s="52">
        <v>10</v>
      </c>
      <c r="L2038" s="52"/>
      <c r="M2038" s="52">
        <v>1</v>
      </c>
      <c r="N2038" s="53">
        <v>22.61</v>
      </c>
      <c r="O2038" s="51">
        <v>34.683</v>
      </c>
      <c r="P2038" s="54">
        <v>0.17119950352941204</v>
      </c>
      <c r="Q2038" s="54">
        <v>1.3412955117647059</v>
      </c>
      <c r="R2038" s="47" t="s">
        <v>608</v>
      </c>
      <c r="S2038" s="47"/>
      <c r="T2038" s="71" t="s">
        <v>626</v>
      </c>
    </row>
    <row r="2039" spans="1:20" s="55" customFormat="1">
      <c r="A2039" s="47" t="s">
        <v>606</v>
      </c>
      <c r="B2039" s="47">
        <v>24</v>
      </c>
      <c r="C2039" s="47" t="s">
        <v>607</v>
      </c>
      <c r="D2039" s="48" t="s">
        <v>584</v>
      </c>
      <c r="E2039" s="47">
        <v>2021</v>
      </c>
      <c r="F2039" s="47">
        <v>2</v>
      </c>
      <c r="G2039" s="49">
        <v>20</v>
      </c>
      <c r="H2039" s="50">
        <v>0.80293981481481491</v>
      </c>
      <c r="I2039" s="51">
        <v>126.75</v>
      </c>
      <c r="J2039" s="51">
        <v>29.001000000000001</v>
      </c>
      <c r="K2039" s="52">
        <v>9</v>
      </c>
      <c r="L2039" s="52"/>
      <c r="M2039" s="52">
        <v>1</v>
      </c>
      <c r="N2039" s="53">
        <v>19.559999999999999</v>
      </c>
      <c r="O2039" s="51">
        <v>34.715000000000003</v>
      </c>
      <c r="P2039" s="54">
        <v>0.19779794941176476</v>
      </c>
      <c r="Q2039" s="54">
        <v>1.2008562035294101</v>
      </c>
      <c r="R2039" s="47" t="s">
        <v>608</v>
      </c>
      <c r="S2039" s="47"/>
      <c r="T2039" s="71" t="s">
        <v>626</v>
      </c>
    </row>
    <row r="2040" spans="1:20" s="55" customFormat="1">
      <c r="A2040" s="47" t="s">
        <v>606</v>
      </c>
      <c r="B2040" s="47">
        <v>25</v>
      </c>
      <c r="C2040" s="47" t="s">
        <v>607</v>
      </c>
      <c r="D2040" s="48" t="s">
        <v>584</v>
      </c>
      <c r="E2040" s="47">
        <v>2021</v>
      </c>
      <c r="F2040" s="47">
        <v>2</v>
      </c>
      <c r="G2040" s="49">
        <v>20</v>
      </c>
      <c r="H2040" s="50">
        <v>0.93983796296296296</v>
      </c>
      <c r="I2040" s="51">
        <v>126.25</v>
      </c>
      <c r="J2040" s="51">
        <v>29.001000000000001</v>
      </c>
      <c r="K2040" s="52">
        <v>9</v>
      </c>
      <c r="L2040" s="52"/>
      <c r="M2040" s="52">
        <v>1</v>
      </c>
      <c r="N2040" s="53">
        <v>17.46</v>
      </c>
      <c r="O2040" s="51">
        <v>34.700000000000003</v>
      </c>
      <c r="P2040" s="54">
        <v>0.18446465529411782</v>
      </c>
      <c r="Q2040" s="54">
        <v>1.1586149682352964</v>
      </c>
      <c r="R2040" s="47" t="s">
        <v>608</v>
      </c>
      <c r="S2040" s="47"/>
      <c r="T2040" s="71" t="s">
        <v>626</v>
      </c>
    </row>
    <row r="2041" spans="1:20" s="55" customFormat="1">
      <c r="A2041" s="47" t="s">
        <v>606</v>
      </c>
      <c r="B2041" s="47">
        <v>26</v>
      </c>
      <c r="C2041" s="47" t="s">
        <v>607</v>
      </c>
      <c r="D2041" s="48" t="s">
        <v>585</v>
      </c>
      <c r="E2041" s="47">
        <v>2021</v>
      </c>
      <c r="F2041" s="47">
        <v>2</v>
      </c>
      <c r="G2041" s="49">
        <v>21</v>
      </c>
      <c r="H2041" s="50">
        <v>0.13711805555555556</v>
      </c>
      <c r="I2041" s="51">
        <v>125.751</v>
      </c>
      <c r="J2041" s="51">
        <v>28.5</v>
      </c>
      <c r="K2041" s="52">
        <v>10</v>
      </c>
      <c r="L2041" s="52"/>
      <c r="M2041" s="52">
        <v>1</v>
      </c>
      <c r="N2041" s="53">
        <v>17.38</v>
      </c>
      <c r="O2041" s="51">
        <v>34.686</v>
      </c>
      <c r="P2041" s="54">
        <v>0.20018582117647066</v>
      </c>
      <c r="Q2041" s="54">
        <v>1.3809890329411765</v>
      </c>
      <c r="R2041" s="47" t="s">
        <v>608</v>
      </c>
      <c r="S2041" s="47"/>
      <c r="T2041" s="71" t="s">
        <v>626</v>
      </c>
    </row>
    <row r="2042" spans="1:20" s="55" customFormat="1">
      <c r="A2042" s="47" t="s">
        <v>606</v>
      </c>
      <c r="B2042" s="47">
        <v>27</v>
      </c>
      <c r="C2042" s="47" t="s">
        <v>607</v>
      </c>
      <c r="D2042" s="48" t="s">
        <v>585</v>
      </c>
      <c r="E2042" s="47">
        <v>2021</v>
      </c>
      <c r="F2042" s="47">
        <v>2</v>
      </c>
      <c r="G2042" s="49">
        <v>21</v>
      </c>
      <c r="H2042" s="50">
        <v>0.27239583333333334</v>
      </c>
      <c r="I2042" s="51">
        <v>126.251</v>
      </c>
      <c r="J2042" s="51">
        <v>28.498999999999999</v>
      </c>
      <c r="K2042" s="52">
        <v>10</v>
      </c>
      <c r="L2042" s="52"/>
      <c r="M2042" s="52">
        <v>1</v>
      </c>
      <c r="N2042" s="53">
        <v>18.82</v>
      </c>
      <c r="O2042" s="51">
        <v>34.732999999999997</v>
      </c>
      <c r="P2042" s="54">
        <v>0.21837970705882359</v>
      </c>
      <c r="Q2042" s="54">
        <v>1.425116657647056</v>
      </c>
      <c r="R2042" s="47" t="s">
        <v>608</v>
      </c>
      <c r="S2042" s="47"/>
      <c r="T2042" s="71" t="s">
        <v>626</v>
      </c>
    </row>
    <row r="2043" spans="1:20" s="55" customFormat="1">
      <c r="A2043" s="47" t="s">
        <v>606</v>
      </c>
      <c r="B2043" s="47">
        <v>28</v>
      </c>
      <c r="C2043" s="47" t="s">
        <v>607</v>
      </c>
      <c r="D2043" s="48" t="s">
        <v>585</v>
      </c>
      <c r="E2043" s="47">
        <v>2021</v>
      </c>
      <c r="F2043" s="47">
        <v>2</v>
      </c>
      <c r="G2043" s="49">
        <v>21</v>
      </c>
      <c r="H2043" s="50">
        <v>0.4057986111111111</v>
      </c>
      <c r="I2043" s="51">
        <v>126.749</v>
      </c>
      <c r="J2043" s="51">
        <v>28.5</v>
      </c>
      <c r="K2043" s="52">
        <v>10</v>
      </c>
      <c r="L2043" s="52"/>
      <c r="M2043" s="52">
        <v>1</v>
      </c>
      <c r="N2043" s="53">
        <v>19.12</v>
      </c>
      <c r="O2043" s="51">
        <v>34.700000000000003</v>
      </c>
      <c r="P2043" s="54">
        <v>0.19886461294117685</v>
      </c>
      <c r="Q2043" s="54">
        <v>1.3114588023529397</v>
      </c>
      <c r="R2043" s="47" t="s">
        <v>608</v>
      </c>
      <c r="S2043" s="47"/>
      <c r="T2043" s="71" t="s">
        <v>626</v>
      </c>
    </row>
    <row r="2044" spans="1:20" s="55" customFormat="1">
      <c r="A2044" s="47" t="s">
        <v>606</v>
      </c>
      <c r="B2044" s="47">
        <v>29</v>
      </c>
      <c r="C2044" s="47" t="s">
        <v>607</v>
      </c>
      <c r="D2044" s="48" t="s">
        <v>585</v>
      </c>
      <c r="E2044" s="47">
        <v>2021</v>
      </c>
      <c r="F2044" s="47">
        <v>2</v>
      </c>
      <c r="G2044" s="49">
        <v>21</v>
      </c>
      <c r="H2044" s="50">
        <v>0.56383101851851858</v>
      </c>
      <c r="I2044" s="51">
        <v>127.251</v>
      </c>
      <c r="J2044" s="51">
        <v>28.251000000000001</v>
      </c>
      <c r="K2044" s="52">
        <v>10</v>
      </c>
      <c r="L2044" s="52"/>
      <c r="M2044" s="52">
        <v>1</v>
      </c>
      <c r="N2044" s="53">
        <v>22.35</v>
      </c>
      <c r="O2044" s="51">
        <v>34.716000000000001</v>
      </c>
      <c r="P2044" s="54">
        <v>0.17298204823529462</v>
      </c>
      <c r="Q2044" s="54">
        <v>1.3508681247058831</v>
      </c>
      <c r="R2044" s="47" t="s">
        <v>608</v>
      </c>
      <c r="S2044" s="47"/>
      <c r="T2044" s="71" t="s">
        <v>626</v>
      </c>
    </row>
    <row r="2045" spans="1:20" s="55" customFormat="1">
      <c r="A2045" s="47" t="s">
        <v>606</v>
      </c>
      <c r="B2045" s="47">
        <v>30</v>
      </c>
      <c r="C2045" s="47" t="s">
        <v>607</v>
      </c>
      <c r="D2045" s="48" t="s">
        <v>585</v>
      </c>
      <c r="E2045" s="47">
        <v>2021</v>
      </c>
      <c r="F2045" s="47">
        <v>2</v>
      </c>
      <c r="G2045" s="49">
        <v>21</v>
      </c>
      <c r="H2045" s="50">
        <v>0.70337962962962963</v>
      </c>
      <c r="I2045" s="51">
        <v>127.749</v>
      </c>
      <c r="J2045" s="51">
        <v>28.25</v>
      </c>
      <c r="K2045" s="52">
        <v>9</v>
      </c>
      <c r="L2045" s="52"/>
      <c r="M2045" s="52">
        <v>1</v>
      </c>
      <c r="N2045" s="53">
        <v>21.12</v>
      </c>
      <c r="O2045" s="51">
        <v>34.732999999999997</v>
      </c>
      <c r="P2045" s="54">
        <v>0.21726209159663856</v>
      </c>
      <c r="Q2045" s="54">
        <v>1.3320250319327727</v>
      </c>
      <c r="R2045" s="47" t="s">
        <v>608</v>
      </c>
      <c r="S2045" s="47"/>
      <c r="T2045" s="71" t="s">
        <v>626</v>
      </c>
    </row>
    <row r="2046" spans="1:20" s="55" customFormat="1">
      <c r="A2046" s="47" t="s">
        <v>606</v>
      </c>
      <c r="B2046" s="47">
        <v>31</v>
      </c>
      <c r="C2046" s="47" t="s">
        <v>607</v>
      </c>
      <c r="D2046" s="48" t="s">
        <v>585</v>
      </c>
      <c r="E2046" s="47">
        <v>2021</v>
      </c>
      <c r="F2046" s="47">
        <v>2</v>
      </c>
      <c r="G2046" s="49">
        <v>21</v>
      </c>
      <c r="H2046" s="50">
        <v>0.84103009259259265</v>
      </c>
      <c r="I2046" s="51">
        <v>128.249</v>
      </c>
      <c r="J2046" s="51">
        <v>28.248000000000001</v>
      </c>
      <c r="K2046" s="52">
        <v>11</v>
      </c>
      <c r="L2046" s="52"/>
      <c r="M2046" s="52">
        <v>1</v>
      </c>
      <c r="N2046" s="53">
        <v>21.53</v>
      </c>
      <c r="O2046" s="51">
        <v>34.686999999999998</v>
      </c>
      <c r="P2046" s="54">
        <v>0.17300909852941171</v>
      </c>
      <c r="Q2046" s="54">
        <v>1.2771490955882356</v>
      </c>
      <c r="R2046" s="47" t="s">
        <v>608</v>
      </c>
      <c r="S2046" s="47"/>
      <c r="T2046" s="71" t="s">
        <v>626</v>
      </c>
    </row>
    <row r="2047" spans="1:20" s="55" customFormat="1">
      <c r="A2047" s="47" t="s">
        <v>606</v>
      </c>
      <c r="B2047" s="47">
        <v>32</v>
      </c>
      <c r="C2047" s="47" t="s">
        <v>607</v>
      </c>
      <c r="D2047" s="48" t="s">
        <v>586</v>
      </c>
      <c r="E2047" s="47">
        <v>2021</v>
      </c>
      <c r="F2047" s="47">
        <v>2</v>
      </c>
      <c r="G2047" s="49">
        <v>22</v>
      </c>
      <c r="H2047" s="50">
        <v>2.0949074074074075E-2</v>
      </c>
      <c r="I2047" s="51">
        <v>127.749</v>
      </c>
      <c r="J2047" s="51">
        <v>27.75</v>
      </c>
      <c r="K2047" s="52">
        <v>9</v>
      </c>
      <c r="L2047" s="52"/>
      <c r="M2047" s="52">
        <v>1</v>
      </c>
      <c r="N2047" s="53">
        <v>20.96</v>
      </c>
      <c r="O2047" s="51">
        <v>34.786000000000001</v>
      </c>
      <c r="P2047" s="54">
        <v>0.19971976117647028</v>
      </c>
      <c r="Q2047" s="54">
        <v>1.5666229435294134</v>
      </c>
      <c r="R2047" s="47" t="s">
        <v>608</v>
      </c>
      <c r="S2047" s="47"/>
      <c r="T2047" s="71" t="s">
        <v>626</v>
      </c>
    </row>
    <row r="2048" spans="1:20" s="55" customFormat="1">
      <c r="A2048" s="47" t="s">
        <v>606</v>
      </c>
      <c r="B2048" s="47">
        <v>33</v>
      </c>
      <c r="C2048" s="47" t="s">
        <v>607</v>
      </c>
      <c r="D2048" s="48" t="s">
        <v>586</v>
      </c>
      <c r="E2048" s="47">
        <v>2021</v>
      </c>
      <c r="F2048" s="47">
        <v>2</v>
      </c>
      <c r="G2048" s="49">
        <v>22</v>
      </c>
      <c r="H2048" s="50">
        <v>0.15956018518518519</v>
      </c>
      <c r="I2048" s="51">
        <v>127.25</v>
      </c>
      <c r="J2048" s="51">
        <v>27.75</v>
      </c>
      <c r="K2048" s="52">
        <v>10</v>
      </c>
      <c r="L2048" s="52"/>
      <c r="M2048" s="52">
        <v>1</v>
      </c>
      <c r="N2048" s="53">
        <v>23.02</v>
      </c>
      <c r="O2048" s="51">
        <v>34.542000000000002</v>
      </c>
      <c r="P2048" s="54">
        <v>9.0137660000000341E-2</v>
      </c>
      <c r="Q2048" s="54">
        <v>1.1582677799999974</v>
      </c>
      <c r="R2048" s="47" t="s">
        <v>608</v>
      </c>
      <c r="S2048" s="47"/>
      <c r="T2048" s="71" t="s">
        <v>626</v>
      </c>
    </row>
    <row r="2049" spans="1:20" s="55" customFormat="1">
      <c r="A2049" s="47" t="s">
        <v>606</v>
      </c>
      <c r="B2049" s="47">
        <v>34</v>
      </c>
      <c r="C2049" s="47" t="s">
        <v>607</v>
      </c>
      <c r="D2049" s="48" t="s">
        <v>586</v>
      </c>
      <c r="E2049" s="47">
        <v>2021</v>
      </c>
      <c r="F2049" s="47">
        <v>2</v>
      </c>
      <c r="G2049" s="49">
        <v>22</v>
      </c>
      <c r="H2049" s="50">
        <v>0.31548611111111108</v>
      </c>
      <c r="I2049" s="51">
        <v>126.753</v>
      </c>
      <c r="J2049" s="51">
        <v>28.001999999999999</v>
      </c>
      <c r="K2049" s="52">
        <v>9</v>
      </c>
      <c r="L2049" s="52"/>
      <c r="M2049" s="52">
        <v>1</v>
      </c>
      <c r="N2049" s="53">
        <v>23.32</v>
      </c>
      <c r="O2049" s="51">
        <v>34.584000000000003</v>
      </c>
      <c r="P2049" s="54">
        <v>0.14212538588235324</v>
      </c>
      <c r="Q2049" s="54">
        <v>1.3464090847058827</v>
      </c>
      <c r="R2049" s="47" t="s">
        <v>608</v>
      </c>
      <c r="S2049" s="47"/>
      <c r="T2049" s="71" t="s">
        <v>626</v>
      </c>
    </row>
    <row r="2050" spans="1:20" s="55" customFormat="1">
      <c r="A2050" s="47" t="s">
        <v>606</v>
      </c>
      <c r="B2050" s="47">
        <v>35</v>
      </c>
      <c r="C2050" s="47" t="s">
        <v>607</v>
      </c>
      <c r="D2050" s="48" t="s">
        <v>586</v>
      </c>
      <c r="E2050" s="47">
        <v>2021</v>
      </c>
      <c r="F2050" s="47">
        <v>2</v>
      </c>
      <c r="G2050" s="49">
        <v>22</v>
      </c>
      <c r="H2050" s="50">
        <v>0.47950231481481481</v>
      </c>
      <c r="I2050" s="51">
        <v>126.25</v>
      </c>
      <c r="J2050" s="51">
        <v>28.001000000000001</v>
      </c>
      <c r="K2050" s="52">
        <v>9</v>
      </c>
      <c r="L2050" s="52"/>
      <c r="M2050" s="52">
        <v>1</v>
      </c>
      <c r="N2050" s="53">
        <v>22.38</v>
      </c>
      <c r="O2050" s="51">
        <v>34.56</v>
      </c>
      <c r="P2050" s="54">
        <v>0.15269505176470544</v>
      </c>
      <c r="Q2050" s="54">
        <v>1.1552356694117627</v>
      </c>
      <c r="R2050" s="47" t="s">
        <v>608</v>
      </c>
      <c r="S2050" s="47"/>
      <c r="T2050" s="71" t="s">
        <v>626</v>
      </c>
    </row>
    <row r="2051" spans="1:20" s="55" customFormat="1">
      <c r="A2051" s="47" t="s">
        <v>606</v>
      </c>
      <c r="B2051" s="47">
        <v>36</v>
      </c>
      <c r="C2051" s="47" t="s">
        <v>607</v>
      </c>
      <c r="D2051" s="48" t="s">
        <v>586</v>
      </c>
      <c r="E2051" s="47">
        <v>2021</v>
      </c>
      <c r="F2051" s="47">
        <v>2</v>
      </c>
      <c r="G2051" s="49">
        <v>22</v>
      </c>
      <c r="H2051" s="50">
        <v>0.6340972222222222</v>
      </c>
      <c r="I2051" s="51">
        <v>125.753</v>
      </c>
      <c r="J2051" s="51">
        <v>27.992999999999999</v>
      </c>
      <c r="K2051" s="52">
        <v>10</v>
      </c>
      <c r="L2051" s="52"/>
      <c r="M2051" s="52">
        <v>1</v>
      </c>
      <c r="N2051" s="53">
        <v>19.48</v>
      </c>
      <c r="O2051" s="51">
        <v>34.671999999999997</v>
      </c>
      <c r="P2051" s="54">
        <v>0.13546429215686207</v>
      </c>
      <c r="Q2051" s="54">
        <v>1.2287725764705879</v>
      </c>
      <c r="R2051" s="47" t="s">
        <v>608</v>
      </c>
      <c r="S2051" s="47"/>
      <c r="T2051" s="71" t="s">
        <v>626</v>
      </c>
    </row>
    <row r="2052" spans="1:20" s="55" customFormat="1">
      <c r="A2052" s="47" t="s">
        <v>606</v>
      </c>
      <c r="B2052" s="47">
        <v>37</v>
      </c>
      <c r="C2052" s="47" t="s">
        <v>607</v>
      </c>
      <c r="D2052" s="48" t="s">
        <v>586</v>
      </c>
      <c r="E2052" s="47">
        <v>2021</v>
      </c>
      <c r="F2052" s="47">
        <v>2</v>
      </c>
      <c r="G2052" s="49">
        <v>22</v>
      </c>
      <c r="H2052" s="50">
        <v>0.79071759259259267</v>
      </c>
      <c r="I2052" s="51">
        <v>125.25700000000001</v>
      </c>
      <c r="J2052" s="51">
        <v>28</v>
      </c>
      <c r="K2052" s="52">
        <v>9</v>
      </c>
      <c r="L2052" s="52"/>
      <c r="M2052" s="52">
        <v>1</v>
      </c>
      <c r="N2052" s="53">
        <v>19.46</v>
      </c>
      <c r="O2052" s="51">
        <v>34.667999999999999</v>
      </c>
      <c r="P2052" s="54">
        <v>0.18150589647058801</v>
      </c>
      <c r="Q2052" s="54">
        <v>1.1554076494117655</v>
      </c>
      <c r="R2052" s="47" t="s">
        <v>608</v>
      </c>
      <c r="S2052" s="47"/>
      <c r="T2052" s="71" t="s">
        <v>626</v>
      </c>
    </row>
    <row r="2053" spans="1:20" s="55" customFormat="1">
      <c r="A2053" s="47" t="s">
        <v>606</v>
      </c>
      <c r="B2053" s="47">
        <v>38</v>
      </c>
      <c r="C2053" s="47" t="s">
        <v>607</v>
      </c>
      <c r="D2053" s="48" t="s">
        <v>587</v>
      </c>
      <c r="E2053" s="47">
        <v>2021</v>
      </c>
      <c r="F2053" s="47">
        <v>2</v>
      </c>
      <c r="G2053" s="49">
        <v>23</v>
      </c>
      <c r="H2053" s="50">
        <v>7.2083333333333333E-2</v>
      </c>
      <c r="I2053" s="51">
        <v>125.751</v>
      </c>
      <c r="J2053" s="51">
        <v>27.498999999999999</v>
      </c>
      <c r="K2053" s="52">
        <v>10</v>
      </c>
      <c r="L2053" s="52"/>
      <c r="M2053" s="52">
        <v>1</v>
      </c>
      <c r="N2053" s="53">
        <v>21.98</v>
      </c>
      <c r="O2053" s="51">
        <v>34.661999999999999</v>
      </c>
      <c r="P2053" s="54">
        <v>0.16923107411764704</v>
      </c>
      <c r="Q2053" s="54">
        <v>1.4279217623529394</v>
      </c>
      <c r="R2053" s="47" t="s">
        <v>608</v>
      </c>
      <c r="S2053" s="47"/>
      <c r="T2053" s="71" t="s">
        <v>626</v>
      </c>
    </row>
    <row r="2054" spans="1:20" s="55" customFormat="1">
      <c r="A2054" s="47" t="s">
        <v>606</v>
      </c>
      <c r="B2054" s="47">
        <v>39</v>
      </c>
      <c r="C2054" s="47" t="s">
        <v>607</v>
      </c>
      <c r="D2054" s="48" t="s">
        <v>586</v>
      </c>
      <c r="E2054" s="47">
        <v>2021</v>
      </c>
      <c r="F2054" s="47">
        <v>2</v>
      </c>
      <c r="G2054" s="49">
        <v>22</v>
      </c>
      <c r="H2054" s="50">
        <v>0.94152777777777785</v>
      </c>
      <c r="I2054" s="51">
        <v>125.251</v>
      </c>
      <c r="J2054" s="51">
        <v>27.5</v>
      </c>
      <c r="K2054" s="52">
        <v>10</v>
      </c>
      <c r="L2054" s="52"/>
      <c r="M2054" s="52">
        <v>1</v>
      </c>
      <c r="N2054" s="53">
        <v>21.07</v>
      </c>
      <c r="O2054" s="51">
        <v>34.61</v>
      </c>
      <c r="P2054" s="54">
        <v>8.7282412941176446E-2</v>
      </c>
      <c r="Q2054" s="54">
        <v>1.310218930588233</v>
      </c>
      <c r="R2054" s="47" t="s">
        <v>608</v>
      </c>
      <c r="S2054" s="47"/>
      <c r="T2054" s="71" t="s">
        <v>626</v>
      </c>
    </row>
    <row r="2055" spans="1:20" s="55" customFormat="1">
      <c r="A2055" s="47" t="s">
        <v>606</v>
      </c>
      <c r="B2055" s="47">
        <v>40</v>
      </c>
      <c r="C2055" s="47" t="s">
        <v>607</v>
      </c>
      <c r="D2055" s="48" t="s">
        <v>588</v>
      </c>
      <c r="E2055" s="47">
        <v>2021</v>
      </c>
      <c r="F2055" s="47">
        <v>2</v>
      </c>
      <c r="G2055" s="49">
        <v>24</v>
      </c>
      <c r="H2055" s="50">
        <v>0.23831018518518518</v>
      </c>
      <c r="I2055" s="51">
        <v>124.751</v>
      </c>
      <c r="J2055" s="51">
        <v>27.5</v>
      </c>
      <c r="K2055" s="52">
        <v>9</v>
      </c>
      <c r="L2055" s="52"/>
      <c r="M2055" s="52">
        <v>1</v>
      </c>
      <c r="N2055" s="53">
        <v>20.12</v>
      </c>
      <c r="O2055" s="51">
        <v>34.625999999999998</v>
      </c>
      <c r="P2055" s="54">
        <v>9.9907263529412038E-2</v>
      </c>
      <c r="Q2055" s="54">
        <v>1.185821104705882</v>
      </c>
      <c r="R2055" s="47" t="s">
        <v>608</v>
      </c>
      <c r="S2055" s="47"/>
      <c r="T2055" s="71" t="s">
        <v>626</v>
      </c>
    </row>
    <row r="2056" spans="1:20" s="55" customFormat="1">
      <c r="A2056" s="47" t="s">
        <v>606</v>
      </c>
      <c r="B2056" s="47">
        <v>41</v>
      </c>
      <c r="C2056" s="47" t="s">
        <v>607</v>
      </c>
      <c r="D2056" s="48" t="s">
        <v>588</v>
      </c>
      <c r="E2056" s="47">
        <v>2021</v>
      </c>
      <c r="F2056" s="47">
        <v>2</v>
      </c>
      <c r="G2056" s="49">
        <v>24</v>
      </c>
      <c r="H2056" s="50">
        <v>0.41431712962962958</v>
      </c>
      <c r="I2056" s="51">
        <v>124.251</v>
      </c>
      <c r="J2056" s="51">
        <v>27.5</v>
      </c>
      <c r="K2056" s="52">
        <v>9</v>
      </c>
      <c r="L2056" s="52"/>
      <c r="M2056" s="52">
        <v>1</v>
      </c>
      <c r="N2056" s="53">
        <v>21.01</v>
      </c>
      <c r="O2056" s="51">
        <v>34.552999999999997</v>
      </c>
      <c r="P2056" s="54">
        <v>9.0723374117646749E-2</v>
      </c>
      <c r="Q2056" s="54">
        <v>1.1500648588235265</v>
      </c>
      <c r="R2056" s="47" t="s">
        <v>608</v>
      </c>
      <c r="S2056" s="47"/>
      <c r="T2056" s="71" t="s">
        <v>626</v>
      </c>
    </row>
    <row r="2057" spans="1:20" s="55" customFormat="1">
      <c r="A2057" s="47" t="s">
        <v>606</v>
      </c>
      <c r="B2057" s="47">
        <v>42</v>
      </c>
      <c r="C2057" s="47" t="s">
        <v>607</v>
      </c>
      <c r="D2057" s="48" t="s">
        <v>588</v>
      </c>
      <c r="E2057" s="47">
        <v>2021</v>
      </c>
      <c r="F2057" s="47">
        <v>2</v>
      </c>
      <c r="G2057" s="49">
        <v>24</v>
      </c>
      <c r="H2057" s="50">
        <v>0.89391203703703714</v>
      </c>
      <c r="I2057" s="51">
        <v>123.753</v>
      </c>
      <c r="J2057" s="51">
        <v>27.498999999999999</v>
      </c>
      <c r="K2057" s="52">
        <v>10</v>
      </c>
      <c r="L2057" s="52"/>
      <c r="M2057" s="52">
        <v>1</v>
      </c>
      <c r="N2057" s="53">
        <v>20.84</v>
      </c>
      <c r="O2057" s="51">
        <v>34.506999999999998</v>
      </c>
      <c r="P2057" s="54">
        <v>0.1259722447058822</v>
      </c>
      <c r="Q2057" s="54">
        <v>1.0061224529411756</v>
      </c>
      <c r="R2057" s="47" t="s">
        <v>608</v>
      </c>
      <c r="S2057" s="47"/>
      <c r="T2057" s="71" t="s">
        <v>626</v>
      </c>
    </row>
    <row r="2058" spans="1:20" s="55" customFormat="1">
      <c r="A2058" s="47" t="s">
        <v>606</v>
      </c>
      <c r="B2058" s="47">
        <v>43</v>
      </c>
      <c r="C2058" s="47" t="s">
        <v>607</v>
      </c>
      <c r="D2058" s="48" t="s">
        <v>589</v>
      </c>
      <c r="E2058" s="47">
        <v>2021</v>
      </c>
      <c r="F2058" s="47">
        <v>2</v>
      </c>
      <c r="G2058" s="49">
        <v>25</v>
      </c>
      <c r="H2058" s="50">
        <v>6.3263888888888883E-2</v>
      </c>
      <c r="I2058" s="51">
        <v>123.25</v>
      </c>
      <c r="J2058" s="51">
        <v>27.033999999999999</v>
      </c>
      <c r="K2058" s="52">
        <v>9</v>
      </c>
      <c r="L2058" s="52"/>
      <c r="M2058" s="52">
        <v>1</v>
      </c>
      <c r="N2058" s="53">
        <v>21.75</v>
      </c>
      <c r="O2058" s="51">
        <v>34.521000000000001</v>
      </c>
      <c r="P2058" s="54">
        <v>0.11903037529411797</v>
      </c>
      <c r="Q2058" s="54">
        <v>1.0736168670588224</v>
      </c>
      <c r="R2058" s="47" t="s">
        <v>608</v>
      </c>
      <c r="S2058" s="47"/>
      <c r="T2058" s="71" t="s">
        <v>626</v>
      </c>
    </row>
    <row r="2059" spans="1:20" s="55" customFormat="1">
      <c r="A2059" s="47" t="s">
        <v>606</v>
      </c>
      <c r="B2059" s="47">
        <v>44</v>
      </c>
      <c r="C2059" s="47" t="s">
        <v>607</v>
      </c>
      <c r="D2059" s="48" t="s">
        <v>589</v>
      </c>
      <c r="E2059" s="47">
        <v>2021</v>
      </c>
      <c r="F2059" s="47">
        <v>2</v>
      </c>
      <c r="G2059" s="49">
        <v>25</v>
      </c>
      <c r="H2059" s="50">
        <v>0.2285300925925926</v>
      </c>
      <c r="I2059" s="51">
        <v>123.25</v>
      </c>
      <c r="J2059" s="51">
        <v>26.501000000000001</v>
      </c>
      <c r="K2059" s="52">
        <v>10</v>
      </c>
      <c r="L2059" s="52"/>
      <c r="M2059" s="52">
        <v>1</v>
      </c>
      <c r="N2059" s="53">
        <v>22.7</v>
      </c>
      <c r="O2059" s="51">
        <v>34.545999999999999</v>
      </c>
      <c r="P2059" s="54">
        <v>0.1074006458823531</v>
      </c>
      <c r="Q2059" s="54">
        <v>0.95415454117646981</v>
      </c>
      <c r="R2059" s="47" t="s">
        <v>608</v>
      </c>
      <c r="S2059" s="47"/>
      <c r="T2059" s="71" t="s">
        <v>626</v>
      </c>
    </row>
    <row r="2060" spans="1:20" s="55" customFormat="1">
      <c r="A2060" s="47" t="s">
        <v>606</v>
      </c>
      <c r="B2060" s="47">
        <v>45</v>
      </c>
      <c r="C2060" s="47" t="s">
        <v>607</v>
      </c>
      <c r="D2060" s="48" t="s">
        <v>589</v>
      </c>
      <c r="E2060" s="47">
        <v>2021</v>
      </c>
      <c r="F2060" s="47">
        <v>2</v>
      </c>
      <c r="G2060" s="49">
        <v>25</v>
      </c>
      <c r="H2060" s="50">
        <v>0.36932870370370369</v>
      </c>
      <c r="I2060" s="51">
        <v>123.75</v>
      </c>
      <c r="J2060" s="51">
        <v>26.5</v>
      </c>
      <c r="K2060" s="52">
        <v>10</v>
      </c>
      <c r="L2060" s="52"/>
      <c r="M2060" s="52">
        <v>1</v>
      </c>
      <c r="N2060" s="53">
        <v>22.82</v>
      </c>
      <c r="O2060" s="51">
        <v>34.457999999999998</v>
      </c>
      <c r="P2060" s="54">
        <v>0.13735019647058833</v>
      </c>
      <c r="Q2060" s="54">
        <v>1.0155289352941139</v>
      </c>
      <c r="R2060" s="47" t="s">
        <v>608</v>
      </c>
      <c r="S2060" s="47"/>
      <c r="T2060" s="71" t="s">
        <v>626</v>
      </c>
    </row>
    <row r="2061" spans="1:20" s="55" customFormat="1">
      <c r="A2061" s="47" t="s">
        <v>606</v>
      </c>
      <c r="B2061" s="47">
        <v>46</v>
      </c>
      <c r="C2061" s="47" t="s">
        <v>607</v>
      </c>
      <c r="D2061" s="48" t="s">
        <v>588</v>
      </c>
      <c r="E2061" s="47">
        <v>2021</v>
      </c>
      <c r="F2061" s="47">
        <v>2</v>
      </c>
      <c r="G2061" s="49">
        <v>24</v>
      </c>
      <c r="H2061" s="50">
        <v>0.70983796296296298</v>
      </c>
      <c r="I2061" s="51">
        <v>123.75</v>
      </c>
      <c r="J2061" s="51">
        <v>27.035</v>
      </c>
      <c r="K2061" s="52">
        <v>9</v>
      </c>
      <c r="L2061" s="52"/>
      <c r="M2061" s="52">
        <v>1</v>
      </c>
      <c r="N2061" s="53">
        <v>21.95</v>
      </c>
      <c r="O2061" s="51">
        <v>34.442</v>
      </c>
      <c r="P2061" s="54">
        <v>0.1046910388235287</v>
      </c>
      <c r="Q2061" s="54">
        <v>1.0805846317647045</v>
      </c>
      <c r="R2061" s="47" t="s">
        <v>608</v>
      </c>
      <c r="S2061" s="47"/>
      <c r="T2061" s="71" t="s">
        <v>626</v>
      </c>
    </row>
    <row r="2062" spans="1:20" s="55" customFormat="1">
      <c r="A2062" s="47" t="s">
        <v>606</v>
      </c>
      <c r="B2062" s="47">
        <v>47</v>
      </c>
      <c r="C2062" s="47" t="s">
        <v>607</v>
      </c>
      <c r="D2062" s="48" t="s">
        <v>588</v>
      </c>
      <c r="E2062" s="47">
        <v>2021</v>
      </c>
      <c r="F2062" s="47">
        <v>2</v>
      </c>
      <c r="G2062" s="49">
        <v>24</v>
      </c>
      <c r="H2062" s="50">
        <v>0.56417824074074074</v>
      </c>
      <c r="I2062" s="51">
        <v>124.247</v>
      </c>
      <c r="J2062" s="51">
        <v>27.035</v>
      </c>
      <c r="K2062" s="52">
        <v>10</v>
      </c>
      <c r="L2062" s="52"/>
      <c r="M2062" s="52">
        <v>1</v>
      </c>
      <c r="N2062" s="53">
        <v>20.67</v>
      </c>
      <c r="O2062" s="51">
        <v>34.622</v>
      </c>
      <c r="P2062" s="54">
        <v>0.12383812941176453</v>
      </c>
      <c r="Q2062" s="54">
        <v>1.0815485058823526</v>
      </c>
      <c r="R2062" s="47" t="s">
        <v>608</v>
      </c>
      <c r="S2062" s="47"/>
      <c r="T2062" s="71" t="s">
        <v>626</v>
      </c>
    </row>
    <row r="2063" spans="1:20" s="55" customFormat="1">
      <c r="A2063" s="47" t="s">
        <v>606</v>
      </c>
      <c r="B2063" s="47">
        <v>48</v>
      </c>
      <c r="C2063" s="47" t="s">
        <v>607</v>
      </c>
      <c r="D2063" s="48" t="s">
        <v>589</v>
      </c>
      <c r="E2063" s="47">
        <v>2021</v>
      </c>
      <c r="F2063" s="47">
        <v>2</v>
      </c>
      <c r="G2063" s="49">
        <v>25</v>
      </c>
      <c r="H2063" s="50">
        <v>0.52141203703703709</v>
      </c>
      <c r="I2063" s="51">
        <v>124.25</v>
      </c>
      <c r="J2063" s="51">
        <v>26.5</v>
      </c>
      <c r="K2063" s="52">
        <v>10</v>
      </c>
      <c r="L2063" s="52"/>
      <c r="M2063" s="52">
        <v>1</v>
      </c>
      <c r="N2063" s="53">
        <v>22.5</v>
      </c>
      <c r="O2063" s="51">
        <v>34.512999999999998</v>
      </c>
      <c r="P2063" s="54">
        <v>0.10711289999999973</v>
      </c>
      <c r="Q2063" s="54">
        <v>0.96011197999999887</v>
      </c>
      <c r="R2063" s="47" t="s">
        <v>608</v>
      </c>
      <c r="S2063" s="47"/>
      <c r="T2063" s="71" t="s">
        <v>626</v>
      </c>
    </row>
    <row r="2064" spans="1:20" s="55" customFormat="1">
      <c r="A2064" s="47" t="s">
        <v>606</v>
      </c>
      <c r="B2064" s="47">
        <v>49</v>
      </c>
      <c r="C2064" s="47" t="s">
        <v>607</v>
      </c>
      <c r="D2064" s="48" t="s">
        <v>589</v>
      </c>
      <c r="E2064" s="47">
        <v>2021</v>
      </c>
      <c r="F2064" s="47">
        <v>2</v>
      </c>
      <c r="G2064" s="49">
        <v>25</v>
      </c>
      <c r="H2064" s="50">
        <v>0.66758101851851848</v>
      </c>
      <c r="I2064" s="51">
        <v>124.75</v>
      </c>
      <c r="J2064" s="51">
        <v>26.501000000000001</v>
      </c>
      <c r="K2064" s="52">
        <v>10</v>
      </c>
      <c r="L2064" s="52"/>
      <c r="M2064" s="52">
        <v>1</v>
      </c>
      <c r="N2064" s="53">
        <v>22.71</v>
      </c>
      <c r="O2064" s="51">
        <v>34.497999999999998</v>
      </c>
      <c r="P2064" s="54">
        <v>8.0808130588235549E-2</v>
      </c>
      <c r="Q2064" s="54">
        <v>1.0773562341176461</v>
      </c>
      <c r="R2064" s="47" t="s">
        <v>608</v>
      </c>
      <c r="S2064" s="47"/>
      <c r="T2064" s="71" t="s">
        <v>626</v>
      </c>
    </row>
    <row r="2065" spans="1:20" s="55" customFormat="1">
      <c r="A2065" s="47" t="s">
        <v>606</v>
      </c>
      <c r="B2065" s="47">
        <v>50</v>
      </c>
      <c r="C2065" s="47" t="s">
        <v>607</v>
      </c>
      <c r="D2065" s="48" t="s">
        <v>588</v>
      </c>
      <c r="E2065" s="47">
        <v>2021</v>
      </c>
      <c r="F2065" s="47">
        <v>2</v>
      </c>
      <c r="G2065" s="49">
        <v>24</v>
      </c>
      <c r="H2065" s="50">
        <v>6.0497685185185189E-2</v>
      </c>
      <c r="I2065" s="51">
        <v>124.751</v>
      </c>
      <c r="J2065" s="51">
        <v>27.033000000000001</v>
      </c>
      <c r="K2065" s="52">
        <v>10</v>
      </c>
      <c r="L2065" s="52"/>
      <c r="M2065" s="52">
        <v>1</v>
      </c>
      <c r="N2065" s="53">
        <v>20.54</v>
      </c>
      <c r="O2065" s="51">
        <v>34.619999999999997</v>
      </c>
      <c r="P2065" s="54">
        <v>0.17378901617647013</v>
      </c>
      <c r="Q2065" s="54">
        <v>1.2217457382352936</v>
      </c>
      <c r="R2065" s="47" t="s">
        <v>608</v>
      </c>
      <c r="S2065" s="47"/>
      <c r="T2065" s="71" t="s">
        <v>626</v>
      </c>
    </row>
    <row r="2066" spans="1:20" s="55" customFormat="1">
      <c r="A2066" s="47" t="s">
        <v>606</v>
      </c>
      <c r="B2066" s="47">
        <v>51</v>
      </c>
      <c r="C2066" s="47" t="s">
        <v>607</v>
      </c>
      <c r="D2066" s="48" t="s">
        <v>587</v>
      </c>
      <c r="E2066" s="47">
        <v>2021</v>
      </c>
      <c r="F2066" s="47">
        <v>2</v>
      </c>
      <c r="G2066" s="49">
        <v>23</v>
      </c>
      <c r="H2066" s="50">
        <v>0.91203703703703709</v>
      </c>
      <c r="I2066" s="51">
        <v>125.249</v>
      </c>
      <c r="J2066" s="51">
        <v>27.035</v>
      </c>
      <c r="K2066" s="52">
        <v>9</v>
      </c>
      <c r="L2066" s="52"/>
      <c r="M2066" s="52">
        <v>1</v>
      </c>
      <c r="N2066" s="53">
        <v>22.44</v>
      </c>
      <c r="O2066" s="51">
        <v>34.594999999999999</v>
      </c>
      <c r="P2066" s="54">
        <v>0.1879934717647056</v>
      </c>
      <c r="Q2066" s="54">
        <v>1.3209260623529406</v>
      </c>
      <c r="R2066" s="47" t="s">
        <v>608</v>
      </c>
      <c r="S2066" s="47"/>
      <c r="T2066" s="71" t="s">
        <v>626</v>
      </c>
    </row>
    <row r="2067" spans="1:20" s="55" customFormat="1">
      <c r="A2067" s="47" t="s">
        <v>606</v>
      </c>
      <c r="B2067" s="47">
        <v>52</v>
      </c>
      <c r="C2067" s="47" t="s">
        <v>607</v>
      </c>
      <c r="D2067" s="48" t="s">
        <v>587</v>
      </c>
      <c r="E2067" s="47">
        <v>2021</v>
      </c>
      <c r="F2067" s="47">
        <v>2</v>
      </c>
      <c r="G2067" s="49">
        <v>23</v>
      </c>
      <c r="H2067" s="50">
        <v>0.76761574074074079</v>
      </c>
      <c r="I2067" s="51">
        <v>125.75</v>
      </c>
      <c r="J2067" s="51">
        <v>27.033999999999999</v>
      </c>
      <c r="K2067" s="52">
        <v>10</v>
      </c>
      <c r="L2067" s="52"/>
      <c r="M2067" s="52">
        <v>1</v>
      </c>
      <c r="N2067" s="53">
        <v>23.07</v>
      </c>
      <c r="O2067" s="51">
        <v>34.534999999999997</v>
      </c>
      <c r="P2067" s="54">
        <v>0.13824940235294081</v>
      </c>
      <c r="Q2067" s="54">
        <v>1.2385786964705847</v>
      </c>
      <c r="R2067" s="47" t="s">
        <v>608</v>
      </c>
      <c r="S2067" s="47"/>
      <c r="T2067" s="71" t="s">
        <v>626</v>
      </c>
    </row>
    <row r="2068" spans="1:20" s="55" customFormat="1">
      <c r="A2068" s="47" t="s">
        <v>606</v>
      </c>
      <c r="B2068" s="47">
        <v>53</v>
      </c>
      <c r="C2068" s="47" t="s">
        <v>607</v>
      </c>
      <c r="D2068" s="48" t="s">
        <v>589</v>
      </c>
      <c r="E2068" s="47">
        <v>2021</v>
      </c>
      <c r="F2068" s="47">
        <v>2</v>
      </c>
      <c r="G2068" s="49">
        <v>25</v>
      </c>
      <c r="H2068" s="50">
        <v>0.8256944444444444</v>
      </c>
      <c r="I2068" s="51">
        <v>125.25</v>
      </c>
      <c r="J2068" s="51">
        <v>26.498999999999999</v>
      </c>
      <c r="K2068" s="52">
        <v>9</v>
      </c>
      <c r="L2068" s="52"/>
      <c r="M2068" s="52">
        <v>1</v>
      </c>
      <c r="N2068" s="53">
        <v>23.27</v>
      </c>
      <c r="O2068" s="51">
        <v>34.503999999999998</v>
      </c>
      <c r="P2068" s="54">
        <v>0.11377901294117576</v>
      </c>
      <c r="Q2068" s="54">
        <v>0.93946417058823428</v>
      </c>
      <c r="R2068" s="47" t="s">
        <v>608</v>
      </c>
      <c r="S2068" s="47"/>
      <c r="T2068" s="71" t="s">
        <v>626</v>
      </c>
    </row>
    <row r="2069" spans="1:20" s="55" customFormat="1">
      <c r="A2069" s="47" t="s">
        <v>606</v>
      </c>
      <c r="B2069" s="47">
        <v>54</v>
      </c>
      <c r="C2069" s="47" t="s">
        <v>607</v>
      </c>
      <c r="D2069" s="48" t="s">
        <v>589</v>
      </c>
      <c r="E2069" s="47">
        <v>2021</v>
      </c>
      <c r="F2069" s="47">
        <v>2</v>
      </c>
      <c r="G2069" s="49">
        <v>25</v>
      </c>
      <c r="H2069" s="50">
        <v>0.9955208333333333</v>
      </c>
      <c r="I2069" s="51">
        <v>125.751</v>
      </c>
      <c r="J2069" s="51">
        <v>26.501999999999999</v>
      </c>
      <c r="K2069" s="52">
        <v>10</v>
      </c>
      <c r="L2069" s="52"/>
      <c r="M2069" s="52">
        <v>1</v>
      </c>
      <c r="N2069" s="53">
        <v>23.21</v>
      </c>
      <c r="O2069" s="51">
        <v>34.686</v>
      </c>
      <c r="P2069" s="54">
        <v>0.22416120470588208</v>
      </c>
      <c r="Q2069" s="54">
        <v>1.5390888941176488</v>
      </c>
      <c r="R2069" s="47" t="s">
        <v>608</v>
      </c>
      <c r="S2069" s="47"/>
      <c r="T2069" s="71" t="s">
        <v>626</v>
      </c>
    </row>
    <row r="2070" spans="1:20" s="55" customFormat="1">
      <c r="A2070" s="47" t="s">
        <v>606</v>
      </c>
      <c r="B2070" s="47">
        <v>55</v>
      </c>
      <c r="C2070" s="47" t="s">
        <v>607</v>
      </c>
      <c r="D2070" s="48" t="s">
        <v>590</v>
      </c>
      <c r="E2070" s="47">
        <v>2021</v>
      </c>
      <c r="F2070" s="47">
        <v>2</v>
      </c>
      <c r="G2070" s="49">
        <v>26</v>
      </c>
      <c r="H2070" s="50">
        <v>0.13969907407407409</v>
      </c>
      <c r="I2070" s="51">
        <v>126.249</v>
      </c>
      <c r="J2070" s="51">
        <v>26.5</v>
      </c>
      <c r="K2070" s="52">
        <v>10</v>
      </c>
      <c r="L2070" s="52"/>
      <c r="M2070" s="52">
        <v>1</v>
      </c>
      <c r="N2070" s="53">
        <v>22.77</v>
      </c>
      <c r="O2070" s="51">
        <v>34.777000000000001</v>
      </c>
      <c r="P2070" s="54">
        <v>0.22547871323529423</v>
      </c>
      <c r="Q2070" s="54">
        <v>1.4859374735294111</v>
      </c>
      <c r="R2070" s="47" t="s">
        <v>608</v>
      </c>
      <c r="S2070" s="47"/>
      <c r="T2070" s="71" t="s">
        <v>626</v>
      </c>
    </row>
    <row r="2071" spans="1:20" s="55" customFormat="1">
      <c r="A2071" s="47" t="s">
        <v>606</v>
      </c>
      <c r="B2071" s="47">
        <v>56</v>
      </c>
      <c r="C2071" s="47" t="s">
        <v>607</v>
      </c>
      <c r="D2071" s="48" t="s">
        <v>587</v>
      </c>
      <c r="E2071" s="47">
        <v>2021</v>
      </c>
      <c r="F2071" s="47">
        <v>2</v>
      </c>
      <c r="G2071" s="49">
        <v>23</v>
      </c>
      <c r="H2071" s="50">
        <v>0.62603009259259257</v>
      </c>
      <c r="I2071" s="51">
        <v>126.25</v>
      </c>
      <c r="J2071" s="51">
        <v>27.035</v>
      </c>
      <c r="K2071" s="52">
        <v>10</v>
      </c>
      <c r="L2071" s="52"/>
      <c r="M2071" s="52">
        <v>1</v>
      </c>
      <c r="N2071" s="53">
        <v>23.36</v>
      </c>
      <c r="O2071" s="51">
        <v>34.597999999999999</v>
      </c>
      <c r="P2071" s="54">
        <v>0.13114425999999968</v>
      </c>
      <c r="Q2071" s="54">
        <v>1.2846219199999993</v>
      </c>
      <c r="R2071" s="47" t="s">
        <v>608</v>
      </c>
      <c r="S2071" s="47"/>
      <c r="T2071" s="71" t="s">
        <v>626</v>
      </c>
    </row>
    <row r="2072" spans="1:20" s="55" customFormat="1">
      <c r="A2072" s="47" t="s">
        <v>606</v>
      </c>
      <c r="B2072" s="47">
        <v>57</v>
      </c>
      <c r="C2072" s="47" t="s">
        <v>607</v>
      </c>
      <c r="D2072" s="48" t="s">
        <v>587</v>
      </c>
      <c r="E2072" s="47">
        <v>2021</v>
      </c>
      <c r="F2072" s="47">
        <v>2</v>
      </c>
      <c r="G2072" s="49">
        <v>23</v>
      </c>
      <c r="H2072" s="50">
        <v>0.20810185185185184</v>
      </c>
      <c r="I2072" s="51">
        <v>126.252</v>
      </c>
      <c r="J2072" s="51">
        <v>27.5</v>
      </c>
      <c r="K2072" s="52">
        <v>9</v>
      </c>
      <c r="L2072" s="52"/>
      <c r="M2072" s="52">
        <v>1</v>
      </c>
      <c r="N2072" s="53">
        <v>22.62</v>
      </c>
      <c r="O2072" s="51">
        <v>34.542000000000002</v>
      </c>
      <c r="P2072" s="54">
        <v>0.15667973764705856</v>
      </c>
      <c r="Q2072" s="54">
        <v>1.205633832941178</v>
      </c>
      <c r="R2072" s="47" t="s">
        <v>608</v>
      </c>
      <c r="S2072" s="47"/>
      <c r="T2072" s="71" t="s">
        <v>626</v>
      </c>
    </row>
    <row r="2073" spans="1:20" s="55" customFormat="1">
      <c r="A2073" s="47" t="s">
        <v>606</v>
      </c>
      <c r="B2073" s="47">
        <v>58</v>
      </c>
      <c r="C2073" s="47" t="s">
        <v>607</v>
      </c>
      <c r="D2073" s="48" t="s">
        <v>587</v>
      </c>
      <c r="E2073" s="47">
        <v>2021</v>
      </c>
      <c r="F2073" s="47">
        <v>2</v>
      </c>
      <c r="G2073" s="49">
        <v>23</v>
      </c>
      <c r="H2073" s="50">
        <v>0.34289351851851851</v>
      </c>
      <c r="I2073" s="51">
        <v>126.752</v>
      </c>
      <c r="J2073" s="51">
        <v>27.501000000000001</v>
      </c>
      <c r="K2073" s="52">
        <v>9</v>
      </c>
      <c r="L2073" s="52"/>
      <c r="M2073" s="52">
        <v>1</v>
      </c>
      <c r="N2073" s="53">
        <v>23.39</v>
      </c>
      <c r="O2073" s="51">
        <v>34.584000000000003</v>
      </c>
      <c r="P2073" s="54">
        <v>0.14583557529411761</v>
      </c>
      <c r="Q2073" s="54">
        <v>1.2010815058823532</v>
      </c>
      <c r="R2073" s="47" t="s">
        <v>608</v>
      </c>
      <c r="S2073" s="47"/>
      <c r="T2073" s="71" t="s">
        <v>626</v>
      </c>
    </row>
    <row r="2074" spans="1:20" s="55" customFormat="1">
      <c r="A2074" s="47" t="s">
        <v>606</v>
      </c>
      <c r="B2074" s="47">
        <v>59</v>
      </c>
      <c r="C2074" s="47" t="s">
        <v>607</v>
      </c>
      <c r="D2074" s="48" t="s">
        <v>587</v>
      </c>
      <c r="E2074" s="47">
        <v>2021</v>
      </c>
      <c r="F2074" s="47">
        <v>2</v>
      </c>
      <c r="G2074" s="49">
        <v>23</v>
      </c>
      <c r="H2074" s="50">
        <v>0.49026620370370372</v>
      </c>
      <c r="I2074" s="51">
        <v>126.75</v>
      </c>
      <c r="J2074" s="51">
        <v>27.036000000000001</v>
      </c>
      <c r="K2074" s="52">
        <v>9</v>
      </c>
      <c r="L2074" s="52"/>
      <c r="M2074" s="52">
        <v>1</v>
      </c>
      <c r="N2074" s="53">
        <v>22.25</v>
      </c>
      <c r="O2074" s="51">
        <v>34.698999999999998</v>
      </c>
      <c r="P2074" s="54">
        <v>0.25659751294117639</v>
      </c>
      <c r="Q2074" s="54">
        <v>1.3247240988235323</v>
      </c>
      <c r="R2074" s="47" t="s">
        <v>608</v>
      </c>
      <c r="S2074" s="47"/>
      <c r="T2074" s="71" t="s">
        <v>626</v>
      </c>
    </row>
    <row r="2075" spans="1:20" s="55" customFormat="1" ht="15">
      <c r="A2075" s="47" t="s">
        <v>591</v>
      </c>
      <c r="B2075" s="47" t="s">
        <v>609</v>
      </c>
      <c r="C2075" s="47" t="s">
        <v>607</v>
      </c>
      <c r="D2075" s="48" t="s">
        <v>592</v>
      </c>
      <c r="E2075" s="47">
        <v>2021</v>
      </c>
      <c r="F2075" s="47">
        <v>2</v>
      </c>
      <c r="G2075" s="49">
        <v>28</v>
      </c>
      <c r="H2075" s="50">
        <v>0.2093865740740741</v>
      </c>
      <c r="I2075" s="51">
        <v>126.251</v>
      </c>
      <c r="J2075" s="51">
        <v>27.251000000000001</v>
      </c>
      <c r="K2075" s="57">
        <v>0</v>
      </c>
      <c r="L2075" s="52"/>
      <c r="M2075" s="52">
        <v>0</v>
      </c>
      <c r="N2075" s="53">
        <v>23.4</v>
      </c>
      <c r="O2075">
        <v>34.578599509999997</v>
      </c>
      <c r="P2075" s="54">
        <v>0.10003041058823481</v>
      </c>
      <c r="Q2075" s="54">
        <v>0.99525377176470364</v>
      </c>
      <c r="R2075" s="47" t="s">
        <v>608</v>
      </c>
      <c r="S2075" s="47"/>
      <c r="T2075" s="71" t="s">
        <v>626</v>
      </c>
    </row>
    <row r="2076" spans="1:20" s="55" customFormat="1" ht="15">
      <c r="A2076" s="47" t="s">
        <v>591</v>
      </c>
      <c r="B2076" s="47" t="s">
        <v>609</v>
      </c>
      <c r="C2076" s="47" t="s">
        <v>607</v>
      </c>
      <c r="D2076" s="48" t="s">
        <v>592</v>
      </c>
      <c r="E2076" s="47">
        <v>2021</v>
      </c>
      <c r="F2076" s="47">
        <v>2</v>
      </c>
      <c r="G2076" s="49">
        <v>28</v>
      </c>
      <c r="H2076" s="50">
        <v>0.2093865740740741</v>
      </c>
      <c r="I2076" s="51">
        <v>126.251</v>
      </c>
      <c r="J2076" s="51">
        <v>27.251000000000001</v>
      </c>
      <c r="K2076" s="57">
        <v>9.8610000000000007</v>
      </c>
      <c r="L2076" s="52"/>
      <c r="M2076" s="52">
        <v>11</v>
      </c>
      <c r="N2076" s="53">
        <v>23.38</v>
      </c>
      <c r="O2076">
        <v>34.58559468</v>
      </c>
      <c r="P2076" s="54">
        <v>0.12127390823529405</v>
      </c>
      <c r="Q2076" s="54">
        <v>1.0050766047058826</v>
      </c>
      <c r="R2076" s="47" t="s">
        <v>608</v>
      </c>
      <c r="S2076" s="47"/>
      <c r="T2076" s="71" t="s">
        <v>626</v>
      </c>
    </row>
    <row r="2077" spans="1:20" s="55" customFormat="1" ht="15">
      <c r="A2077" s="47" t="s">
        <v>591</v>
      </c>
      <c r="B2077" s="47" t="s">
        <v>609</v>
      </c>
      <c r="C2077" s="47" t="s">
        <v>607</v>
      </c>
      <c r="D2077" s="48" t="s">
        <v>592</v>
      </c>
      <c r="E2077" s="47">
        <v>2021</v>
      </c>
      <c r="F2077" s="47">
        <v>2</v>
      </c>
      <c r="G2077" s="49">
        <v>28</v>
      </c>
      <c r="H2077" s="50">
        <v>0.2093865740740741</v>
      </c>
      <c r="I2077" s="51">
        <v>126.251</v>
      </c>
      <c r="J2077" s="51">
        <v>27.251000000000001</v>
      </c>
      <c r="K2077" s="57">
        <v>19.334</v>
      </c>
      <c r="L2077" s="52"/>
      <c r="M2077" s="52">
        <v>10</v>
      </c>
      <c r="N2077" s="53">
        <v>23.39</v>
      </c>
      <c r="O2077">
        <v>34.575179259999999</v>
      </c>
      <c r="P2077" s="54">
        <v>0.14951437647058841</v>
      </c>
      <c r="Q2077" s="54">
        <v>1.2426800999999994</v>
      </c>
      <c r="R2077" s="47" t="s">
        <v>608</v>
      </c>
      <c r="S2077" s="47"/>
      <c r="T2077" s="71" t="s">
        <v>626</v>
      </c>
    </row>
    <row r="2078" spans="1:20" s="55" customFormat="1" ht="15">
      <c r="A2078" s="47" t="s">
        <v>591</v>
      </c>
      <c r="B2078" s="47" t="s">
        <v>609</v>
      </c>
      <c r="C2078" s="47" t="s">
        <v>607</v>
      </c>
      <c r="D2078" s="48" t="s">
        <v>592</v>
      </c>
      <c r="E2078" s="47">
        <v>2021</v>
      </c>
      <c r="F2078" s="47">
        <v>2</v>
      </c>
      <c r="G2078" s="49">
        <v>28</v>
      </c>
      <c r="H2078" s="50">
        <v>0.2093865740740741</v>
      </c>
      <c r="I2078" s="51">
        <v>126.251</v>
      </c>
      <c r="J2078" s="51">
        <v>27.251000000000001</v>
      </c>
      <c r="K2078" s="57">
        <v>28.524999999999999</v>
      </c>
      <c r="L2078" s="52"/>
      <c r="M2078" s="52">
        <v>9</v>
      </c>
      <c r="N2078" s="53">
        <v>23.4</v>
      </c>
      <c r="O2078">
        <v>34.58185916</v>
      </c>
      <c r="P2078" s="54">
        <v>0.19418720588235328</v>
      </c>
      <c r="Q2078" s="54">
        <v>1.2745010682352955</v>
      </c>
      <c r="R2078" s="47" t="s">
        <v>608</v>
      </c>
      <c r="S2078" s="47"/>
      <c r="T2078" s="71" t="s">
        <v>626</v>
      </c>
    </row>
    <row r="2079" spans="1:20" s="55" customFormat="1" ht="15">
      <c r="A2079" s="47" t="s">
        <v>591</v>
      </c>
      <c r="B2079" s="47" t="s">
        <v>609</v>
      </c>
      <c r="C2079" s="47" t="s">
        <v>607</v>
      </c>
      <c r="D2079" s="48" t="s">
        <v>592</v>
      </c>
      <c r="E2079" s="47">
        <v>2021</v>
      </c>
      <c r="F2079" s="47">
        <v>2</v>
      </c>
      <c r="G2079" s="49">
        <v>28</v>
      </c>
      <c r="H2079" s="50">
        <v>0.2093865740740741</v>
      </c>
      <c r="I2079" s="51">
        <v>126.251</v>
      </c>
      <c r="J2079" s="51">
        <v>27.251000000000001</v>
      </c>
      <c r="K2079" s="57">
        <v>50.290999999999997</v>
      </c>
      <c r="L2079" s="52"/>
      <c r="M2079" s="52">
        <v>8</v>
      </c>
      <c r="N2079" s="53">
        <v>23.42</v>
      </c>
      <c r="O2079">
        <v>34.612623020000001</v>
      </c>
      <c r="P2079" s="54">
        <v>0.16703682352941174</v>
      </c>
      <c r="Q2079" s="54">
        <v>1.1738607929411753</v>
      </c>
      <c r="R2079" s="47" t="s">
        <v>608</v>
      </c>
      <c r="S2079" s="47"/>
      <c r="T2079" s="71" t="s">
        <v>626</v>
      </c>
    </row>
    <row r="2080" spans="1:20" s="55" customFormat="1" ht="15">
      <c r="A2080" s="47" t="s">
        <v>591</v>
      </c>
      <c r="B2080" s="47" t="s">
        <v>609</v>
      </c>
      <c r="C2080" s="47" t="s">
        <v>607</v>
      </c>
      <c r="D2080" s="48" t="s">
        <v>592</v>
      </c>
      <c r="E2080" s="47">
        <v>2021</v>
      </c>
      <c r="F2080" s="47">
        <v>2</v>
      </c>
      <c r="G2080" s="49">
        <v>28</v>
      </c>
      <c r="H2080" s="50">
        <v>0.2093865740740741</v>
      </c>
      <c r="I2080" s="51">
        <v>126.251</v>
      </c>
      <c r="J2080" s="51">
        <v>27.251000000000001</v>
      </c>
      <c r="K2080" s="57">
        <v>72.569999999999993</v>
      </c>
      <c r="L2080" s="52"/>
      <c r="M2080" s="52">
        <v>7</v>
      </c>
      <c r="N2080" s="53">
        <v>23.38</v>
      </c>
      <c r="O2080">
        <v>34.725804109999999</v>
      </c>
      <c r="P2080" s="54">
        <v>0.17546944117647056</v>
      </c>
      <c r="Q2080" s="54">
        <v>1.1405719976470596</v>
      </c>
      <c r="R2080" s="47" t="s">
        <v>608</v>
      </c>
      <c r="S2080" s="47"/>
      <c r="T2080" s="71" t="s">
        <v>626</v>
      </c>
    </row>
    <row r="2081" spans="1:20" s="55" customFormat="1" ht="15">
      <c r="A2081" s="47" t="s">
        <v>591</v>
      </c>
      <c r="B2081" s="47" t="s">
        <v>609</v>
      </c>
      <c r="C2081" s="47" t="s">
        <v>607</v>
      </c>
      <c r="D2081" s="48" t="s">
        <v>592</v>
      </c>
      <c r="E2081" s="47">
        <v>2021</v>
      </c>
      <c r="F2081" s="47">
        <v>2</v>
      </c>
      <c r="G2081" s="49">
        <v>28</v>
      </c>
      <c r="H2081" s="50">
        <v>0.2093865740740741</v>
      </c>
      <c r="I2081" s="51">
        <v>126.251</v>
      </c>
      <c r="J2081" s="51">
        <v>27.251000000000001</v>
      </c>
      <c r="K2081" s="57">
        <v>99.200999999999993</v>
      </c>
      <c r="L2081" s="52"/>
      <c r="M2081" s="52">
        <v>6</v>
      </c>
      <c r="N2081" s="53">
        <v>23.14</v>
      </c>
      <c r="O2081">
        <v>34.760067890000002</v>
      </c>
      <c r="P2081" s="54">
        <v>0.20026205882352954</v>
      </c>
      <c r="Q2081" s="54">
        <v>1.3812054023529381</v>
      </c>
      <c r="R2081" s="47" t="s">
        <v>608</v>
      </c>
      <c r="S2081" s="47"/>
      <c r="T2081" s="71" t="s">
        <v>626</v>
      </c>
    </row>
    <row r="2082" spans="1:20" s="55" customFormat="1" ht="15">
      <c r="A2082" s="47" t="s">
        <v>591</v>
      </c>
      <c r="B2082" s="47" t="s">
        <v>609</v>
      </c>
      <c r="C2082" s="47" t="s">
        <v>607</v>
      </c>
      <c r="D2082" s="48" t="s">
        <v>592</v>
      </c>
      <c r="E2082" s="47">
        <v>2021</v>
      </c>
      <c r="F2082" s="47">
        <v>2</v>
      </c>
      <c r="G2082" s="49">
        <v>28</v>
      </c>
      <c r="H2082" s="50">
        <v>0.2093865740740741</v>
      </c>
      <c r="I2082" s="51">
        <v>126.251</v>
      </c>
      <c r="J2082" s="51">
        <v>27.251000000000001</v>
      </c>
      <c r="K2082" s="57">
        <v>123.52500000000001</v>
      </c>
      <c r="L2082" s="52"/>
      <c r="M2082" s="52">
        <v>5</v>
      </c>
      <c r="N2082" s="53">
        <v>22.94</v>
      </c>
      <c r="O2082">
        <v>34.809018260000002</v>
      </c>
      <c r="P2082" s="54">
        <v>0.21871517647058791</v>
      </c>
      <c r="Q2082" s="54">
        <v>1.4329404870588238</v>
      </c>
      <c r="R2082" s="47" t="s">
        <v>608</v>
      </c>
      <c r="S2082" s="47"/>
      <c r="T2082" s="71" t="s">
        <v>626</v>
      </c>
    </row>
    <row r="2083" spans="1:20" s="55" customFormat="1" ht="15">
      <c r="A2083" s="47" t="s">
        <v>591</v>
      </c>
      <c r="B2083" s="47" t="s">
        <v>609</v>
      </c>
      <c r="C2083" s="47" t="s">
        <v>607</v>
      </c>
      <c r="D2083" s="48" t="s">
        <v>592</v>
      </c>
      <c r="E2083" s="47">
        <v>2021</v>
      </c>
      <c r="F2083" s="47">
        <v>2</v>
      </c>
      <c r="G2083" s="49">
        <v>28</v>
      </c>
      <c r="H2083" s="50">
        <v>0.2093865740740741</v>
      </c>
      <c r="I2083" s="51">
        <v>126.251</v>
      </c>
      <c r="J2083" s="51">
        <v>27.251000000000001</v>
      </c>
      <c r="K2083" s="57">
        <v>148.69900000000001</v>
      </c>
      <c r="L2083" s="52"/>
      <c r="M2083" s="52">
        <v>4</v>
      </c>
      <c r="N2083" s="53">
        <v>21.76</v>
      </c>
      <c r="O2083">
        <v>34.73718976</v>
      </c>
      <c r="P2083" s="54">
        <v>0.19954029411764651</v>
      </c>
      <c r="Q2083" s="54">
        <v>1.3419218517647078</v>
      </c>
      <c r="R2083" s="47" t="s">
        <v>608</v>
      </c>
      <c r="S2083" s="47"/>
      <c r="T2083" s="71" t="s">
        <v>626</v>
      </c>
    </row>
    <row r="2084" spans="1:20" s="55" customFormat="1" ht="15">
      <c r="A2084" s="47" t="s">
        <v>591</v>
      </c>
      <c r="B2084" s="47" t="s">
        <v>609</v>
      </c>
      <c r="C2084" s="47" t="s">
        <v>607</v>
      </c>
      <c r="D2084" s="48" t="s">
        <v>592</v>
      </c>
      <c r="E2084" s="47">
        <v>2021</v>
      </c>
      <c r="F2084" s="47">
        <v>2</v>
      </c>
      <c r="G2084" s="49">
        <v>28</v>
      </c>
      <c r="H2084" s="50">
        <v>0.2093865740740741</v>
      </c>
      <c r="I2084" s="51">
        <v>126.251</v>
      </c>
      <c r="J2084" s="51">
        <v>27.251000000000001</v>
      </c>
      <c r="K2084" s="57">
        <v>200.09</v>
      </c>
      <c r="L2084" s="52"/>
      <c r="M2084" s="52">
        <v>3</v>
      </c>
      <c r="N2084" s="53">
        <v>18.989999999999998</v>
      </c>
      <c r="O2084">
        <v>34.764574619999998</v>
      </c>
      <c r="P2084" s="54">
        <v>0.11863390756302472</v>
      </c>
      <c r="Q2084" s="54">
        <v>1.3202710991596636</v>
      </c>
      <c r="R2084" s="47" t="s">
        <v>608</v>
      </c>
      <c r="S2084" s="47"/>
      <c r="T2084" s="71" t="s">
        <v>626</v>
      </c>
    </row>
    <row r="2085" spans="1:20" s="55" customFormat="1" ht="15">
      <c r="A2085" s="47" t="s">
        <v>591</v>
      </c>
      <c r="B2085" s="47" t="s">
        <v>609</v>
      </c>
      <c r="C2085" s="47" t="s">
        <v>607</v>
      </c>
      <c r="D2085" s="48" t="s">
        <v>592</v>
      </c>
      <c r="E2085" s="47">
        <v>2021</v>
      </c>
      <c r="F2085" s="47">
        <v>2</v>
      </c>
      <c r="G2085" s="49">
        <v>28</v>
      </c>
      <c r="H2085" s="50">
        <v>0.2093865740740741</v>
      </c>
      <c r="I2085" s="51">
        <v>126.251</v>
      </c>
      <c r="J2085" s="51">
        <v>27.251000000000001</v>
      </c>
      <c r="K2085" s="57">
        <v>298.62900000000002</v>
      </c>
      <c r="L2085" s="52"/>
      <c r="M2085" s="52">
        <v>2</v>
      </c>
      <c r="N2085" s="53">
        <v>15.8</v>
      </c>
      <c r="O2085">
        <v>34.632828760000002</v>
      </c>
      <c r="P2085" s="54">
        <v>0.16317538235294116</v>
      </c>
      <c r="Q2085" s="54">
        <v>1.1028246752941193</v>
      </c>
      <c r="R2085" s="47" t="s">
        <v>608</v>
      </c>
      <c r="S2085" s="47"/>
      <c r="T2085" s="71" t="s">
        <v>626</v>
      </c>
    </row>
    <row r="2086" spans="1:20" s="55" customFormat="1" ht="15">
      <c r="A2086" s="47" t="s">
        <v>591</v>
      </c>
      <c r="B2086" s="47" t="s">
        <v>609</v>
      </c>
      <c r="C2086" s="47" t="s">
        <v>607</v>
      </c>
      <c r="D2086" s="48" t="s">
        <v>592</v>
      </c>
      <c r="E2086" s="47">
        <v>2021</v>
      </c>
      <c r="F2086" s="47">
        <v>2</v>
      </c>
      <c r="G2086" s="49">
        <v>28</v>
      </c>
      <c r="H2086" s="50">
        <v>0.2093865740740741</v>
      </c>
      <c r="I2086" s="51">
        <v>126.251</v>
      </c>
      <c r="J2086" s="51">
        <v>27.251000000000001</v>
      </c>
      <c r="K2086" s="57">
        <v>496.50900000000001</v>
      </c>
      <c r="L2086" s="52"/>
      <c r="M2086" s="52">
        <v>1</v>
      </c>
      <c r="N2086" s="53">
        <v>9.23</v>
      </c>
      <c r="O2086">
        <v>34.29679016</v>
      </c>
      <c r="P2086" s="54">
        <v>-0.12307650000000026</v>
      </c>
      <c r="Q2086" s="54">
        <v>-0.86166472000000205</v>
      </c>
      <c r="R2086" s="47" t="s">
        <v>608</v>
      </c>
      <c r="S2086" s="47"/>
      <c r="T2086" s="71" t="s">
        <v>626</v>
      </c>
    </row>
    <row r="2087" spans="1:20" s="55" customFormat="1" ht="15">
      <c r="A2087" s="47" t="s">
        <v>591</v>
      </c>
      <c r="B2087" s="47" t="s">
        <v>610</v>
      </c>
      <c r="C2087" s="47" t="s">
        <v>607</v>
      </c>
      <c r="D2087" s="48" t="s">
        <v>593</v>
      </c>
      <c r="E2087" s="47">
        <v>2021</v>
      </c>
      <c r="F2087" s="47">
        <v>3</v>
      </c>
      <c r="G2087" s="49">
        <v>1</v>
      </c>
      <c r="H2087" s="50">
        <v>0.34833333333333333</v>
      </c>
      <c r="I2087" s="51">
        <v>123.251</v>
      </c>
      <c r="J2087" s="51">
        <v>27.25</v>
      </c>
      <c r="K2087" s="57">
        <v>0</v>
      </c>
      <c r="L2087" s="52"/>
      <c r="M2087" s="52">
        <v>0</v>
      </c>
      <c r="N2087" s="53">
        <v>21.8</v>
      </c>
      <c r="O2087">
        <v>34.483814940000002</v>
      </c>
      <c r="P2087" s="54">
        <v>9.90586176470587E-2</v>
      </c>
      <c r="Q2087" s="54">
        <v>0.57146296470588176</v>
      </c>
      <c r="R2087" s="47" t="s">
        <v>608</v>
      </c>
      <c r="S2087" s="47"/>
      <c r="T2087" s="71" t="s">
        <v>626</v>
      </c>
    </row>
    <row r="2088" spans="1:20" s="55" customFormat="1" ht="15">
      <c r="A2088" s="47" t="s">
        <v>591</v>
      </c>
      <c r="B2088" s="47" t="s">
        <v>610</v>
      </c>
      <c r="C2088" s="47" t="s">
        <v>607</v>
      </c>
      <c r="D2088" s="48" t="s">
        <v>593</v>
      </c>
      <c r="E2088" s="47">
        <v>2021</v>
      </c>
      <c r="F2088" s="47">
        <v>3</v>
      </c>
      <c r="G2088" s="49">
        <v>1</v>
      </c>
      <c r="H2088" s="50">
        <v>0.34833333333333333</v>
      </c>
      <c r="I2088" s="51">
        <v>123.251</v>
      </c>
      <c r="J2088" s="51">
        <v>27.25</v>
      </c>
      <c r="K2088" s="57">
        <v>9.5459999999999994</v>
      </c>
      <c r="L2088" s="52"/>
      <c r="M2088" s="52">
        <v>6</v>
      </c>
      <c r="N2088" s="53">
        <v>21.79</v>
      </c>
      <c r="O2088">
        <v>34.482512360000001</v>
      </c>
      <c r="P2088" s="54">
        <v>8.6223235294117906E-2</v>
      </c>
      <c r="Q2088" s="54">
        <v>0.85372468941176471</v>
      </c>
      <c r="R2088" s="47" t="s">
        <v>608</v>
      </c>
      <c r="S2088" s="47"/>
      <c r="T2088" s="71" t="s">
        <v>626</v>
      </c>
    </row>
    <row r="2089" spans="1:20" s="55" customFormat="1" ht="15">
      <c r="A2089" s="47" t="s">
        <v>591</v>
      </c>
      <c r="B2089" s="47" t="s">
        <v>610</v>
      </c>
      <c r="C2089" s="47" t="s">
        <v>607</v>
      </c>
      <c r="D2089" s="48" t="s">
        <v>593</v>
      </c>
      <c r="E2089" s="47">
        <v>2021</v>
      </c>
      <c r="F2089" s="47">
        <v>3</v>
      </c>
      <c r="G2089" s="49">
        <v>1</v>
      </c>
      <c r="H2089" s="50">
        <v>0.34833333333333333</v>
      </c>
      <c r="I2089" s="51">
        <v>123.251</v>
      </c>
      <c r="J2089" s="51">
        <v>27.25</v>
      </c>
      <c r="K2089" s="57">
        <v>20.584</v>
      </c>
      <c r="L2089" s="52"/>
      <c r="M2089" s="52">
        <v>5</v>
      </c>
      <c r="N2089" s="53">
        <v>21.71</v>
      </c>
      <c r="O2089">
        <v>34.474865299999998</v>
      </c>
      <c r="P2089" s="54">
        <v>0.10160885294117605</v>
      </c>
      <c r="Q2089" s="54">
        <v>0.73482293411764488</v>
      </c>
      <c r="R2089" s="47" t="s">
        <v>608</v>
      </c>
      <c r="S2089" s="47"/>
      <c r="T2089" s="71" t="s">
        <v>626</v>
      </c>
    </row>
    <row r="2090" spans="1:20" s="55" customFormat="1" ht="15">
      <c r="A2090" s="47" t="s">
        <v>591</v>
      </c>
      <c r="B2090" s="47" t="s">
        <v>610</v>
      </c>
      <c r="C2090" s="47" t="s">
        <v>607</v>
      </c>
      <c r="D2090" s="48" t="s">
        <v>593</v>
      </c>
      <c r="E2090" s="47">
        <v>2021</v>
      </c>
      <c r="F2090" s="47">
        <v>3</v>
      </c>
      <c r="G2090" s="49">
        <v>1</v>
      </c>
      <c r="H2090" s="50">
        <v>0.34833333333333333</v>
      </c>
      <c r="I2090" s="51">
        <v>123.251</v>
      </c>
      <c r="J2090" s="51">
        <v>27.25</v>
      </c>
      <c r="K2090" s="57">
        <v>31.286000000000001</v>
      </c>
      <c r="L2090" s="52"/>
      <c r="M2090" s="52">
        <v>4</v>
      </c>
      <c r="N2090" s="53">
        <v>21.63</v>
      </c>
      <c r="O2090">
        <v>34.469508920000003</v>
      </c>
      <c r="P2090" s="54">
        <v>0.16382497058823553</v>
      </c>
      <c r="Q2090" s="54">
        <v>0.93147169882353076</v>
      </c>
      <c r="R2090" s="47" t="s">
        <v>608</v>
      </c>
      <c r="S2090" s="47"/>
      <c r="T2090" s="71" t="s">
        <v>626</v>
      </c>
    </row>
    <row r="2091" spans="1:20" s="55" customFormat="1" ht="15">
      <c r="A2091" s="47" t="s">
        <v>591</v>
      </c>
      <c r="B2091" s="47" t="s">
        <v>610</v>
      </c>
      <c r="C2091" s="47" t="s">
        <v>607</v>
      </c>
      <c r="D2091" s="48" t="s">
        <v>593</v>
      </c>
      <c r="E2091" s="47">
        <v>2021</v>
      </c>
      <c r="F2091" s="47">
        <v>3</v>
      </c>
      <c r="G2091" s="49">
        <v>1</v>
      </c>
      <c r="H2091" s="50">
        <v>0.34833333333333333</v>
      </c>
      <c r="I2091" s="51">
        <v>123.251</v>
      </c>
      <c r="J2091" s="51">
        <v>27.25</v>
      </c>
      <c r="K2091" s="57">
        <v>49.768999999999998</v>
      </c>
      <c r="L2091" s="52"/>
      <c r="M2091" s="52">
        <v>3</v>
      </c>
      <c r="N2091" s="53">
        <v>21.11</v>
      </c>
      <c r="O2091">
        <v>34.479007920000001</v>
      </c>
      <c r="P2091" s="54">
        <v>0.15098958823529385</v>
      </c>
      <c r="Q2091" s="54">
        <v>0.71812078352940922</v>
      </c>
      <c r="R2091" s="47" t="s">
        <v>608</v>
      </c>
      <c r="S2091" s="47"/>
      <c r="T2091" s="71" t="s">
        <v>626</v>
      </c>
    </row>
    <row r="2092" spans="1:20" s="55" customFormat="1" ht="15">
      <c r="A2092" s="47" t="s">
        <v>591</v>
      </c>
      <c r="B2092" s="47" t="s">
        <v>610</v>
      </c>
      <c r="C2092" s="47" t="s">
        <v>607</v>
      </c>
      <c r="D2092" s="48" t="s">
        <v>593</v>
      </c>
      <c r="E2092" s="47">
        <v>2021</v>
      </c>
      <c r="F2092" s="47">
        <v>3</v>
      </c>
      <c r="G2092" s="49">
        <v>1</v>
      </c>
      <c r="H2092" s="50">
        <v>0.34833333333333333</v>
      </c>
      <c r="I2092" s="51">
        <v>123.251</v>
      </c>
      <c r="J2092" s="51">
        <v>27.25</v>
      </c>
      <c r="K2092" s="57">
        <v>74.772000000000006</v>
      </c>
      <c r="L2092" s="52"/>
      <c r="M2092" s="52">
        <v>2</v>
      </c>
      <c r="N2092" s="53">
        <v>19.96</v>
      </c>
      <c r="O2092">
        <v>34.572360779999997</v>
      </c>
      <c r="P2092" s="54">
        <v>0.19463870823529472</v>
      </c>
      <c r="Q2092" s="54">
        <v>0.95929408705882047</v>
      </c>
      <c r="R2092" s="47" t="s">
        <v>608</v>
      </c>
      <c r="S2092" s="47"/>
      <c r="T2092" s="71" t="s">
        <v>626</v>
      </c>
    </row>
    <row r="2093" spans="1:20" s="55" customFormat="1" ht="15">
      <c r="A2093" s="47" t="s">
        <v>591</v>
      </c>
      <c r="B2093" s="47" t="s">
        <v>610</v>
      </c>
      <c r="C2093" s="47" t="s">
        <v>607</v>
      </c>
      <c r="D2093" s="48">
        <v>44256</v>
      </c>
      <c r="E2093" s="47">
        <v>2021</v>
      </c>
      <c r="F2093" s="47">
        <v>3</v>
      </c>
      <c r="G2093" s="49">
        <v>1</v>
      </c>
      <c r="H2093" s="50">
        <v>0.34833333333333333</v>
      </c>
      <c r="I2093" s="51">
        <v>123.251</v>
      </c>
      <c r="J2093" s="51">
        <v>27.25</v>
      </c>
      <c r="K2093" s="57">
        <v>101.35</v>
      </c>
      <c r="L2093" s="52"/>
      <c r="M2093" s="52">
        <v>1</v>
      </c>
      <c r="N2093" s="53">
        <v>19.8</v>
      </c>
      <c r="O2093">
        <v>34.581536970000002</v>
      </c>
      <c r="P2093" s="54">
        <v>0.19992802588235259</v>
      </c>
      <c r="Q2093" s="54">
        <v>0.96253121647058748</v>
      </c>
      <c r="R2093" s="47" t="s">
        <v>608</v>
      </c>
      <c r="S2093" s="47"/>
      <c r="T2093" s="71" t="s">
        <v>626</v>
      </c>
    </row>
    <row r="2094" spans="1:20" s="55" customFormat="1" ht="15">
      <c r="A2094" s="47" t="s">
        <v>591</v>
      </c>
      <c r="B2094" s="47" t="s">
        <v>611</v>
      </c>
      <c r="C2094" s="47" t="s">
        <v>607</v>
      </c>
      <c r="D2094" s="48" t="s">
        <v>593</v>
      </c>
      <c r="E2094" s="47">
        <v>2021</v>
      </c>
      <c r="F2094" s="47">
        <v>3</v>
      </c>
      <c r="G2094" s="49">
        <v>1</v>
      </c>
      <c r="H2094" s="50">
        <v>0.84732638888888889</v>
      </c>
      <c r="I2094" s="51">
        <v>124.752</v>
      </c>
      <c r="J2094" s="51">
        <v>27.753</v>
      </c>
      <c r="K2094" s="57">
        <v>10.119</v>
      </c>
      <c r="L2094" s="52"/>
      <c r="M2094" s="52">
        <v>11</v>
      </c>
      <c r="N2094" s="53">
        <v>21.02</v>
      </c>
      <c r="O2094" s="51">
        <v>34.460899999999995</v>
      </c>
      <c r="P2094" s="54">
        <v>0.20603478352941185</v>
      </c>
      <c r="Q2094" s="54">
        <v>1.0050763458823528</v>
      </c>
      <c r="R2094" s="47" t="s">
        <v>608</v>
      </c>
      <c r="S2094" s="47"/>
      <c r="T2094" s="71" t="s">
        <v>626</v>
      </c>
    </row>
    <row r="2095" spans="1:20" s="55" customFormat="1" ht="15">
      <c r="A2095" s="47" t="s">
        <v>591</v>
      </c>
      <c r="B2095" s="47" t="s">
        <v>611</v>
      </c>
      <c r="C2095" s="47" t="s">
        <v>607</v>
      </c>
      <c r="D2095" s="48" t="s">
        <v>593</v>
      </c>
      <c r="E2095" s="47">
        <v>2021</v>
      </c>
      <c r="F2095" s="47">
        <v>3</v>
      </c>
      <c r="G2095" s="49">
        <v>1</v>
      </c>
      <c r="H2095" s="50">
        <v>0.84732638888888889</v>
      </c>
      <c r="I2095" s="51">
        <v>124.752</v>
      </c>
      <c r="J2095" s="51">
        <v>27.753</v>
      </c>
      <c r="K2095" s="57">
        <v>19.605</v>
      </c>
      <c r="L2095" s="52"/>
      <c r="M2095" s="52">
        <v>10</v>
      </c>
      <c r="N2095" s="53">
        <v>20.28</v>
      </c>
      <c r="O2095" s="51">
        <v>34.444599999999994</v>
      </c>
      <c r="P2095" s="54">
        <v>0.10382316470588293</v>
      </c>
      <c r="Q2095" s="54">
        <v>0.90075776235294214</v>
      </c>
      <c r="R2095" s="47" t="s">
        <v>608</v>
      </c>
      <c r="S2095" s="47"/>
      <c r="T2095" s="71" t="s">
        <v>626</v>
      </c>
    </row>
    <row r="2096" spans="1:20" s="55" customFormat="1" ht="15">
      <c r="A2096" s="47" t="s">
        <v>591</v>
      </c>
      <c r="B2096" s="47" t="s">
        <v>611</v>
      </c>
      <c r="C2096" s="47" t="s">
        <v>607</v>
      </c>
      <c r="D2096" s="48" t="s">
        <v>593</v>
      </c>
      <c r="E2096" s="47">
        <v>2021</v>
      </c>
      <c r="F2096" s="47">
        <v>3</v>
      </c>
      <c r="G2096" s="49">
        <v>1</v>
      </c>
      <c r="H2096" s="50">
        <v>0.84732638888888889</v>
      </c>
      <c r="I2096" s="51">
        <v>124.752</v>
      </c>
      <c r="J2096" s="51">
        <v>27.753</v>
      </c>
      <c r="K2096" s="57">
        <v>31.524999999999999</v>
      </c>
      <c r="L2096" s="52"/>
      <c r="M2096" s="52">
        <v>9</v>
      </c>
      <c r="N2096" s="53">
        <v>19.760000000000002</v>
      </c>
      <c r="O2096" s="51">
        <v>34.402200000000001</v>
      </c>
      <c r="P2096" s="54">
        <v>0.1182182176470592</v>
      </c>
      <c r="Q2096" s="54">
        <v>0.82682403882353128</v>
      </c>
      <c r="R2096" s="47" t="s">
        <v>608</v>
      </c>
      <c r="S2096" s="47"/>
      <c r="T2096" s="71" t="s">
        <v>626</v>
      </c>
    </row>
    <row r="2097" spans="1:20" s="55" customFormat="1" ht="15">
      <c r="A2097" s="47" t="s">
        <v>591</v>
      </c>
      <c r="B2097" s="47" t="s">
        <v>611</v>
      </c>
      <c r="C2097" s="47" t="s">
        <v>607</v>
      </c>
      <c r="D2097" s="48" t="s">
        <v>593</v>
      </c>
      <c r="E2097" s="47">
        <v>2021</v>
      </c>
      <c r="F2097" s="47">
        <v>3</v>
      </c>
      <c r="G2097" s="49">
        <v>1</v>
      </c>
      <c r="H2097" s="50">
        <v>0.84732638888888889</v>
      </c>
      <c r="I2097" s="51">
        <v>124.752</v>
      </c>
      <c r="J2097" s="51">
        <v>27.753</v>
      </c>
      <c r="K2097" s="57">
        <v>50.58</v>
      </c>
      <c r="L2097" s="52"/>
      <c r="M2097" s="52">
        <v>8</v>
      </c>
      <c r="N2097" s="53">
        <v>19.11</v>
      </c>
      <c r="O2097" s="51">
        <v>34.467099999999995</v>
      </c>
      <c r="P2097" s="54">
        <v>0.19594901647058816</v>
      </c>
      <c r="Q2097" s="54">
        <v>0.89548795411764814</v>
      </c>
      <c r="R2097" s="47" t="s">
        <v>608</v>
      </c>
      <c r="S2097" s="47"/>
      <c r="T2097" s="71" t="s">
        <v>626</v>
      </c>
    </row>
    <row r="2098" spans="1:20" s="55" customFormat="1" ht="15">
      <c r="A2098" s="47" t="s">
        <v>591</v>
      </c>
      <c r="B2098" s="47" t="s">
        <v>611</v>
      </c>
      <c r="C2098" s="47" t="s">
        <v>607</v>
      </c>
      <c r="D2098" s="48" t="s">
        <v>593</v>
      </c>
      <c r="E2098" s="47">
        <v>2021</v>
      </c>
      <c r="F2098" s="47">
        <v>3</v>
      </c>
      <c r="G2098" s="49">
        <v>1</v>
      </c>
      <c r="H2098" s="50">
        <v>0.84732638888888889</v>
      </c>
      <c r="I2098" s="51">
        <v>124.752</v>
      </c>
      <c r="J2098" s="51">
        <v>27.753</v>
      </c>
      <c r="K2098" s="57">
        <v>74.149000000000001</v>
      </c>
      <c r="L2098" s="52"/>
      <c r="M2098" s="52">
        <v>7</v>
      </c>
      <c r="N2098" s="53">
        <v>18.52</v>
      </c>
      <c r="O2098" s="51">
        <v>34.566600000000001</v>
      </c>
      <c r="P2098" s="54">
        <v>0.15280501411764735</v>
      </c>
      <c r="Q2098" s="54">
        <v>0.87179910352941192</v>
      </c>
      <c r="R2098" s="47" t="s">
        <v>608</v>
      </c>
      <c r="S2098" s="47"/>
      <c r="T2098" s="71" t="s">
        <v>626</v>
      </c>
    </row>
    <row r="2099" spans="1:20" s="55" customFormat="1" ht="15">
      <c r="A2099" s="47" t="s">
        <v>591</v>
      </c>
      <c r="B2099" s="47" t="s">
        <v>611</v>
      </c>
      <c r="C2099" s="47" t="s">
        <v>607</v>
      </c>
      <c r="D2099" s="48" t="s">
        <v>593</v>
      </c>
      <c r="E2099" s="47">
        <v>2021</v>
      </c>
      <c r="F2099" s="47">
        <v>3</v>
      </c>
      <c r="G2099" s="49">
        <v>1</v>
      </c>
      <c r="H2099" s="50">
        <v>0.84732638888888889</v>
      </c>
      <c r="I2099" s="51">
        <v>124.752</v>
      </c>
      <c r="J2099" s="51">
        <v>27.753</v>
      </c>
      <c r="K2099" s="57">
        <v>92.747</v>
      </c>
      <c r="L2099" s="52"/>
      <c r="M2099" s="52">
        <v>1</v>
      </c>
      <c r="N2099" s="53">
        <v>18.510000000000002</v>
      </c>
      <c r="O2099" s="51">
        <v>34.567399999999999</v>
      </c>
      <c r="P2099" s="54">
        <v>0.13758620470588268</v>
      </c>
      <c r="Q2099" s="54">
        <v>0.92857604117646986</v>
      </c>
      <c r="R2099" s="47" t="s">
        <v>608</v>
      </c>
      <c r="S2099" s="47"/>
      <c r="T2099" s="71" t="s">
        <v>626</v>
      </c>
    </row>
    <row r="2100" spans="1:20" s="55" customFormat="1">
      <c r="A2100" s="47" t="s">
        <v>591</v>
      </c>
      <c r="B2100" s="47" t="s">
        <v>612</v>
      </c>
      <c r="C2100" s="47" t="s">
        <v>607</v>
      </c>
      <c r="D2100" s="48" t="s">
        <v>594</v>
      </c>
      <c r="E2100" s="47">
        <v>2021</v>
      </c>
      <c r="F2100" s="47">
        <v>3</v>
      </c>
      <c r="G2100" s="49">
        <v>4</v>
      </c>
      <c r="H2100" s="50">
        <v>0.20738425925925927</v>
      </c>
      <c r="I2100" s="51">
        <v>126.75</v>
      </c>
      <c r="J2100" s="51">
        <v>28.251000000000001</v>
      </c>
      <c r="K2100" s="52">
        <v>9.6679999999999993</v>
      </c>
      <c r="L2100" s="52"/>
      <c r="M2100" s="52">
        <v>9</v>
      </c>
      <c r="N2100" s="53">
        <v>22.9</v>
      </c>
      <c r="O2100" s="51">
        <v>34.596199999999996</v>
      </c>
      <c r="P2100" s="54">
        <v>0.15043684235294075</v>
      </c>
      <c r="Q2100" s="54">
        <v>1.0664430705882371</v>
      </c>
      <c r="R2100" s="47" t="s">
        <v>608</v>
      </c>
      <c r="S2100" s="47"/>
      <c r="T2100" s="71" t="s">
        <v>626</v>
      </c>
    </row>
    <row r="2101" spans="1:20" s="55" customFormat="1">
      <c r="A2101" s="47" t="s">
        <v>591</v>
      </c>
      <c r="B2101" s="47" t="s">
        <v>612</v>
      </c>
      <c r="C2101" s="47" t="s">
        <v>607</v>
      </c>
      <c r="D2101" s="48" t="s">
        <v>594</v>
      </c>
      <c r="E2101" s="47">
        <v>2021</v>
      </c>
      <c r="F2101" s="47">
        <v>3</v>
      </c>
      <c r="G2101" s="49">
        <v>4</v>
      </c>
      <c r="H2101" s="50">
        <v>0.20738425925925927</v>
      </c>
      <c r="I2101" s="51">
        <v>126.75</v>
      </c>
      <c r="J2101" s="51">
        <v>28.251000000000001</v>
      </c>
      <c r="K2101" s="52">
        <v>20.372</v>
      </c>
      <c r="L2101" s="52"/>
      <c r="M2101" s="52">
        <v>8</v>
      </c>
      <c r="N2101" s="53">
        <v>22.89</v>
      </c>
      <c r="O2101" s="51">
        <v>34.596399999999996</v>
      </c>
      <c r="P2101" s="54">
        <v>9.0772770588235296E-2</v>
      </c>
      <c r="Q2101" s="54">
        <v>1.2548534752941212</v>
      </c>
      <c r="R2101" s="47" t="s">
        <v>608</v>
      </c>
      <c r="S2101" s="47"/>
      <c r="T2101" s="71" t="s">
        <v>626</v>
      </c>
    </row>
    <row r="2102" spans="1:20" s="55" customFormat="1">
      <c r="A2102" s="47" t="s">
        <v>591</v>
      </c>
      <c r="B2102" s="47" t="s">
        <v>612</v>
      </c>
      <c r="C2102" s="47" t="s">
        <v>607</v>
      </c>
      <c r="D2102" s="48" t="s">
        <v>594</v>
      </c>
      <c r="E2102" s="47">
        <v>2021</v>
      </c>
      <c r="F2102" s="47">
        <v>3</v>
      </c>
      <c r="G2102" s="49">
        <v>4</v>
      </c>
      <c r="H2102" s="50">
        <v>0.20738425925925927</v>
      </c>
      <c r="I2102" s="51">
        <v>126.75</v>
      </c>
      <c r="J2102" s="51">
        <v>28.251000000000001</v>
      </c>
      <c r="K2102" s="52">
        <v>29.404</v>
      </c>
      <c r="L2102" s="52"/>
      <c r="M2102" s="52">
        <v>7</v>
      </c>
      <c r="N2102" s="53">
        <v>22.89</v>
      </c>
      <c r="O2102" s="51">
        <v>34.596499999999999</v>
      </c>
      <c r="P2102" s="54">
        <v>0.14037511764705979</v>
      </c>
      <c r="Q2102" s="54">
        <v>0.93416008941176365</v>
      </c>
      <c r="R2102" s="47" t="s">
        <v>608</v>
      </c>
      <c r="S2102" s="47"/>
      <c r="T2102" s="71" t="s">
        <v>626</v>
      </c>
    </row>
    <row r="2103" spans="1:20" s="55" customFormat="1">
      <c r="A2103" s="47" t="s">
        <v>591</v>
      </c>
      <c r="B2103" s="47" t="s">
        <v>612</v>
      </c>
      <c r="C2103" s="47" t="s">
        <v>607</v>
      </c>
      <c r="D2103" s="48" t="s">
        <v>594</v>
      </c>
      <c r="E2103" s="47">
        <v>2021</v>
      </c>
      <c r="F2103" s="47">
        <v>3</v>
      </c>
      <c r="G2103" s="49">
        <v>4</v>
      </c>
      <c r="H2103" s="50">
        <v>0.20738425925925927</v>
      </c>
      <c r="I2103" s="51">
        <v>126.75</v>
      </c>
      <c r="J2103" s="51">
        <v>28.251000000000001</v>
      </c>
      <c r="K2103" s="52">
        <v>50.026000000000003</v>
      </c>
      <c r="L2103" s="52"/>
      <c r="M2103" s="52">
        <v>6</v>
      </c>
      <c r="N2103" s="53">
        <v>22.9</v>
      </c>
      <c r="O2103" s="51">
        <v>34.596499999999999</v>
      </c>
      <c r="P2103" s="54">
        <v>0.23476539529411733</v>
      </c>
      <c r="Q2103" s="54">
        <v>1.21432207882353</v>
      </c>
      <c r="R2103" s="47" t="s">
        <v>608</v>
      </c>
      <c r="S2103" s="47"/>
      <c r="T2103" s="71" t="s">
        <v>626</v>
      </c>
    </row>
    <row r="2104" spans="1:20" s="55" customFormat="1">
      <c r="A2104" s="47" t="s">
        <v>591</v>
      </c>
      <c r="B2104" s="47" t="s">
        <v>612</v>
      </c>
      <c r="C2104" s="47" t="s">
        <v>607</v>
      </c>
      <c r="D2104" s="48" t="s">
        <v>594</v>
      </c>
      <c r="E2104" s="47">
        <v>2021</v>
      </c>
      <c r="F2104" s="47">
        <v>3</v>
      </c>
      <c r="G2104" s="49">
        <v>4</v>
      </c>
      <c r="H2104" s="50">
        <v>0.20738425925925927</v>
      </c>
      <c r="I2104" s="51">
        <v>126.75</v>
      </c>
      <c r="J2104" s="51">
        <v>28.251000000000001</v>
      </c>
      <c r="K2104" s="52">
        <v>75.075999999999993</v>
      </c>
      <c r="L2104" s="52"/>
      <c r="M2104" s="52">
        <v>5</v>
      </c>
      <c r="N2104" s="53">
        <v>22.91</v>
      </c>
      <c r="O2104" s="51">
        <v>34.596399999999996</v>
      </c>
      <c r="P2104" s="54">
        <v>0.13761972352941143</v>
      </c>
      <c r="Q2104" s="54">
        <v>1.3595746117647067</v>
      </c>
      <c r="R2104" s="47" t="s">
        <v>608</v>
      </c>
      <c r="S2104" s="47"/>
      <c r="T2104" s="71" t="s">
        <v>626</v>
      </c>
    </row>
    <row r="2105" spans="1:20" s="55" customFormat="1">
      <c r="A2105" s="47" t="s">
        <v>591</v>
      </c>
      <c r="B2105" s="47" t="s">
        <v>612</v>
      </c>
      <c r="C2105" s="47" t="s">
        <v>607</v>
      </c>
      <c r="D2105" s="48" t="s">
        <v>594</v>
      </c>
      <c r="E2105" s="47">
        <v>2021</v>
      </c>
      <c r="F2105" s="47">
        <v>3</v>
      </c>
      <c r="G2105" s="49">
        <v>4</v>
      </c>
      <c r="H2105" s="50">
        <v>0.20738425925925927</v>
      </c>
      <c r="I2105" s="51">
        <v>126.75</v>
      </c>
      <c r="J2105" s="51">
        <v>28.251000000000001</v>
      </c>
      <c r="K2105" s="52">
        <v>98.995000000000005</v>
      </c>
      <c r="L2105" s="52"/>
      <c r="M2105" s="52">
        <v>4</v>
      </c>
      <c r="N2105" s="53">
        <v>22.91</v>
      </c>
      <c r="O2105" s="51">
        <v>34.625099999999996</v>
      </c>
      <c r="P2105" s="54">
        <v>0.22490803058823516</v>
      </c>
      <c r="Q2105" s="54">
        <v>1.3269279376470582</v>
      </c>
      <c r="R2105" s="47" t="s">
        <v>608</v>
      </c>
      <c r="S2105" s="47"/>
      <c r="T2105" s="71" t="s">
        <v>626</v>
      </c>
    </row>
    <row r="2106" spans="1:20" s="55" customFormat="1">
      <c r="A2106" s="47" t="s">
        <v>591</v>
      </c>
      <c r="B2106" s="47" t="s">
        <v>612</v>
      </c>
      <c r="C2106" s="47" t="s">
        <v>607</v>
      </c>
      <c r="D2106" s="48" t="s">
        <v>594</v>
      </c>
      <c r="E2106" s="47">
        <v>2021</v>
      </c>
      <c r="F2106" s="47">
        <v>3</v>
      </c>
      <c r="G2106" s="49">
        <v>4</v>
      </c>
      <c r="H2106" s="50">
        <v>0.20738425925925927</v>
      </c>
      <c r="I2106" s="51">
        <v>126.75</v>
      </c>
      <c r="J2106" s="51">
        <v>28.251000000000001</v>
      </c>
      <c r="K2106" s="52">
        <v>124.276</v>
      </c>
      <c r="L2106" s="52"/>
      <c r="M2106" s="52">
        <v>3</v>
      </c>
      <c r="N2106" s="53">
        <v>22.46</v>
      </c>
      <c r="O2106" s="51">
        <v>34.646699999999996</v>
      </c>
      <c r="P2106" s="54">
        <v>0.15711727647058771</v>
      </c>
      <c r="Q2106" s="54">
        <v>1.4334389682352953</v>
      </c>
      <c r="R2106" s="47" t="s">
        <v>608</v>
      </c>
      <c r="S2106" s="47"/>
      <c r="T2106" s="71" t="s">
        <v>626</v>
      </c>
    </row>
    <row r="2107" spans="1:20" s="55" customFormat="1">
      <c r="A2107" s="47" t="s">
        <v>591</v>
      </c>
      <c r="B2107" s="47" t="s">
        <v>612</v>
      </c>
      <c r="C2107" s="47" t="s">
        <v>607</v>
      </c>
      <c r="D2107" s="48" t="s">
        <v>594</v>
      </c>
      <c r="E2107" s="47">
        <v>2021</v>
      </c>
      <c r="F2107" s="47">
        <v>3</v>
      </c>
      <c r="G2107" s="49">
        <v>4</v>
      </c>
      <c r="H2107" s="50">
        <v>0.20738425925925927</v>
      </c>
      <c r="I2107" s="51">
        <v>126.75</v>
      </c>
      <c r="J2107" s="51">
        <v>28.251000000000001</v>
      </c>
      <c r="K2107" s="52">
        <v>148.86799999999999</v>
      </c>
      <c r="L2107" s="52"/>
      <c r="M2107" s="52">
        <v>2</v>
      </c>
      <c r="N2107" s="53">
        <v>21.12</v>
      </c>
      <c r="O2107" s="51">
        <v>34.649000000000001</v>
      </c>
      <c r="P2107" s="54">
        <v>0.1706894117647062</v>
      </c>
      <c r="Q2107" s="54">
        <v>1.1495643411764718</v>
      </c>
      <c r="R2107" s="47" t="s">
        <v>608</v>
      </c>
      <c r="S2107" s="47"/>
      <c r="T2107" s="71" t="s">
        <v>626</v>
      </c>
    </row>
    <row r="2108" spans="1:20" s="55" customFormat="1">
      <c r="A2108" s="47" t="s">
        <v>591</v>
      </c>
      <c r="B2108" s="47" t="s">
        <v>612</v>
      </c>
      <c r="C2108" s="47" t="s">
        <v>607</v>
      </c>
      <c r="D2108" s="48" t="s">
        <v>594</v>
      </c>
      <c r="E2108" s="47">
        <v>2021</v>
      </c>
      <c r="F2108" s="47">
        <v>3</v>
      </c>
      <c r="G2108" s="49">
        <v>4</v>
      </c>
      <c r="H2108" s="50">
        <v>0.20738425925925927</v>
      </c>
      <c r="I2108" s="51">
        <v>126.75</v>
      </c>
      <c r="J2108" s="51">
        <v>28.251000000000001</v>
      </c>
      <c r="K2108" s="52">
        <v>198.732</v>
      </c>
      <c r="L2108" s="52"/>
      <c r="M2108" s="52">
        <v>1</v>
      </c>
      <c r="N2108" s="53">
        <v>19.78</v>
      </c>
      <c r="O2108" s="51">
        <v>34.6785</v>
      </c>
      <c r="P2108" s="54">
        <v>0.15841857411764781</v>
      </c>
      <c r="Q2108" s="54">
        <v>1.1879073694117661</v>
      </c>
      <c r="R2108" s="47" t="s">
        <v>608</v>
      </c>
      <c r="S2108" s="47"/>
      <c r="T2108" s="71" t="s">
        <v>626</v>
      </c>
    </row>
    <row r="2109" spans="1:20" s="55" customFormat="1" ht="15">
      <c r="A2109" s="47" t="s">
        <v>591</v>
      </c>
      <c r="B2109" s="47" t="s">
        <v>613</v>
      </c>
      <c r="C2109" s="47" t="s">
        <v>607</v>
      </c>
      <c r="D2109" s="48" t="s">
        <v>595</v>
      </c>
      <c r="E2109" s="47">
        <v>2021</v>
      </c>
      <c r="F2109" s="47">
        <v>3</v>
      </c>
      <c r="G2109" s="49">
        <v>5</v>
      </c>
      <c r="H2109" s="50">
        <v>0.21015046296296294</v>
      </c>
      <c r="I2109" s="51">
        <v>126.251</v>
      </c>
      <c r="J2109" s="51">
        <v>29.748999999999999</v>
      </c>
      <c r="K2109" s="57">
        <v>0</v>
      </c>
      <c r="L2109" s="52"/>
      <c r="M2109" s="52">
        <v>0</v>
      </c>
      <c r="N2109" s="53">
        <v>16.899999999999999</v>
      </c>
      <c r="O2109">
        <v>34.622261000000002</v>
      </c>
      <c r="P2109" s="54">
        <v>0.11484468758169974</v>
      </c>
      <c r="Q2109" s="54">
        <v>1.1028469176470583</v>
      </c>
      <c r="R2109" s="47" t="s">
        <v>608</v>
      </c>
      <c r="S2109" s="47"/>
      <c r="T2109" s="71" t="s">
        <v>626</v>
      </c>
    </row>
    <row r="2110" spans="1:20" s="55" customFormat="1" ht="15">
      <c r="A2110" s="47" t="s">
        <v>591</v>
      </c>
      <c r="B2110" s="47" t="s">
        <v>613</v>
      </c>
      <c r="C2110" s="47" t="s">
        <v>607</v>
      </c>
      <c r="D2110" s="48" t="s">
        <v>595</v>
      </c>
      <c r="E2110" s="47">
        <v>2021</v>
      </c>
      <c r="F2110" s="47">
        <v>3</v>
      </c>
      <c r="G2110" s="49">
        <v>5</v>
      </c>
      <c r="H2110" s="50">
        <v>0.21015046296296294</v>
      </c>
      <c r="I2110" s="51">
        <v>126.251</v>
      </c>
      <c r="J2110" s="51">
        <v>29.748999999999999</v>
      </c>
      <c r="K2110" s="57">
        <v>10.382999999999999</v>
      </c>
      <c r="L2110" s="52"/>
      <c r="M2110" s="52">
        <v>6</v>
      </c>
      <c r="N2110" s="53">
        <v>16.93</v>
      </c>
      <c r="O2110">
        <v>34.610199999999999</v>
      </c>
      <c r="P2110" s="54">
        <v>0.13204881882353003</v>
      </c>
      <c r="Q2110" s="54">
        <v>1.0340155858823543</v>
      </c>
      <c r="R2110" s="47" t="s">
        <v>608</v>
      </c>
      <c r="S2110" s="47"/>
      <c r="T2110" s="71" t="s">
        <v>626</v>
      </c>
    </row>
    <row r="2111" spans="1:20" s="55" customFormat="1" ht="15">
      <c r="A2111" s="47" t="s">
        <v>591</v>
      </c>
      <c r="B2111" s="47" t="s">
        <v>613</v>
      </c>
      <c r="C2111" s="47" t="s">
        <v>607</v>
      </c>
      <c r="D2111" s="48" t="s">
        <v>595</v>
      </c>
      <c r="E2111" s="47">
        <v>2021</v>
      </c>
      <c r="F2111" s="47">
        <v>3</v>
      </c>
      <c r="G2111" s="49">
        <v>5</v>
      </c>
      <c r="H2111" s="50">
        <v>0.21015046296296294</v>
      </c>
      <c r="I2111" s="51">
        <v>126.251</v>
      </c>
      <c r="J2111" s="51">
        <v>29.748999999999999</v>
      </c>
      <c r="K2111" s="57">
        <v>20.327000000000002</v>
      </c>
      <c r="L2111" s="52"/>
      <c r="M2111" s="52">
        <v>5</v>
      </c>
      <c r="N2111" s="53">
        <v>16.95</v>
      </c>
      <c r="O2111">
        <v>34.616</v>
      </c>
      <c r="P2111" s="54">
        <v>0.16466750117647111</v>
      </c>
      <c r="Q2111" s="54">
        <v>1.215426814117647</v>
      </c>
      <c r="R2111" s="47" t="s">
        <v>608</v>
      </c>
      <c r="S2111" s="47"/>
      <c r="T2111" s="71" t="s">
        <v>626</v>
      </c>
    </row>
    <row r="2112" spans="1:20" s="55" customFormat="1" ht="15">
      <c r="A2112" s="47" t="s">
        <v>591</v>
      </c>
      <c r="B2112" s="47" t="s">
        <v>613</v>
      </c>
      <c r="C2112" s="47" t="s">
        <v>607</v>
      </c>
      <c r="D2112" s="48" t="s">
        <v>595</v>
      </c>
      <c r="E2112" s="47">
        <v>2021</v>
      </c>
      <c r="F2112" s="47">
        <v>3</v>
      </c>
      <c r="G2112" s="49">
        <v>5</v>
      </c>
      <c r="H2112" s="50">
        <v>0.21015046296296294</v>
      </c>
      <c r="I2112" s="51">
        <v>126.251</v>
      </c>
      <c r="J2112" s="51">
        <v>29.748999999999999</v>
      </c>
      <c r="K2112" s="57">
        <v>30.555</v>
      </c>
      <c r="L2112" s="52"/>
      <c r="M2112" s="52">
        <v>4</v>
      </c>
      <c r="N2112" s="53">
        <v>16.95</v>
      </c>
      <c r="O2112">
        <v>34.627600000000001</v>
      </c>
      <c r="P2112" s="54">
        <v>0.16478698352941246</v>
      </c>
      <c r="Q2112" s="54">
        <v>1.1808860423529417</v>
      </c>
      <c r="R2112" s="47" t="s">
        <v>608</v>
      </c>
      <c r="S2112" s="47"/>
      <c r="T2112" s="71" t="s">
        <v>626</v>
      </c>
    </row>
    <row r="2113" spans="1:20" s="55" customFormat="1" ht="15">
      <c r="A2113" s="47" t="s">
        <v>591</v>
      </c>
      <c r="B2113" s="47" t="s">
        <v>613</v>
      </c>
      <c r="C2113" s="47" t="s">
        <v>607</v>
      </c>
      <c r="D2113" s="48" t="s">
        <v>595</v>
      </c>
      <c r="E2113" s="47">
        <v>2021</v>
      </c>
      <c r="F2113" s="47">
        <v>3</v>
      </c>
      <c r="G2113" s="49">
        <v>5</v>
      </c>
      <c r="H2113" s="50">
        <v>0.21015046296296294</v>
      </c>
      <c r="I2113" s="51">
        <v>126.251</v>
      </c>
      <c r="J2113" s="51">
        <v>29.748999999999999</v>
      </c>
      <c r="K2113" s="57">
        <v>50.540999999999997</v>
      </c>
      <c r="L2113" s="52"/>
      <c r="M2113" s="52">
        <v>3</v>
      </c>
      <c r="N2113" s="53">
        <v>16.82</v>
      </c>
      <c r="O2113">
        <v>34.630699999999997</v>
      </c>
      <c r="P2113" s="54">
        <v>0.1452038258823527</v>
      </c>
      <c r="Q2113" s="54">
        <v>1.2270327905882361</v>
      </c>
      <c r="R2113" s="47" t="s">
        <v>608</v>
      </c>
      <c r="S2113" s="47"/>
      <c r="T2113" s="71" t="s">
        <v>626</v>
      </c>
    </row>
    <row r="2114" spans="1:20" s="55" customFormat="1" ht="15">
      <c r="A2114" s="47" t="s">
        <v>591</v>
      </c>
      <c r="B2114" s="47" t="s">
        <v>613</v>
      </c>
      <c r="C2114" s="47" t="s">
        <v>607</v>
      </c>
      <c r="D2114" s="48" t="s">
        <v>595</v>
      </c>
      <c r="E2114" s="47">
        <v>2021</v>
      </c>
      <c r="F2114" s="47">
        <v>3</v>
      </c>
      <c r="G2114" s="49">
        <v>5</v>
      </c>
      <c r="H2114" s="50">
        <v>0.21015046296296294</v>
      </c>
      <c r="I2114" s="51">
        <v>126.251</v>
      </c>
      <c r="J2114" s="51">
        <v>29.748999999999999</v>
      </c>
      <c r="K2114" s="57">
        <v>75.655000000000001</v>
      </c>
      <c r="L2114" s="52"/>
      <c r="M2114" s="52">
        <v>2</v>
      </c>
      <c r="N2114" s="53">
        <v>16.239999999999998</v>
      </c>
      <c r="O2114">
        <v>34.6357</v>
      </c>
      <c r="P2114" s="54">
        <v>0.16721247529411754</v>
      </c>
      <c r="Q2114" s="54">
        <v>1.1049679435294131</v>
      </c>
      <c r="R2114" s="47" t="s">
        <v>608</v>
      </c>
      <c r="S2114" s="47"/>
      <c r="T2114" s="71" t="s">
        <v>626</v>
      </c>
    </row>
    <row r="2115" spans="1:20" s="55" customFormat="1" ht="15">
      <c r="A2115" s="47" t="s">
        <v>591</v>
      </c>
      <c r="B2115" s="47" t="s">
        <v>613</v>
      </c>
      <c r="C2115" s="47" t="s">
        <v>607</v>
      </c>
      <c r="D2115" s="48" t="s">
        <v>595</v>
      </c>
      <c r="E2115" s="47">
        <v>2021</v>
      </c>
      <c r="F2115" s="47">
        <v>3</v>
      </c>
      <c r="G2115" s="49">
        <v>5</v>
      </c>
      <c r="H2115" s="50">
        <v>0.21015046296296294</v>
      </c>
      <c r="I2115" s="51">
        <v>126.251</v>
      </c>
      <c r="J2115" s="51">
        <v>29.748999999999999</v>
      </c>
      <c r="K2115" s="57">
        <v>83.070999999999998</v>
      </c>
      <c r="L2115" s="52"/>
      <c r="M2115" s="52">
        <v>1</v>
      </c>
      <c r="N2115" s="53">
        <v>16.23</v>
      </c>
      <c r="O2115">
        <v>34.636399999999995</v>
      </c>
      <c r="P2115" s="54">
        <v>0.1400123176470589</v>
      </c>
      <c r="Q2115" s="54">
        <v>1.1419858117647053</v>
      </c>
      <c r="R2115" s="47" t="s">
        <v>608</v>
      </c>
      <c r="S2115" s="47"/>
      <c r="T2115" s="71" t="s">
        <v>626</v>
      </c>
    </row>
    <row r="2116" spans="1:20" s="55" customFormat="1" ht="15">
      <c r="A2116" s="47" t="s">
        <v>591</v>
      </c>
      <c r="B2116" s="47" t="s">
        <v>614</v>
      </c>
      <c r="C2116" s="47" t="s">
        <v>607</v>
      </c>
      <c r="D2116" s="48" t="s">
        <v>596</v>
      </c>
      <c r="E2116" s="47">
        <v>2021</v>
      </c>
      <c r="F2116" s="47">
        <v>3</v>
      </c>
      <c r="G2116" s="49">
        <v>6</v>
      </c>
      <c r="H2116" s="50">
        <v>0.44386574074074076</v>
      </c>
      <c r="I2116" s="51">
        <v>126.749</v>
      </c>
      <c r="J2116" s="51">
        <v>30.75</v>
      </c>
      <c r="K2116" s="57">
        <v>0</v>
      </c>
      <c r="L2116" s="52"/>
      <c r="M2116" s="52">
        <v>0</v>
      </c>
      <c r="N2116" s="53">
        <v>15.4</v>
      </c>
      <c r="O2116" s="56">
        <v>34.683459900000003</v>
      </c>
      <c r="P2116" s="54">
        <v>0.14612384</v>
      </c>
      <c r="Q2116" s="54">
        <v>1.097334560000002</v>
      </c>
      <c r="R2116" s="47" t="s">
        <v>608</v>
      </c>
      <c r="S2116" s="47"/>
      <c r="T2116" s="71" t="s">
        <v>626</v>
      </c>
    </row>
    <row r="2117" spans="1:20" s="55" customFormat="1" ht="15">
      <c r="A2117" s="47" t="s">
        <v>591</v>
      </c>
      <c r="B2117" s="47" t="s">
        <v>614</v>
      </c>
      <c r="C2117" s="47" t="s">
        <v>607</v>
      </c>
      <c r="D2117" s="48" t="s">
        <v>596</v>
      </c>
      <c r="E2117" s="47">
        <v>2021</v>
      </c>
      <c r="F2117" s="47">
        <v>3</v>
      </c>
      <c r="G2117" s="49">
        <v>6</v>
      </c>
      <c r="H2117" s="50">
        <v>0.44386574074074076</v>
      </c>
      <c r="I2117" s="51">
        <v>126.749</v>
      </c>
      <c r="J2117" s="51">
        <v>30.75</v>
      </c>
      <c r="K2117" s="57">
        <v>9.8729999999999993</v>
      </c>
      <c r="L2117" s="52"/>
      <c r="M2117" s="52">
        <v>6</v>
      </c>
      <c r="N2117" s="53">
        <v>15.43</v>
      </c>
      <c r="O2117" s="51">
        <v>34.677099999999996</v>
      </c>
      <c r="P2117" s="54">
        <v>0.14218092235294089</v>
      </c>
      <c r="Q2117" s="54">
        <v>1.1091253082352956</v>
      </c>
      <c r="R2117" s="47" t="s">
        <v>608</v>
      </c>
      <c r="S2117" s="47"/>
      <c r="T2117" s="71" t="s">
        <v>626</v>
      </c>
    </row>
    <row r="2118" spans="1:20" s="55" customFormat="1" ht="15">
      <c r="A2118" s="47" t="s">
        <v>591</v>
      </c>
      <c r="B2118" s="47" t="s">
        <v>614</v>
      </c>
      <c r="C2118" s="47" t="s">
        <v>607</v>
      </c>
      <c r="D2118" s="48" t="s">
        <v>596</v>
      </c>
      <c r="E2118" s="47">
        <v>2021</v>
      </c>
      <c r="F2118" s="47">
        <v>3</v>
      </c>
      <c r="G2118" s="49">
        <v>6</v>
      </c>
      <c r="H2118" s="50">
        <v>0.44386574074074076</v>
      </c>
      <c r="I2118" s="51">
        <v>126.749</v>
      </c>
      <c r="J2118" s="51">
        <v>30.75</v>
      </c>
      <c r="K2118" s="57">
        <v>20.658000000000001</v>
      </c>
      <c r="L2118" s="52"/>
      <c r="M2118" s="52">
        <v>5</v>
      </c>
      <c r="N2118" s="53">
        <v>15.27</v>
      </c>
      <c r="O2118" s="51">
        <v>34.660999999999994</v>
      </c>
      <c r="P2118" s="54">
        <v>0.17215904470588272</v>
      </c>
      <c r="Q2118" s="54">
        <v>1.1670512564705895</v>
      </c>
      <c r="R2118" s="47" t="s">
        <v>608</v>
      </c>
      <c r="S2118" s="47"/>
      <c r="T2118" s="71" t="s">
        <v>626</v>
      </c>
    </row>
    <row r="2119" spans="1:20" s="55" customFormat="1" ht="15">
      <c r="A2119" s="47" t="s">
        <v>591</v>
      </c>
      <c r="B2119" s="47" t="s">
        <v>614</v>
      </c>
      <c r="C2119" s="47" t="s">
        <v>607</v>
      </c>
      <c r="D2119" s="48" t="s">
        <v>596</v>
      </c>
      <c r="E2119" s="47">
        <v>2021</v>
      </c>
      <c r="F2119" s="47">
        <v>3</v>
      </c>
      <c r="G2119" s="49">
        <v>6</v>
      </c>
      <c r="H2119" s="50">
        <v>0.44386574074074076</v>
      </c>
      <c r="I2119" s="51">
        <v>126.749</v>
      </c>
      <c r="J2119" s="51">
        <v>30.75</v>
      </c>
      <c r="K2119" s="57">
        <v>29.606000000000002</v>
      </c>
      <c r="L2119" s="52"/>
      <c r="M2119" s="52">
        <v>4</v>
      </c>
      <c r="N2119" s="53">
        <v>15.14</v>
      </c>
      <c r="O2119" s="51">
        <v>34.637899999999995</v>
      </c>
      <c r="P2119" s="54">
        <v>0.1651693270588237</v>
      </c>
      <c r="Q2119" s="54">
        <v>1.0068656847058826</v>
      </c>
      <c r="R2119" s="47" t="s">
        <v>608</v>
      </c>
      <c r="S2119" s="47"/>
      <c r="T2119" s="71" t="s">
        <v>626</v>
      </c>
    </row>
    <row r="2120" spans="1:20" s="55" customFormat="1" ht="15">
      <c r="A2120" s="47" t="s">
        <v>591</v>
      </c>
      <c r="B2120" s="47" t="s">
        <v>614</v>
      </c>
      <c r="C2120" s="47" t="s">
        <v>607</v>
      </c>
      <c r="D2120" s="48" t="s">
        <v>596</v>
      </c>
      <c r="E2120" s="47">
        <v>2021</v>
      </c>
      <c r="F2120" s="47">
        <v>3</v>
      </c>
      <c r="G2120" s="49">
        <v>6</v>
      </c>
      <c r="H2120" s="50">
        <v>0.44386574074074076</v>
      </c>
      <c r="I2120" s="51">
        <v>126.749</v>
      </c>
      <c r="J2120" s="51">
        <v>30.75</v>
      </c>
      <c r="K2120" s="57">
        <v>49.902999999999999</v>
      </c>
      <c r="L2120" s="52"/>
      <c r="M2120" s="52">
        <v>3</v>
      </c>
      <c r="N2120" s="53">
        <v>14.77</v>
      </c>
      <c r="O2120" s="51">
        <v>34.548499999999997</v>
      </c>
      <c r="P2120" s="54">
        <v>0.15574216941176511</v>
      </c>
      <c r="Q2120" s="54">
        <v>0.71966107294117698</v>
      </c>
      <c r="R2120" s="47" t="s">
        <v>608</v>
      </c>
      <c r="S2120" s="47"/>
      <c r="T2120" s="71" t="s">
        <v>626</v>
      </c>
    </row>
    <row r="2121" spans="1:20" s="55" customFormat="1" ht="15">
      <c r="A2121" s="47" t="s">
        <v>591</v>
      </c>
      <c r="B2121" s="47" t="s">
        <v>614</v>
      </c>
      <c r="C2121" s="47" t="s">
        <v>607</v>
      </c>
      <c r="D2121" s="48" t="s">
        <v>596</v>
      </c>
      <c r="E2121" s="47">
        <v>2021</v>
      </c>
      <c r="F2121" s="47">
        <v>3</v>
      </c>
      <c r="G2121" s="49">
        <v>6</v>
      </c>
      <c r="H2121" s="50">
        <v>0.44386574074074076</v>
      </c>
      <c r="I2121" s="51">
        <v>126.749</v>
      </c>
      <c r="J2121" s="51">
        <v>30.75</v>
      </c>
      <c r="K2121" s="57">
        <v>76.040000000000006</v>
      </c>
      <c r="L2121" s="52"/>
      <c r="M2121" s="52">
        <v>2</v>
      </c>
      <c r="N2121" s="53">
        <v>14.75</v>
      </c>
      <c r="O2121" s="51">
        <v>34.6342</v>
      </c>
      <c r="P2121" s="54">
        <v>0.15139301176470621</v>
      </c>
      <c r="Q2121" s="54">
        <v>0.85650766117646882</v>
      </c>
      <c r="R2121" s="47" t="s">
        <v>608</v>
      </c>
      <c r="S2121" s="47"/>
      <c r="T2121" s="71" t="s">
        <v>626</v>
      </c>
    </row>
    <row r="2122" spans="1:20" s="55" customFormat="1" ht="15">
      <c r="A2122" s="47" t="s">
        <v>591</v>
      </c>
      <c r="B2122" s="47" t="s">
        <v>614</v>
      </c>
      <c r="C2122" s="47" t="s">
        <v>607</v>
      </c>
      <c r="D2122" s="48" t="s">
        <v>596</v>
      </c>
      <c r="E2122" s="47">
        <v>2021</v>
      </c>
      <c r="F2122" s="47">
        <v>3</v>
      </c>
      <c r="G2122" s="49">
        <v>6</v>
      </c>
      <c r="H2122" s="50">
        <v>0.44386574074074076</v>
      </c>
      <c r="I2122" s="51">
        <v>126.749</v>
      </c>
      <c r="J2122" s="51">
        <v>30.75</v>
      </c>
      <c r="K2122" s="57">
        <v>90.007999999999996</v>
      </c>
      <c r="L2122" s="52"/>
      <c r="M2122" s="52">
        <v>1</v>
      </c>
      <c r="N2122" s="53">
        <v>14.72</v>
      </c>
      <c r="O2122" s="51">
        <v>34.630099999999999</v>
      </c>
      <c r="P2122" s="54">
        <v>0.18090092941176472</v>
      </c>
      <c r="Q2122" s="54">
        <v>1.2630041047058835</v>
      </c>
      <c r="R2122" s="47" t="s">
        <v>608</v>
      </c>
      <c r="S2122" s="47"/>
      <c r="T2122" s="71" t="s">
        <v>626</v>
      </c>
    </row>
    <row r="2123" spans="1:20" s="55" customFormat="1" ht="15">
      <c r="A2123" s="47" t="s">
        <v>591</v>
      </c>
      <c r="B2123" s="47" t="s">
        <v>615</v>
      </c>
      <c r="C2123" s="47" t="s">
        <v>607</v>
      </c>
      <c r="D2123" s="48" t="s">
        <v>596</v>
      </c>
      <c r="E2123" s="47">
        <v>2021</v>
      </c>
      <c r="F2123" s="47">
        <v>3</v>
      </c>
      <c r="G2123" s="49">
        <v>6</v>
      </c>
      <c r="H2123" s="50">
        <v>0.8431481481481482</v>
      </c>
      <c r="I2123" s="51">
        <v>126.749</v>
      </c>
      <c r="J2123" s="51">
        <v>31.75</v>
      </c>
      <c r="K2123" s="57">
        <v>0</v>
      </c>
      <c r="L2123" s="52"/>
      <c r="M2123" s="52">
        <v>0</v>
      </c>
      <c r="N2123" s="53">
        <v>17.7</v>
      </c>
      <c r="O2123" s="56">
        <v>34.723419059999998</v>
      </c>
      <c r="P2123" s="54">
        <v>0.17447778235294109</v>
      </c>
      <c r="Q2123" s="54">
        <v>1.6760965011764686</v>
      </c>
      <c r="R2123" s="47" t="s">
        <v>608</v>
      </c>
      <c r="S2123" s="47"/>
      <c r="T2123" s="71" t="s">
        <v>626</v>
      </c>
    </row>
    <row r="2124" spans="1:20" s="55" customFormat="1" ht="15">
      <c r="A2124" s="47" t="s">
        <v>591</v>
      </c>
      <c r="B2124" s="47" t="s">
        <v>615</v>
      </c>
      <c r="C2124" s="47" t="s">
        <v>607</v>
      </c>
      <c r="D2124" s="48" t="s">
        <v>596</v>
      </c>
      <c r="E2124" s="47">
        <v>2021</v>
      </c>
      <c r="F2124" s="47">
        <v>3</v>
      </c>
      <c r="G2124" s="49">
        <v>6</v>
      </c>
      <c r="H2124" s="50">
        <v>0.8431481481481482</v>
      </c>
      <c r="I2124" s="51">
        <v>126.749</v>
      </c>
      <c r="J2124" s="51">
        <v>31.75</v>
      </c>
      <c r="K2124" s="57">
        <v>9.657</v>
      </c>
      <c r="L2124" s="52"/>
      <c r="M2124" s="52">
        <v>6</v>
      </c>
      <c r="N2124" s="53">
        <v>17.66</v>
      </c>
      <c r="O2124" s="51">
        <v>34.7179</v>
      </c>
      <c r="P2124" s="54">
        <v>0.15103029411764757</v>
      </c>
      <c r="Q2124" s="54">
        <v>1.3776100470588233</v>
      </c>
      <c r="R2124" s="47" t="s">
        <v>608</v>
      </c>
      <c r="S2124" s="47"/>
      <c r="T2124" s="71" t="s">
        <v>626</v>
      </c>
    </row>
    <row r="2125" spans="1:20" s="55" customFormat="1" ht="15">
      <c r="A2125" s="47" t="s">
        <v>591</v>
      </c>
      <c r="B2125" s="47" t="s">
        <v>615</v>
      </c>
      <c r="C2125" s="47" t="s">
        <v>607</v>
      </c>
      <c r="D2125" s="48" t="s">
        <v>596</v>
      </c>
      <c r="E2125" s="47">
        <v>2021</v>
      </c>
      <c r="F2125" s="47">
        <v>3</v>
      </c>
      <c r="G2125" s="49">
        <v>6</v>
      </c>
      <c r="H2125" s="50">
        <v>0.8431481481481482</v>
      </c>
      <c r="I2125" s="51">
        <v>126.749</v>
      </c>
      <c r="J2125" s="51">
        <v>31.75</v>
      </c>
      <c r="K2125" s="57">
        <v>20.186</v>
      </c>
      <c r="L2125" s="52"/>
      <c r="M2125" s="52">
        <v>5</v>
      </c>
      <c r="N2125" s="53">
        <v>17.66</v>
      </c>
      <c r="O2125" s="51">
        <v>34.717700000000001</v>
      </c>
      <c r="P2125" s="54">
        <v>0.1737934470588236</v>
      </c>
      <c r="Q2125" s="54">
        <v>1.5283215435294117</v>
      </c>
      <c r="R2125" s="47" t="s">
        <v>608</v>
      </c>
      <c r="S2125" s="47"/>
      <c r="T2125" s="71" t="s">
        <v>626</v>
      </c>
    </row>
    <row r="2126" spans="1:20" s="55" customFormat="1" ht="15">
      <c r="A2126" s="47" t="s">
        <v>591</v>
      </c>
      <c r="B2126" s="47" t="s">
        <v>615</v>
      </c>
      <c r="C2126" s="47" t="s">
        <v>607</v>
      </c>
      <c r="D2126" s="48" t="s">
        <v>596</v>
      </c>
      <c r="E2126" s="47">
        <v>2021</v>
      </c>
      <c r="F2126" s="47">
        <v>3</v>
      </c>
      <c r="G2126" s="49">
        <v>6</v>
      </c>
      <c r="H2126" s="50">
        <v>0.8431481481481482</v>
      </c>
      <c r="I2126" s="51">
        <v>126.749</v>
      </c>
      <c r="J2126" s="51">
        <v>31.75</v>
      </c>
      <c r="K2126" s="57">
        <v>29.64</v>
      </c>
      <c r="L2126" s="52"/>
      <c r="M2126" s="52">
        <v>4</v>
      </c>
      <c r="N2126" s="53">
        <v>17.63</v>
      </c>
      <c r="O2126" s="51">
        <v>34.715599999999995</v>
      </c>
      <c r="P2126" s="54">
        <v>0.16553340000000061</v>
      </c>
      <c r="Q2126" s="54">
        <v>1.2796637600000018</v>
      </c>
      <c r="R2126" s="47" t="s">
        <v>608</v>
      </c>
      <c r="S2126" s="47"/>
      <c r="T2126" s="71" t="s">
        <v>626</v>
      </c>
    </row>
    <row r="2127" spans="1:20" s="55" customFormat="1" ht="15">
      <c r="A2127" s="47" t="s">
        <v>591</v>
      </c>
      <c r="B2127" s="47" t="s">
        <v>615</v>
      </c>
      <c r="C2127" s="47" t="s">
        <v>607</v>
      </c>
      <c r="D2127" s="48" t="s">
        <v>596</v>
      </c>
      <c r="E2127" s="47">
        <v>2021</v>
      </c>
      <c r="F2127" s="47">
        <v>3</v>
      </c>
      <c r="G2127" s="49">
        <v>6</v>
      </c>
      <c r="H2127" s="50">
        <v>0.8431481481481482</v>
      </c>
      <c r="I2127" s="51">
        <v>126.749</v>
      </c>
      <c r="J2127" s="51">
        <v>31.75</v>
      </c>
      <c r="K2127" s="57">
        <v>50.279000000000003</v>
      </c>
      <c r="L2127" s="52"/>
      <c r="M2127" s="52">
        <v>3</v>
      </c>
      <c r="N2127" s="53">
        <v>17.420000000000002</v>
      </c>
      <c r="O2127" s="51">
        <v>34.708399999999997</v>
      </c>
      <c r="P2127" s="54">
        <v>0.1495175529411763</v>
      </c>
      <c r="Q2127" s="54">
        <v>1.2481826764705861</v>
      </c>
      <c r="R2127" s="47" t="s">
        <v>608</v>
      </c>
      <c r="S2127" s="47"/>
      <c r="T2127" s="71" t="s">
        <v>626</v>
      </c>
    </row>
    <row r="2128" spans="1:20" s="55" customFormat="1" ht="15">
      <c r="A2128" s="47" t="s">
        <v>591</v>
      </c>
      <c r="B2128" s="47" t="s">
        <v>615</v>
      </c>
      <c r="C2128" s="47" t="s">
        <v>607</v>
      </c>
      <c r="D2128" s="48" t="s">
        <v>596</v>
      </c>
      <c r="E2128" s="47">
        <v>2021</v>
      </c>
      <c r="F2128" s="47">
        <v>3</v>
      </c>
      <c r="G2128" s="49">
        <v>6</v>
      </c>
      <c r="H2128" s="50">
        <v>0.8431481481481482</v>
      </c>
      <c r="I2128" s="51">
        <v>126.749</v>
      </c>
      <c r="J2128" s="51">
        <v>31.75</v>
      </c>
      <c r="K2128" s="57">
        <v>74.494</v>
      </c>
      <c r="L2128" s="52"/>
      <c r="M2128" s="52">
        <v>2</v>
      </c>
      <c r="N2128" s="53">
        <v>16.5</v>
      </c>
      <c r="O2128" s="51">
        <v>34.6982</v>
      </c>
      <c r="P2128" s="54">
        <v>0.16677000588235291</v>
      </c>
      <c r="Q2128" s="54">
        <v>1.2640677329411769</v>
      </c>
      <c r="R2128" s="47" t="s">
        <v>608</v>
      </c>
      <c r="S2128" s="47"/>
      <c r="T2128" s="71" t="s">
        <v>626</v>
      </c>
    </row>
    <row r="2129" spans="1:20" s="55" customFormat="1" ht="15">
      <c r="A2129" s="47" t="s">
        <v>591</v>
      </c>
      <c r="B2129" s="47" t="s">
        <v>615</v>
      </c>
      <c r="C2129" s="47" t="s">
        <v>607</v>
      </c>
      <c r="D2129" s="48" t="s">
        <v>596</v>
      </c>
      <c r="E2129" s="47">
        <v>2021</v>
      </c>
      <c r="F2129" s="47">
        <v>3</v>
      </c>
      <c r="G2129" s="49">
        <v>6</v>
      </c>
      <c r="H2129" s="50">
        <v>0.8431481481481482</v>
      </c>
      <c r="I2129" s="51">
        <v>126.749</v>
      </c>
      <c r="J2129" s="51">
        <v>31.75</v>
      </c>
      <c r="K2129" s="57">
        <v>98.841999999999999</v>
      </c>
      <c r="L2129" s="52"/>
      <c r="M2129" s="52">
        <v>1</v>
      </c>
      <c r="N2129" s="53">
        <v>15.67</v>
      </c>
      <c r="O2129" s="51">
        <v>34.694899999999997</v>
      </c>
      <c r="P2129" s="54">
        <v>0.15422385882352918</v>
      </c>
      <c r="Q2129" s="54">
        <v>1.1791277694117657</v>
      </c>
      <c r="R2129" s="47" t="s">
        <v>608</v>
      </c>
      <c r="S2129" s="47"/>
      <c r="T2129" s="71" t="s">
        <v>626</v>
      </c>
    </row>
    <row r="2130" spans="1:20" s="55" customFormat="1">
      <c r="A2130" s="47" t="s">
        <v>591</v>
      </c>
      <c r="B2130" s="47" t="s">
        <v>616</v>
      </c>
      <c r="C2130" s="47" t="s">
        <v>607</v>
      </c>
      <c r="D2130" s="48" t="s">
        <v>596</v>
      </c>
      <c r="E2130" s="47">
        <v>2021</v>
      </c>
      <c r="F2130" s="47">
        <v>3</v>
      </c>
      <c r="G2130" s="49">
        <v>6</v>
      </c>
      <c r="H2130" s="50">
        <v>0.98964120370370379</v>
      </c>
      <c r="I2130" s="51">
        <v>127.248</v>
      </c>
      <c r="J2130" s="51">
        <v>31.75</v>
      </c>
      <c r="K2130" s="52">
        <v>0</v>
      </c>
      <c r="L2130" s="52"/>
      <c r="M2130" s="52">
        <v>0</v>
      </c>
      <c r="N2130" s="53">
        <v>16.7</v>
      </c>
      <c r="O2130" s="56">
        <v>34.689907769999998</v>
      </c>
      <c r="P2130" s="54">
        <v>0.17800751176470575</v>
      </c>
      <c r="Q2130" s="54">
        <v>1.4041313858823532</v>
      </c>
      <c r="R2130" s="47" t="s">
        <v>608</v>
      </c>
      <c r="S2130" s="47"/>
      <c r="T2130" s="71" t="s">
        <v>626</v>
      </c>
    </row>
    <row r="2131" spans="1:20" s="55" customFormat="1">
      <c r="A2131" s="47" t="s">
        <v>591</v>
      </c>
      <c r="B2131" s="47" t="s">
        <v>616</v>
      </c>
      <c r="C2131" s="47" t="s">
        <v>607</v>
      </c>
      <c r="D2131" s="48" t="s">
        <v>596</v>
      </c>
      <c r="E2131" s="47">
        <v>2021</v>
      </c>
      <c r="F2131" s="47">
        <v>3</v>
      </c>
      <c r="G2131" s="49">
        <v>6</v>
      </c>
      <c r="H2131" s="50">
        <v>0.98964120370370379</v>
      </c>
      <c r="I2131" s="51">
        <v>127.248</v>
      </c>
      <c r="J2131" s="51">
        <v>31.75</v>
      </c>
      <c r="K2131" s="52">
        <v>9.9410000000000007</v>
      </c>
      <c r="L2131" s="52"/>
      <c r="M2131" s="52">
        <v>7</v>
      </c>
      <c r="N2131" s="53">
        <v>16.649999999999999</v>
      </c>
      <c r="O2131" s="51">
        <v>34.685899999999997</v>
      </c>
      <c r="P2131" s="54">
        <v>0.10219036470588216</v>
      </c>
      <c r="Q2131" s="54">
        <v>1.0910084823529402</v>
      </c>
      <c r="R2131" s="47" t="s">
        <v>608</v>
      </c>
      <c r="S2131" s="47"/>
      <c r="T2131" s="71" t="s">
        <v>626</v>
      </c>
    </row>
    <row r="2132" spans="1:20" s="55" customFormat="1">
      <c r="A2132" s="47" t="s">
        <v>591</v>
      </c>
      <c r="B2132" s="47" t="s">
        <v>616</v>
      </c>
      <c r="C2132" s="47" t="s">
        <v>607</v>
      </c>
      <c r="D2132" s="48" t="s">
        <v>596</v>
      </c>
      <c r="E2132" s="47">
        <v>2021</v>
      </c>
      <c r="F2132" s="47">
        <v>3</v>
      </c>
      <c r="G2132" s="49">
        <v>6</v>
      </c>
      <c r="H2132" s="50">
        <v>0.98964120370370379</v>
      </c>
      <c r="I2132" s="51">
        <v>127.248</v>
      </c>
      <c r="J2132" s="51">
        <v>31.75</v>
      </c>
      <c r="K2132" s="52">
        <v>20.324999999999999</v>
      </c>
      <c r="L2132" s="52"/>
      <c r="M2132" s="52">
        <v>6</v>
      </c>
      <c r="N2132" s="53">
        <v>16.62</v>
      </c>
      <c r="O2132" s="51">
        <v>34.686899999999994</v>
      </c>
      <c r="P2132" s="54">
        <v>0.1538126517647056</v>
      </c>
      <c r="Q2132" s="54">
        <v>1.0986251882352942</v>
      </c>
      <c r="R2132" s="47" t="s">
        <v>608</v>
      </c>
      <c r="S2132" s="47"/>
      <c r="T2132" s="71" t="s">
        <v>626</v>
      </c>
    </row>
    <row r="2133" spans="1:20" s="55" customFormat="1">
      <c r="A2133" s="47" t="s">
        <v>591</v>
      </c>
      <c r="B2133" s="47" t="s">
        <v>616</v>
      </c>
      <c r="C2133" s="47" t="s">
        <v>607</v>
      </c>
      <c r="D2133" s="48" t="s">
        <v>596</v>
      </c>
      <c r="E2133" s="47">
        <v>2021</v>
      </c>
      <c r="F2133" s="47">
        <v>3</v>
      </c>
      <c r="G2133" s="49">
        <v>6</v>
      </c>
      <c r="H2133" s="50">
        <v>0.98964120370370379</v>
      </c>
      <c r="I2133" s="51">
        <v>127.248</v>
      </c>
      <c r="J2133" s="51">
        <v>31.75</v>
      </c>
      <c r="K2133" s="52">
        <v>30.012</v>
      </c>
      <c r="L2133" s="52"/>
      <c r="M2133" s="52">
        <v>5</v>
      </c>
      <c r="N2133" s="53">
        <v>16.510000000000002</v>
      </c>
      <c r="O2133" s="51">
        <v>34.693300000000001</v>
      </c>
      <c r="P2133" s="54">
        <v>0.23643157411764681</v>
      </c>
      <c r="Q2133" s="54">
        <v>1.3535113058823534</v>
      </c>
      <c r="R2133" s="47" t="s">
        <v>608</v>
      </c>
      <c r="S2133" s="47"/>
      <c r="T2133" s="71" t="s">
        <v>626</v>
      </c>
    </row>
    <row r="2134" spans="1:20" s="55" customFormat="1">
      <c r="A2134" s="47" t="s">
        <v>591</v>
      </c>
      <c r="B2134" s="47" t="s">
        <v>616</v>
      </c>
      <c r="C2134" s="47" t="s">
        <v>607</v>
      </c>
      <c r="D2134" s="48" t="s">
        <v>596</v>
      </c>
      <c r="E2134" s="47">
        <v>2021</v>
      </c>
      <c r="F2134" s="47">
        <v>3</v>
      </c>
      <c r="G2134" s="49">
        <v>6</v>
      </c>
      <c r="H2134" s="50">
        <v>0.98964120370370379</v>
      </c>
      <c r="I2134" s="51">
        <v>127.248</v>
      </c>
      <c r="J2134" s="51">
        <v>31.75</v>
      </c>
      <c r="K2134" s="52">
        <v>49.832000000000001</v>
      </c>
      <c r="L2134" s="52"/>
      <c r="M2134" s="52">
        <v>4</v>
      </c>
      <c r="N2134" s="53">
        <v>16.43</v>
      </c>
      <c r="O2134" s="51">
        <v>34.696999999999996</v>
      </c>
      <c r="P2134" s="54">
        <v>0.17253269647058822</v>
      </c>
      <c r="Q2134" s="54">
        <v>1.1886564235294106</v>
      </c>
      <c r="R2134" s="47" t="s">
        <v>608</v>
      </c>
      <c r="S2134" s="47"/>
      <c r="T2134" s="71" t="s">
        <v>626</v>
      </c>
    </row>
    <row r="2135" spans="1:20" s="55" customFormat="1">
      <c r="A2135" s="47" t="s">
        <v>591</v>
      </c>
      <c r="B2135" s="47" t="s">
        <v>616</v>
      </c>
      <c r="C2135" s="47" t="s">
        <v>607</v>
      </c>
      <c r="D2135" s="48" t="s">
        <v>596</v>
      </c>
      <c r="E2135" s="47">
        <v>2021</v>
      </c>
      <c r="F2135" s="47">
        <v>3</v>
      </c>
      <c r="G2135" s="49">
        <v>6</v>
      </c>
      <c r="H2135" s="50">
        <v>0.98964120370370379</v>
      </c>
      <c r="I2135" s="51">
        <v>127.248</v>
      </c>
      <c r="J2135" s="51">
        <v>31.75</v>
      </c>
      <c r="K2135" s="52">
        <v>75.111000000000004</v>
      </c>
      <c r="L2135" s="52"/>
      <c r="M2135" s="52">
        <v>3</v>
      </c>
      <c r="N2135" s="53">
        <v>15.77</v>
      </c>
      <c r="O2135" s="51">
        <v>34.674099999999996</v>
      </c>
      <c r="P2135" s="54">
        <v>0.1547408188235293</v>
      </c>
      <c r="Q2135" s="54">
        <v>1.1114851411764697</v>
      </c>
      <c r="R2135" s="47" t="s">
        <v>608</v>
      </c>
      <c r="S2135" s="47"/>
      <c r="T2135" s="71" t="s">
        <v>626</v>
      </c>
    </row>
    <row r="2136" spans="1:20" s="55" customFormat="1">
      <c r="A2136" s="47" t="s">
        <v>591</v>
      </c>
      <c r="B2136" s="47" t="s">
        <v>616</v>
      </c>
      <c r="C2136" s="47" t="s">
        <v>607</v>
      </c>
      <c r="D2136" s="48" t="s">
        <v>596</v>
      </c>
      <c r="E2136" s="47">
        <v>2021</v>
      </c>
      <c r="F2136" s="47">
        <v>3</v>
      </c>
      <c r="G2136" s="49">
        <v>6</v>
      </c>
      <c r="H2136" s="50">
        <v>0.98964120370370379</v>
      </c>
      <c r="I2136" s="51">
        <v>127.248</v>
      </c>
      <c r="J2136" s="51">
        <v>31.75</v>
      </c>
      <c r="K2136" s="52">
        <v>99.557000000000002</v>
      </c>
      <c r="L2136" s="52"/>
      <c r="M2136" s="52">
        <v>2</v>
      </c>
      <c r="N2136" s="53">
        <v>15.15</v>
      </c>
      <c r="O2136" s="51">
        <v>34.671099999999996</v>
      </c>
      <c r="P2136" s="54">
        <v>0.18141658117647008</v>
      </c>
      <c r="Q2136" s="54">
        <v>1.0459132588235285</v>
      </c>
      <c r="R2136" s="47" t="s">
        <v>608</v>
      </c>
      <c r="S2136" s="47"/>
      <c r="T2136" s="71" t="s">
        <v>626</v>
      </c>
    </row>
    <row r="2137" spans="1:20" s="55" customFormat="1">
      <c r="A2137" s="47" t="s">
        <v>591</v>
      </c>
      <c r="B2137" s="47" t="s">
        <v>616</v>
      </c>
      <c r="C2137" s="47" t="s">
        <v>607</v>
      </c>
      <c r="D2137" s="48" t="s">
        <v>596</v>
      </c>
      <c r="E2137" s="47">
        <v>2021</v>
      </c>
      <c r="F2137" s="47">
        <v>3</v>
      </c>
      <c r="G2137" s="49">
        <v>6</v>
      </c>
      <c r="H2137" s="50">
        <v>0.98964120370370379</v>
      </c>
      <c r="I2137" s="51">
        <v>127.248</v>
      </c>
      <c r="J2137" s="51">
        <v>31.75</v>
      </c>
      <c r="K2137" s="52">
        <v>122.036</v>
      </c>
      <c r="L2137" s="52"/>
      <c r="M2137" s="52">
        <v>1</v>
      </c>
      <c r="N2137" s="53">
        <v>15.06</v>
      </c>
      <c r="O2137" s="51">
        <v>34.681999999999995</v>
      </c>
      <c r="P2137" s="54">
        <v>0.21369349019607808</v>
      </c>
      <c r="Q2137" s="54">
        <v>1.1414878431372557</v>
      </c>
      <c r="R2137" s="47" t="s">
        <v>608</v>
      </c>
      <c r="S2137" s="47"/>
      <c r="T2137" s="71" t="s">
        <v>626</v>
      </c>
    </row>
    <row r="2138" spans="1:20" s="55" customFormat="1">
      <c r="A2138" s="47" t="s">
        <v>591</v>
      </c>
      <c r="B2138" s="47" t="s">
        <v>617</v>
      </c>
      <c r="C2138" s="47" t="s">
        <v>607</v>
      </c>
      <c r="D2138" s="48" t="s">
        <v>597</v>
      </c>
      <c r="E2138" s="47">
        <v>2021</v>
      </c>
      <c r="F2138" s="47">
        <v>3</v>
      </c>
      <c r="G2138" s="49">
        <v>7</v>
      </c>
      <c r="H2138" s="50">
        <v>0.7071412037037037</v>
      </c>
      <c r="I2138" s="51">
        <v>127.749</v>
      </c>
      <c r="J2138" s="51">
        <v>31.751999999999999</v>
      </c>
      <c r="K2138" s="52">
        <v>0</v>
      </c>
      <c r="L2138" s="52"/>
      <c r="M2138" s="52">
        <v>0</v>
      </c>
      <c r="N2138" s="53">
        <v>17.5</v>
      </c>
      <c r="O2138" s="56">
        <v>34.741924089999998</v>
      </c>
      <c r="P2138" s="54">
        <v>0.19193982588235281</v>
      </c>
      <c r="Q2138" s="54">
        <v>1.2572466941176472</v>
      </c>
      <c r="R2138" s="47" t="s">
        <v>608</v>
      </c>
      <c r="S2138" s="47"/>
      <c r="T2138" s="71" t="s">
        <v>626</v>
      </c>
    </row>
    <row r="2139" spans="1:20" s="55" customFormat="1">
      <c r="A2139" s="47" t="s">
        <v>591</v>
      </c>
      <c r="B2139" s="47" t="s">
        <v>617</v>
      </c>
      <c r="C2139" s="47" t="s">
        <v>607</v>
      </c>
      <c r="D2139" s="48" t="s">
        <v>597</v>
      </c>
      <c r="E2139" s="47">
        <v>2021</v>
      </c>
      <c r="F2139" s="47">
        <v>3</v>
      </c>
      <c r="G2139" s="49">
        <v>7</v>
      </c>
      <c r="H2139" s="50">
        <v>0.7071412037037037</v>
      </c>
      <c r="I2139" s="51">
        <v>127.749</v>
      </c>
      <c r="J2139" s="51">
        <v>31.751999999999999</v>
      </c>
      <c r="K2139" s="52">
        <v>9.6959999999999997</v>
      </c>
      <c r="L2139" s="52"/>
      <c r="M2139" s="52">
        <v>8</v>
      </c>
      <c r="N2139" s="53">
        <v>17.47</v>
      </c>
      <c r="O2139" s="51">
        <v>34.672899999999998</v>
      </c>
      <c r="P2139" s="54">
        <v>0.19003527529411679</v>
      </c>
      <c r="Q2139" s="54">
        <v>1.1793699647058826</v>
      </c>
      <c r="R2139" s="47" t="s">
        <v>608</v>
      </c>
      <c r="S2139" s="47"/>
      <c r="T2139" s="71" t="s">
        <v>626</v>
      </c>
    </row>
    <row r="2140" spans="1:20" s="55" customFormat="1">
      <c r="A2140" s="47" t="s">
        <v>591</v>
      </c>
      <c r="B2140" s="47" t="s">
        <v>617</v>
      </c>
      <c r="C2140" s="47" t="s">
        <v>607</v>
      </c>
      <c r="D2140" s="48" t="s">
        <v>597</v>
      </c>
      <c r="E2140" s="47">
        <v>2021</v>
      </c>
      <c r="F2140" s="47">
        <v>3</v>
      </c>
      <c r="G2140" s="49">
        <v>7</v>
      </c>
      <c r="H2140" s="50">
        <v>0.7071412037037037</v>
      </c>
      <c r="I2140" s="51">
        <v>127.749</v>
      </c>
      <c r="J2140" s="51">
        <v>31.751999999999999</v>
      </c>
      <c r="K2140" s="52">
        <v>19.538</v>
      </c>
      <c r="L2140" s="52"/>
      <c r="M2140" s="52">
        <v>7</v>
      </c>
      <c r="N2140" s="53">
        <v>17.39</v>
      </c>
      <c r="O2140" s="51">
        <v>34.668699999999994</v>
      </c>
      <c r="P2140" s="54">
        <v>0.14945173986928051</v>
      </c>
      <c r="Q2140" s="54">
        <v>1.361666993464052</v>
      </c>
      <c r="R2140" s="47" t="s">
        <v>608</v>
      </c>
      <c r="S2140" s="47"/>
      <c r="T2140" s="71" t="s">
        <v>626</v>
      </c>
    </row>
    <row r="2141" spans="1:20" s="55" customFormat="1">
      <c r="A2141" s="47" t="s">
        <v>591</v>
      </c>
      <c r="B2141" s="47" t="s">
        <v>617</v>
      </c>
      <c r="C2141" s="47" t="s">
        <v>607</v>
      </c>
      <c r="D2141" s="48" t="s">
        <v>597</v>
      </c>
      <c r="E2141" s="47">
        <v>2021</v>
      </c>
      <c r="F2141" s="47">
        <v>3</v>
      </c>
      <c r="G2141" s="49">
        <v>7</v>
      </c>
      <c r="H2141" s="50">
        <v>0.7071412037037037</v>
      </c>
      <c r="I2141" s="51">
        <v>127.749</v>
      </c>
      <c r="J2141" s="51">
        <v>31.751999999999999</v>
      </c>
      <c r="K2141" s="52">
        <v>29.29</v>
      </c>
      <c r="L2141" s="52"/>
      <c r="M2141" s="52">
        <v>6</v>
      </c>
      <c r="N2141" s="53">
        <v>16.93</v>
      </c>
      <c r="O2141" s="51">
        <v>34.665999999999997</v>
      </c>
      <c r="P2141" s="54">
        <v>0.17412383999999959</v>
      </c>
      <c r="Q2141" s="54">
        <v>1.2395180000000021</v>
      </c>
      <c r="R2141" s="47" t="s">
        <v>608</v>
      </c>
      <c r="S2141" s="47"/>
      <c r="T2141" s="71" t="s">
        <v>626</v>
      </c>
    </row>
    <row r="2142" spans="1:20" s="55" customFormat="1">
      <c r="A2142" s="47" t="s">
        <v>591</v>
      </c>
      <c r="B2142" s="47" t="s">
        <v>617</v>
      </c>
      <c r="C2142" s="47" t="s">
        <v>607</v>
      </c>
      <c r="D2142" s="48" t="s">
        <v>597</v>
      </c>
      <c r="E2142" s="47">
        <v>2021</v>
      </c>
      <c r="F2142" s="47">
        <v>3</v>
      </c>
      <c r="G2142" s="49">
        <v>7</v>
      </c>
      <c r="H2142" s="50">
        <v>0.7071412037037037</v>
      </c>
      <c r="I2142" s="51">
        <v>127.749</v>
      </c>
      <c r="J2142" s="51">
        <v>31.751999999999999</v>
      </c>
      <c r="K2142" s="52">
        <v>49.061</v>
      </c>
      <c r="L2142" s="52"/>
      <c r="M2142" s="52">
        <v>5</v>
      </c>
      <c r="N2142" s="53">
        <v>16.329999999999998</v>
      </c>
      <c r="O2142" s="51">
        <v>34.666799999999995</v>
      </c>
      <c r="P2142" s="54">
        <v>0.2018242023529413</v>
      </c>
      <c r="Q2142" s="54">
        <v>1.1900673176470562</v>
      </c>
      <c r="R2142" s="47" t="s">
        <v>608</v>
      </c>
      <c r="S2142" s="47"/>
      <c r="T2142" s="71" t="s">
        <v>626</v>
      </c>
    </row>
    <row r="2143" spans="1:20" s="55" customFormat="1">
      <c r="A2143" s="47" t="s">
        <v>591</v>
      </c>
      <c r="B2143" s="47" t="s">
        <v>617</v>
      </c>
      <c r="C2143" s="47" t="s">
        <v>607</v>
      </c>
      <c r="D2143" s="48" t="s">
        <v>597</v>
      </c>
      <c r="E2143" s="47">
        <v>2021</v>
      </c>
      <c r="F2143" s="47">
        <v>3</v>
      </c>
      <c r="G2143" s="49">
        <v>7</v>
      </c>
      <c r="H2143" s="50">
        <v>0.7071412037037037</v>
      </c>
      <c r="I2143" s="51">
        <v>127.749</v>
      </c>
      <c r="J2143" s="51">
        <v>31.751999999999999</v>
      </c>
      <c r="K2143" s="52">
        <v>74.228999999999999</v>
      </c>
      <c r="L2143" s="52"/>
      <c r="M2143" s="52">
        <v>4</v>
      </c>
      <c r="N2143" s="53">
        <v>15.89</v>
      </c>
      <c r="O2143" s="51">
        <v>34.688399999999994</v>
      </c>
      <c r="P2143" s="54">
        <v>0.11394968470588251</v>
      </c>
      <c r="Q2143" s="54">
        <v>1.1333424352941179</v>
      </c>
      <c r="R2143" s="47" t="s">
        <v>608</v>
      </c>
      <c r="S2143" s="47"/>
      <c r="T2143" s="71" t="s">
        <v>626</v>
      </c>
    </row>
    <row r="2144" spans="1:20" s="55" customFormat="1">
      <c r="A2144" s="47" t="s">
        <v>591</v>
      </c>
      <c r="B2144" s="47" t="s">
        <v>617</v>
      </c>
      <c r="C2144" s="47" t="s">
        <v>607</v>
      </c>
      <c r="D2144" s="48" t="s">
        <v>597</v>
      </c>
      <c r="E2144" s="47">
        <v>2021</v>
      </c>
      <c r="F2144" s="47">
        <v>3</v>
      </c>
      <c r="G2144" s="49">
        <v>7</v>
      </c>
      <c r="H2144" s="50">
        <v>0.7071412037037037</v>
      </c>
      <c r="I2144" s="51">
        <v>127.749</v>
      </c>
      <c r="J2144" s="51">
        <v>31.751999999999999</v>
      </c>
      <c r="K2144" s="52">
        <v>98.635999999999996</v>
      </c>
      <c r="L2144" s="52"/>
      <c r="M2144" s="52">
        <v>3</v>
      </c>
      <c r="N2144" s="53">
        <v>15.34</v>
      </c>
      <c r="O2144" s="51">
        <v>34.700899999999997</v>
      </c>
      <c r="P2144" s="54">
        <v>0.14574844705882306</v>
      </c>
      <c r="Q2144" s="54">
        <v>1.0310063529411764</v>
      </c>
      <c r="R2144" s="47" t="s">
        <v>608</v>
      </c>
      <c r="S2144" s="47"/>
      <c r="T2144" s="71" t="s">
        <v>626</v>
      </c>
    </row>
    <row r="2145" spans="1:20" s="55" customFormat="1">
      <c r="A2145" s="47" t="s">
        <v>591</v>
      </c>
      <c r="B2145" s="47" t="s">
        <v>617</v>
      </c>
      <c r="C2145" s="47" t="s">
        <v>607</v>
      </c>
      <c r="D2145" s="48" t="s">
        <v>597</v>
      </c>
      <c r="E2145" s="47">
        <v>2021</v>
      </c>
      <c r="F2145" s="47">
        <v>3</v>
      </c>
      <c r="G2145" s="49">
        <v>7</v>
      </c>
      <c r="H2145" s="50">
        <v>0.7071412037037037</v>
      </c>
      <c r="I2145" s="51">
        <v>127.749</v>
      </c>
      <c r="J2145" s="51">
        <v>31.751999999999999</v>
      </c>
      <c r="K2145" s="52">
        <v>123.916</v>
      </c>
      <c r="L2145" s="52"/>
      <c r="M2145" s="52">
        <v>2</v>
      </c>
      <c r="N2145" s="53">
        <v>15.13</v>
      </c>
      <c r="O2145" s="51">
        <v>34.699199999999998</v>
      </c>
      <c r="P2145" s="54">
        <v>0.15234204941176488</v>
      </c>
      <c r="Q2145" s="54">
        <v>0.9890264705882359</v>
      </c>
      <c r="R2145" s="47" t="s">
        <v>608</v>
      </c>
      <c r="S2145" s="47"/>
      <c r="T2145" s="71" t="s">
        <v>626</v>
      </c>
    </row>
    <row r="2146" spans="1:20" s="55" customFormat="1">
      <c r="A2146" s="47" t="s">
        <v>591</v>
      </c>
      <c r="B2146" s="47" t="s">
        <v>617</v>
      </c>
      <c r="C2146" s="47" t="s">
        <v>607</v>
      </c>
      <c r="D2146" s="48" t="s">
        <v>597</v>
      </c>
      <c r="E2146" s="47">
        <v>2021</v>
      </c>
      <c r="F2146" s="47">
        <v>3</v>
      </c>
      <c r="G2146" s="49">
        <v>7</v>
      </c>
      <c r="H2146" s="50">
        <v>0.7071412037037037</v>
      </c>
      <c r="I2146" s="51">
        <v>127.749</v>
      </c>
      <c r="J2146" s="51">
        <v>31.751999999999999</v>
      </c>
      <c r="K2146" s="52">
        <v>137.93100000000001</v>
      </c>
      <c r="L2146" s="52"/>
      <c r="M2146" s="52">
        <v>1</v>
      </c>
      <c r="N2146" s="53">
        <v>15.13</v>
      </c>
      <c r="O2146" s="51">
        <v>34.699599999999997</v>
      </c>
      <c r="P2146" s="54">
        <v>0.13045177176470579</v>
      </c>
      <c r="Q2146" s="54">
        <v>1.045739788235295</v>
      </c>
      <c r="R2146" s="47" t="s">
        <v>608</v>
      </c>
      <c r="S2146" s="47"/>
      <c r="T2146" s="71" t="s">
        <v>626</v>
      </c>
    </row>
    <row r="2147" spans="1:20" s="55" customFormat="1">
      <c r="A2147" s="47" t="s">
        <v>591</v>
      </c>
      <c r="B2147" s="47" t="s">
        <v>618</v>
      </c>
      <c r="C2147" s="47" t="s">
        <v>607</v>
      </c>
      <c r="D2147" s="48" t="s">
        <v>597</v>
      </c>
      <c r="E2147" s="47">
        <v>2021</v>
      </c>
      <c r="F2147" s="47">
        <v>3</v>
      </c>
      <c r="G2147" s="49">
        <v>7</v>
      </c>
      <c r="H2147" s="50">
        <v>0.93040509259259263</v>
      </c>
      <c r="I2147" s="51">
        <v>128.249</v>
      </c>
      <c r="J2147" s="51">
        <v>31.751000000000001</v>
      </c>
      <c r="K2147" s="52">
        <v>0</v>
      </c>
      <c r="L2147" s="52"/>
      <c r="M2147" s="52">
        <v>0</v>
      </c>
      <c r="N2147" s="53">
        <v>19.3</v>
      </c>
      <c r="O2147" s="56">
        <v>34.750145920000001</v>
      </c>
      <c r="P2147" s="54">
        <v>0.13791674823529387</v>
      </c>
      <c r="Q2147" s="54">
        <v>1.4080986352941167</v>
      </c>
      <c r="R2147" s="47" t="s">
        <v>608</v>
      </c>
      <c r="S2147" s="47"/>
      <c r="T2147" s="71" t="s">
        <v>626</v>
      </c>
    </row>
    <row r="2148" spans="1:20" s="55" customFormat="1">
      <c r="A2148" s="47" t="s">
        <v>591</v>
      </c>
      <c r="B2148" s="47" t="s">
        <v>618</v>
      </c>
      <c r="C2148" s="47" t="s">
        <v>607</v>
      </c>
      <c r="D2148" s="48" t="s">
        <v>597</v>
      </c>
      <c r="E2148" s="47">
        <v>2021</v>
      </c>
      <c r="F2148" s="47">
        <v>3</v>
      </c>
      <c r="G2148" s="49">
        <v>7</v>
      </c>
      <c r="H2148" s="50">
        <v>0.93040509259259263</v>
      </c>
      <c r="I2148" s="51">
        <v>128.249</v>
      </c>
      <c r="J2148" s="51">
        <v>31.751000000000001</v>
      </c>
      <c r="K2148" s="52">
        <v>10.048</v>
      </c>
      <c r="L2148" s="52"/>
      <c r="M2148" s="52">
        <v>9</v>
      </c>
      <c r="N2148" s="53">
        <v>19.329999999999998</v>
      </c>
      <c r="O2148" s="51">
        <v>34.7288</v>
      </c>
      <c r="P2148" s="54">
        <v>0.12553958588235314</v>
      </c>
      <c r="Q2148" s="54">
        <v>1.28783068235294</v>
      </c>
      <c r="R2148" s="47" t="s">
        <v>608</v>
      </c>
      <c r="S2148" s="47"/>
      <c r="T2148" s="71" t="s">
        <v>626</v>
      </c>
    </row>
    <row r="2149" spans="1:20" s="55" customFormat="1">
      <c r="A2149" s="47" t="s">
        <v>591</v>
      </c>
      <c r="B2149" s="47" t="s">
        <v>618</v>
      </c>
      <c r="C2149" s="47" t="s">
        <v>607</v>
      </c>
      <c r="D2149" s="48" t="s">
        <v>597</v>
      </c>
      <c r="E2149" s="47">
        <v>2021</v>
      </c>
      <c r="F2149" s="47">
        <v>3</v>
      </c>
      <c r="G2149" s="49">
        <v>7</v>
      </c>
      <c r="H2149" s="50">
        <v>0.93040509259259263</v>
      </c>
      <c r="I2149" s="51">
        <v>128.249</v>
      </c>
      <c r="J2149" s="51">
        <v>31.751000000000001</v>
      </c>
      <c r="K2149" s="52">
        <v>20.841000000000001</v>
      </c>
      <c r="L2149" s="52"/>
      <c r="M2149" s="52">
        <v>8</v>
      </c>
      <c r="N2149" s="53">
        <v>19.329999999999998</v>
      </c>
      <c r="O2149" s="51">
        <v>34.7288</v>
      </c>
      <c r="P2149" s="54">
        <v>0.14123098352941188</v>
      </c>
      <c r="Q2149" s="54">
        <v>1.3179179294117649</v>
      </c>
      <c r="R2149" s="47" t="s">
        <v>608</v>
      </c>
      <c r="S2149" s="47"/>
      <c r="T2149" s="71" t="s">
        <v>626</v>
      </c>
    </row>
    <row r="2150" spans="1:20" s="55" customFormat="1">
      <c r="A2150" s="47" t="s">
        <v>591</v>
      </c>
      <c r="B2150" s="47" t="s">
        <v>618</v>
      </c>
      <c r="C2150" s="47" t="s">
        <v>607</v>
      </c>
      <c r="D2150" s="48" t="s">
        <v>597</v>
      </c>
      <c r="E2150" s="47">
        <v>2021</v>
      </c>
      <c r="F2150" s="47">
        <v>3</v>
      </c>
      <c r="G2150" s="49">
        <v>7</v>
      </c>
      <c r="H2150" s="50">
        <v>0.93040509259259263</v>
      </c>
      <c r="I2150" s="51">
        <v>128.249</v>
      </c>
      <c r="J2150" s="51">
        <v>31.751000000000001</v>
      </c>
      <c r="K2150" s="52">
        <v>29.329000000000001</v>
      </c>
      <c r="L2150" s="52"/>
      <c r="M2150" s="52">
        <v>7</v>
      </c>
      <c r="N2150" s="53">
        <v>19.329999999999998</v>
      </c>
      <c r="O2150" s="51">
        <v>34.728699999999996</v>
      </c>
      <c r="P2150" s="54">
        <v>0.14667838117647092</v>
      </c>
      <c r="Q2150" s="54">
        <v>1.3253731764705865</v>
      </c>
      <c r="R2150" s="47" t="s">
        <v>608</v>
      </c>
      <c r="S2150" s="47"/>
      <c r="T2150" s="71" t="s">
        <v>626</v>
      </c>
    </row>
    <row r="2151" spans="1:20" s="55" customFormat="1">
      <c r="A2151" s="47" t="s">
        <v>591</v>
      </c>
      <c r="B2151" s="47" t="s">
        <v>618</v>
      </c>
      <c r="C2151" s="47" t="s">
        <v>607</v>
      </c>
      <c r="D2151" s="48" t="s">
        <v>597</v>
      </c>
      <c r="E2151" s="47">
        <v>2021</v>
      </c>
      <c r="F2151" s="47">
        <v>3</v>
      </c>
      <c r="G2151" s="49">
        <v>7</v>
      </c>
      <c r="H2151" s="50">
        <v>0.93040509259259263</v>
      </c>
      <c r="I2151" s="51">
        <v>128.249</v>
      </c>
      <c r="J2151" s="51">
        <v>31.751000000000001</v>
      </c>
      <c r="K2151" s="52">
        <v>49.74</v>
      </c>
      <c r="L2151" s="52"/>
      <c r="M2151" s="52">
        <v>6</v>
      </c>
      <c r="N2151" s="53">
        <v>19.32</v>
      </c>
      <c r="O2151" s="51">
        <v>34.727799999999995</v>
      </c>
      <c r="P2151" s="54">
        <v>0.41867465882353017</v>
      </c>
      <c r="Q2151" s="54">
        <v>1.4784604235294108</v>
      </c>
      <c r="R2151" s="47" t="s">
        <v>608</v>
      </c>
      <c r="S2151" s="47"/>
      <c r="T2151" s="71" t="s">
        <v>626</v>
      </c>
    </row>
    <row r="2152" spans="1:20" s="55" customFormat="1">
      <c r="A2152" s="47" t="s">
        <v>591</v>
      </c>
      <c r="B2152" s="47" t="s">
        <v>618</v>
      </c>
      <c r="C2152" s="47" t="s">
        <v>607</v>
      </c>
      <c r="D2152" s="48" t="s">
        <v>597</v>
      </c>
      <c r="E2152" s="47">
        <v>2021</v>
      </c>
      <c r="F2152" s="47">
        <v>3</v>
      </c>
      <c r="G2152" s="49">
        <v>7</v>
      </c>
      <c r="H2152" s="50">
        <v>0.93040509259259263</v>
      </c>
      <c r="I2152" s="51">
        <v>128.249</v>
      </c>
      <c r="J2152" s="51">
        <v>31.751000000000001</v>
      </c>
      <c r="K2152" s="52">
        <v>75.225999999999999</v>
      </c>
      <c r="L2152" s="52"/>
      <c r="M2152" s="52">
        <v>5</v>
      </c>
      <c r="N2152" s="53">
        <v>19.11</v>
      </c>
      <c r="O2152" s="51">
        <v>34.713499999999996</v>
      </c>
      <c r="P2152" s="54">
        <v>0.20981757647058874</v>
      </c>
      <c r="Q2152" s="54">
        <v>1.3030884705882357</v>
      </c>
      <c r="R2152" s="47" t="s">
        <v>608</v>
      </c>
      <c r="S2152" s="47"/>
      <c r="T2152" s="71" t="s">
        <v>626</v>
      </c>
    </row>
    <row r="2153" spans="1:20" s="55" customFormat="1">
      <c r="A2153" s="47" t="s">
        <v>591</v>
      </c>
      <c r="B2153" s="47" t="s">
        <v>618</v>
      </c>
      <c r="C2153" s="47" t="s">
        <v>607</v>
      </c>
      <c r="D2153" s="48" t="s">
        <v>597</v>
      </c>
      <c r="E2153" s="47">
        <v>2021</v>
      </c>
      <c r="F2153" s="47">
        <v>3</v>
      </c>
      <c r="G2153" s="49">
        <v>7</v>
      </c>
      <c r="H2153" s="50">
        <v>0.93040509259259263</v>
      </c>
      <c r="I2153" s="51">
        <v>128.249</v>
      </c>
      <c r="J2153" s="51">
        <v>31.751000000000001</v>
      </c>
      <c r="K2153" s="52">
        <v>99.632000000000005</v>
      </c>
      <c r="L2153" s="52"/>
      <c r="M2153" s="52">
        <v>4</v>
      </c>
      <c r="N2153" s="53">
        <v>17.7</v>
      </c>
      <c r="O2153" s="51">
        <v>34.686999999999998</v>
      </c>
      <c r="P2153" s="54">
        <v>0.160152254117647</v>
      </c>
      <c r="Q2153" s="54">
        <v>1.2280845176470585</v>
      </c>
      <c r="R2153" s="47" t="s">
        <v>608</v>
      </c>
      <c r="S2153" s="47"/>
      <c r="T2153" s="71" t="s">
        <v>626</v>
      </c>
    </row>
    <row r="2154" spans="1:20" s="55" customFormat="1">
      <c r="A2154" s="47" t="s">
        <v>591</v>
      </c>
      <c r="B2154" s="47" t="s">
        <v>618</v>
      </c>
      <c r="C2154" s="47" t="s">
        <v>607</v>
      </c>
      <c r="D2154" s="48" t="s">
        <v>597</v>
      </c>
      <c r="E2154" s="47">
        <v>2021</v>
      </c>
      <c r="F2154" s="47">
        <v>3</v>
      </c>
      <c r="G2154" s="49">
        <v>7</v>
      </c>
      <c r="H2154" s="50">
        <v>0.93040509259259263</v>
      </c>
      <c r="I2154" s="51">
        <v>128.249</v>
      </c>
      <c r="J2154" s="51">
        <v>31.751000000000001</v>
      </c>
      <c r="K2154" s="52">
        <v>124.042</v>
      </c>
      <c r="L2154" s="52"/>
      <c r="M2154" s="52">
        <v>3</v>
      </c>
      <c r="N2154" s="53">
        <v>17.11</v>
      </c>
      <c r="O2154" s="51">
        <v>34.680699999999995</v>
      </c>
      <c r="P2154" s="54">
        <v>0.13318040470588199</v>
      </c>
      <c r="Q2154" s="54">
        <v>1.0559887058823527</v>
      </c>
      <c r="R2154" s="47" t="s">
        <v>608</v>
      </c>
      <c r="S2154" s="47"/>
      <c r="T2154" s="71" t="s">
        <v>626</v>
      </c>
    </row>
    <row r="2155" spans="1:20" s="55" customFormat="1">
      <c r="A2155" s="47" t="s">
        <v>591</v>
      </c>
      <c r="B2155" s="47" t="s">
        <v>618</v>
      </c>
      <c r="C2155" s="47" t="s">
        <v>607</v>
      </c>
      <c r="D2155" s="48" t="s">
        <v>597</v>
      </c>
      <c r="E2155" s="47">
        <v>2021</v>
      </c>
      <c r="F2155" s="47">
        <v>3</v>
      </c>
      <c r="G2155" s="49">
        <v>7</v>
      </c>
      <c r="H2155" s="50">
        <v>0.93040509259259263</v>
      </c>
      <c r="I2155" s="51">
        <v>128.249</v>
      </c>
      <c r="J2155" s="51">
        <v>31.751000000000001</v>
      </c>
      <c r="K2155" s="52">
        <v>149.167</v>
      </c>
      <c r="L2155" s="52"/>
      <c r="M2155" s="52">
        <v>2</v>
      </c>
      <c r="N2155" s="53">
        <v>15.31</v>
      </c>
      <c r="O2155" s="51">
        <v>34.629100000000001</v>
      </c>
      <c r="P2155" s="54">
        <v>0.12141788235294104</v>
      </c>
      <c r="Q2155" s="54">
        <v>0.87274475294117693</v>
      </c>
      <c r="R2155" s="47" t="s">
        <v>608</v>
      </c>
      <c r="S2155" s="47"/>
      <c r="T2155" s="71" t="s">
        <v>626</v>
      </c>
    </row>
    <row r="2156" spans="1:20" s="55" customFormat="1">
      <c r="A2156" s="47" t="s">
        <v>591</v>
      </c>
      <c r="B2156" s="47" t="s">
        <v>618</v>
      </c>
      <c r="C2156" s="47" t="s">
        <v>607</v>
      </c>
      <c r="D2156" s="48" t="s">
        <v>597</v>
      </c>
      <c r="E2156" s="47">
        <v>2021</v>
      </c>
      <c r="F2156" s="47">
        <v>3</v>
      </c>
      <c r="G2156" s="49">
        <v>7</v>
      </c>
      <c r="H2156" s="50">
        <v>0.93040509259259263</v>
      </c>
      <c r="I2156" s="51">
        <v>128.249</v>
      </c>
      <c r="J2156" s="51">
        <v>31.751000000000001</v>
      </c>
      <c r="K2156" s="52">
        <v>166.846</v>
      </c>
      <c r="L2156" s="52"/>
      <c r="M2156" s="52">
        <v>1</v>
      </c>
      <c r="N2156" s="53">
        <v>14.94</v>
      </c>
      <c r="O2156" s="51">
        <v>34.606899999999996</v>
      </c>
      <c r="P2156" s="54">
        <v>7.8923360000000109E-2</v>
      </c>
      <c r="Q2156" s="54">
        <v>0.86662079999999975</v>
      </c>
      <c r="R2156" s="47" t="s">
        <v>608</v>
      </c>
      <c r="S2156" s="47"/>
      <c r="T2156" s="71" t="s">
        <v>626</v>
      </c>
    </row>
    <row r="2157" spans="1:20" s="55" customFormat="1">
      <c r="A2157" s="47" t="s">
        <v>591</v>
      </c>
      <c r="B2157" s="47" t="s">
        <v>619</v>
      </c>
      <c r="C2157" s="47" t="s">
        <v>607</v>
      </c>
      <c r="D2157" s="48" t="s">
        <v>598</v>
      </c>
      <c r="E2157" s="47">
        <v>2021</v>
      </c>
      <c r="F2157" s="47">
        <v>3</v>
      </c>
      <c r="G2157" s="49">
        <v>8</v>
      </c>
      <c r="H2157" s="50">
        <v>0.2053935185185185</v>
      </c>
      <c r="I2157" s="51">
        <v>128.74799999999999</v>
      </c>
      <c r="J2157" s="51">
        <v>31.751999999999999</v>
      </c>
      <c r="K2157" s="52">
        <v>0</v>
      </c>
      <c r="L2157" s="52"/>
      <c r="M2157" s="52">
        <v>0</v>
      </c>
      <c r="N2157" s="53">
        <v>18.7</v>
      </c>
      <c r="O2157" s="56">
        <v>34.768328599999997</v>
      </c>
      <c r="P2157" s="54">
        <v>0.16792765098039242</v>
      </c>
      <c r="Q2157" s="54">
        <v>1.2661016470588233</v>
      </c>
      <c r="R2157" s="47" t="s">
        <v>608</v>
      </c>
      <c r="S2157" s="47"/>
      <c r="T2157" s="71" t="s">
        <v>626</v>
      </c>
    </row>
    <row r="2158" spans="1:20" s="55" customFormat="1">
      <c r="A2158" s="47" t="s">
        <v>591</v>
      </c>
      <c r="B2158" s="47" t="s">
        <v>619</v>
      </c>
      <c r="C2158" s="47" t="s">
        <v>607</v>
      </c>
      <c r="D2158" s="48" t="s">
        <v>598</v>
      </c>
      <c r="E2158" s="47">
        <v>2021</v>
      </c>
      <c r="F2158" s="47">
        <v>3</v>
      </c>
      <c r="G2158" s="49">
        <v>8</v>
      </c>
      <c r="H2158" s="50">
        <v>0.2053935185185185</v>
      </c>
      <c r="I2158" s="51">
        <v>128.74799999999999</v>
      </c>
      <c r="J2158" s="51">
        <v>31.751999999999999</v>
      </c>
      <c r="K2158" s="52">
        <v>9.9789999999999992</v>
      </c>
      <c r="L2158" s="52"/>
      <c r="M2158" s="52">
        <v>11</v>
      </c>
      <c r="N2158" s="53">
        <v>18.73</v>
      </c>
      <c r="O2158" s="51">
        <v>34.722699999999996</v>
      </c>
      <c r="P2158" s="54">
        <v>0.15025775529411778</v>
      </c>
      <c r="Q2158" s="54">
        <v>1.328857694117648</v>
      </c>
      <c r="R2158" s="47" t="s">
        <v>608</v>
      </c>
      <c r="S2158" s="47"/>
      <c r="T2158" s="71" t="s">
        <v>626</v>
      </c>
    </row>
    <row r="2159" spans="1:20" s="55" customFormat="1">
      <c r="A2159" s="47" t="s">
        <v>591</v>
      </c>
      <c r="B2159" s="47" t="s">
        <v>619</v>
      </c>
      <c r="C2159" s="47" t="s">
        <v>607</v>
      </c>
      <c r="D2159" s="48" t="s">
        <v>598</v>
      </c>
      <c r="E2159" s="47">
        <v>2021</v>
      </c>
      <c r="F2159" s="47">
        <v>3</v>
      </c>
      <c r="G2159" s="49">
        <v>8</v>
      </c>
      <c r="H2159" s="50">
        <v>0.2053935185185185</v>
      </c>
      <c r="I2159" s="51">
        <v>128.74799999999999</v>
      </c>
      <c r="J2159" s="51">
        <v>31.751999999999999</v>
      </c>
      <c r="K2159" s="52">
        <v>20.053000000000001</v>
      </c>
      <c r="L2159" s="52"/>
      <c r="M2159" s="52">
        <v>10</v>
      </c>
      <c r="N2159" s="53">
        <v>18.73</v>
      </c>
      <c r="O2159" s="51">
        <v>34.722699999999996</v>
      </c>
      <c r="P2159" s="54">
        <v>0.15283683294117667</v>
      </c>
      <c r="Q2159" s="54">
        <v>1.2493273411764729</v>
      </c>
      <c r="R2159" s="47" t="s">
        <v>608</v>
      </c>
      <c r="S2159" s="47"/>
      <c r="T2159" s="71" t="s">
        <v>626</v>
      </c>
    </row>
    <row r="2160" spans="1:20" s="55" customFormat="1">
      <c r="A2160" s="47" t="s">
        <v>591</v>
      </c>
      <c r="B2160" s="47" t="s">
        <v>619</v>
      </c>
      <c r="C2160" s="47" t="s">
        <v>607</v>
      </c>
      <c r="D2160" s="48" t="s">
        <v>598</v>
      </c>
      <c r="E2160" s="47">
        <v>2021</v>
      </c>
      <c r="F2160" s="47">
        <v>3</v>
      </c>
      <c r="G2160" s="49">
        <v>8</v>
      </c>
      <c r="H2160" s="50">
        <v>0.2053935185185185</v>
      </c>
      <c r="I2160" s="51">
        <v>128.74799999999999</v>
      </c>
      <c r="J2160" s="51">
        <v>31.751999999999999</v>
      </c>
      <c r="K2160" s="52">
        <v>29.434999999999999</v>
      </c>
      <c r="L2160" s="52"/>
      <c r="M2160" s="52">
        <v>9</v>
      </c>
      <c r="N2160" s="53">
        <v>18.739999999999998</v>
      </c>
      <c r="O2160" s="51">
        <v>34.723099999999995</v>
      </c>
      <c r="P2160" s="54">
        <v>0.15951351058823526</v>
      </c>
      <c r="Q2160" s="54">
        <v>1.3711233882352953</v>
      </c>
      <c r="R2160" s="47" t="s">
        <v>608</v>
      </c>
      <c r="S2160" s="47"/>
      <c r="T2160" s="71" t="s">
        <v>626</v>
      </c>
    </row>
    <row r="2161" spans="1:20" s="55" customFormat="1">
      <c r="A2161" s="47" t="s">
        <v>591</v>
      </c>
      <c r="B2161" s="47" t="s">
        <v>619</v>
      </c>
      <c r="C2161" s="47" t="s">
        <v>607</v>
      </c>
      <c r="D2161" s="48" t="s">
        <v>598</v>
      </c>
      <c r="E2161" s="47">
        <v>2021</v>
      </c>
      <c r="F2161" s="47">
        <v>3</v>
      </c>
      <c r="G2161" s="49">
        <v>8</v>
      </c>
      <c r="H2161" s="50">
        <v>0.2053935185185185</v>
      </c>
      <c r="I2161" s="51">
        <v>128.74799999999999</v>
      </c>
      <c r="J2161" s="51">
        <v>31.751999999999999</v>
      </c>
      <c r="K2161" s="52">
        <v>49.622</v>
      </c>
      <c r="L2161" s="52"/>
      <c r="M2161" s="52">
        <v>8</v>
      </c>
      <c r="N2161" s="53">
        <v>18.73</v>
      </c>
      <c r="O2161" s="51">
        <v>34.725099999999998</v>
      </c>
      <c r="P2161" s="54">
        <v>0.13935090823529439</v>
      </c>
      <c r="Q2161" s="54">
        <v>1.2099210352941174</v>
      </c>
      <c r="R2161" s="47" t="s">
        <v>608</v>
      </c>
      <c r="S2161" s="47"/>
      <c r="T2161" s="71" t="s">
        <v>626</v>
      </c>
    </row>
    <row r="2162" spans="1:20" s="55" customFormat="1">
      <c r="A2162" s="47" t="s">
        <v>591</v>
      </c>
      <c r="B2162" s="47" t="s">
        <v>619</v>
      </c>
      <c r="C2162" s="47" t="s">
        <v>607</v>
      </c>
      <c r="D2162" s="48" t="s">
        <v>598</v>
      </c>
      <c r="E2162" s="47">
        <v>2021</v>
      </c>
      <c r="F2162" s="47">
        <v>3</v>
      </c>
      <c r="G2162" s="49">
        <v>8</v>
      </c>
      <c r="H2162" s="50">
        <v>0.2053935185185185</v>
      </c>
      <c r="I2162" s="51">
        <v>128.74799999999999</v>
      </c>
      <c r="J2162" s="51">
        <v>31.751999999999999</v>
      </c>
      <c r="K2162" s="52">
        <v>74.623999999999995</v>
      </c>
      <c r="L2162" s="52"/>
      <c r="M2162" s="52">
        <v>7</v>
      </c>
      <c r="N2162" s="53">
        <v>18.53</v>
      </c>
      <c r="O2162" s="51">
        <v>34.720599999999997</v>
      </c>
      <c r="P2162" s="54">
        <v>0.15536296235294156</v>
      </c>
      <c r="Q2162" s="54">
        <v>1.2356751588235291</v>
      </c>
      <c r="R2162" s="47" t="s">
        <v>608</v>
      </c>
      <c r="S2162" s="47"/>
      <c r="T2162" s="71" t="s">
        <v>626</v>
      </c>
    </row>
    <row r="2163" spans="1:20" s="55" customFormat="1">
      <c r="A2163" s="47" t="s">
        <v>591</v>
      </c>
      <c r="B2163" s="47" t="s">
        <v>619</v>
      </c>
      <c r="C2163" s="47" t="s">
        <v>607</v>
      </c>
      <c r="D2163" s="48" t="s">
        <v>598</v>
      </c>
      <c r="E2163" s="47">
        <v>2021</v>
      </c>
      <c r="F2163" s="47">
        <v>3</v>
      </c>
      <c r="G2163" s="49">
        <v>8</v>
      </c>
      <c r="H2163" s="50">
        <v>0.2053935185185185</v>
      </c>
      <c r="I2163" s="51">
        <v>128.74799999999999</v>
      </c>
      <c r="J2163" s="51">
        <v>31.751999999999999</v>
      </c>
      <c r="K2163" s="52">
        <v>98.95</v>
      </c>
      <c r="L2163" s="52"/>
      <c r="M2163" s="52">
        <v>6</v>
      </c>
      <c r="N2163" s="53">
        <v>18.23</v>
      </c>
      <c r="O2163" s="51">
        <v>34.710799999999999</v>
      </c>
      <c r="P2163" s="54">
        <v>0.12156881882352977</v>
      </c>
      <c r="Q2163" s="54">
        <v>1.1312621705882346</v>
      </c>
      <c r="R2163" s="47" t="s">
        <v>608</v>
      </c>
      <c r="S2163" s="47"/>
      <c r="T2163" s="71" t="s">
        <v>626</v>
      </c>
    </row>
    <row r="2164" spans="1:20" s="55" customFormat="1">
      <c r="A2164" s="47" t="s">
        <v>591</v>
      </c>
      <c r="B2164" s="47" t="s">
        <v>619</v>
      </c>
      <c r="C2164" s="47" t="s">
        <v>607</v>
      </c>
      <c r="D2164" s="48" t="s">
        <v>598</v>
      </c>
      <c r="E2164" s="47">
        <v>2021</v>
      </c>
      <c r="F2164" s="47">
        <v>3</v>
      </c>
      <c r="G2164" s="49">
        <v>8</v>
      </c>
      <c r="H2164" s="50">
        <v>0.2053935185185185</v>
      </c>
      <c r="I2164" s="51">
        <v>128.74799999999999</v>
      </c>
      <c r="J2164" s="51">
        <v>31.751999999999999</v>
      </c>
      <c r="K2164" s="52">
        <v>123.73399999999999</v>
      </c>
      <c r="L2164" s="52"/>
      <c r="M2164" s="52">
        <v>5</v>
      </c>
      <c r="N2164" s="53">
        <v>17.54</v>
      </c>
      <c r="O2164" s="51">
        <v>34.6877</v>
      </c>
      <c r="P2164" s="54">
        <v>0.12892741529411778</v>
      </c>
      <c r="Q2164" s="54">
        <v>1.0740571823529432</v>
      </c>
      <c r="R2164" s="47" t="s">
        <v>608</v>
      </c>
      <c r="S2164" s="47"/>
      <c r="T2164" s="71" t="s">
        <v>626</v>
      </c>
    </row>
    <row r="2165" spans="1:20" s="55" customFormat="1">
      <c r="A2165" s="47" t="s">
        <v>591</v>
      </c>
      <c r="B2165" s="47" t="s">
        <v>619</v>
      </c>
      <c r="C2165" s="47" t="s">
        <v>607</v>
      </c>
      <c r="D2165" s="48" t="s">
        <v>598</v>
      </c>
      <c r="E2165" s="47">
        <v>2021</v>
      </c>
      <c r="F2165" s="47">
        <v>3</v>
      </c>
      <c r="G2165" s="49">
        <v>8</v>
      </c>
      <c r="H2165" s="50">
        <v>0.2053935185185185</v>
      </c>
      <c r="I2165" s="51">
        <v>128.74799999999999</v>
      </c>
      <c r="J2165" s="51">
        <v>31.751999999999999</v>
      </c>
      <c r="K2165" s="52">
        <v>149.667</v>
      </c>
      <c r="L2165" s="52"/>
      <c r="M2165" s="52">
        <v>4</v>
      </c>
      <c r="N2165" s="53">
        <v>16.71</v>
      </c>
      <c r="O2165" s="51">
        <v>34.683099999999996</v>
      </c>
      <c r="P2165" s="54">
        <v>0.1215447317647067</v>
      </c>
      <c r="Q2165" s="54">
        <v>0.91043749411764807</v>
      </c>
      <c r="R2165" s="47" t="s">
        <v>608</v>
      </c>
      <c r="S2165" s="47"/>
      <c r="T2165" s="71" t="s">
        <v>626</v>
      </c>
    </row>
    <row r="2166" spans="1:20" s="55" customFormat="1">
      <c r="A2166" s="47" t="s">
        <v>591</v>
      </c>
      <c r="B2166" s="47" t="s">
        <v>619</v>
      </c>
      <c r="C2166" s="47" t="s">
        <v>607</v>
      </c>
      <c r="D2166" s="48" t="s">
        <v>598</v>
      </c>
      <c r="E2166" s="47">
        <v>2021</v>
      </c>
      <c r="F2166" s="47">
        <v>3</v>
      </c>
      <c r="G2166" s="49">
        <v>8</v>
      </c>
      <c r="H2166" s="50">
        <v>0.2053935185185185</v>
      </c>
      <c r="I2166" s="51">
        <v>128.74799999999999</v>
      </c>
      <c r="J2166" s="51">
        <v>31.751999999999999</v>
      </c>
      <c r="K2166" s="52">
        <v>199.37799999999999</v>
      </c>
      <c r="L2166" s="52"/>
      <c r="M2166" s="52">
        <v>3</v>
      </c>
      <c r="N2166" s="53">
        <v>15.49</v>
      </c>
      <c r="O2166" s="51">
        <v>34.619299999999996</v>
      </c>
      <c r="P2166" s="54">
        <v>0.11375256823529467</v>
      </c>
      <c r="Q2166" s="54">
        <v>0.91794680588235344</v>
      </c>
      <c r="R2166" s="47" t="s">
        <v>608</v>
      </c>
      <c r="S2166" s="47"/>
      <c r="T2166" s="71" t="s">
        <v>626</v>
      </c>
    </row>
    <row r="2167" spans="1:20" s="55" customFormat="1">
      <c r="A2167" s="47" t="s">
        <v>591</v>
      </c>
      <c r="B2167" s="47" t="s">
        <v>619</v>
      </c>
      <c r="C2167" s="47" t="s">
        <v>607</v>
      </c>
      <c r="D2167" s="48" t="s">
        <v>598</v>
      </c>
      <c r="E2167" s="47">
        <v>2021</v>
      </c>
      <c r="F2167" s="47">
        <v>3</v>
      </c>
      <c r="G2167" s="49">
        <v>8</v>
      </c>
      <c r="H2167" s="50">
        <v>0.2053935185185185</v>
      </c>
      <c r="I2167" s="51">
        <v>128.74799999999999</v>
      </c>
      <c r="J2167" s="51">
        <v>31.751999999999999</v>
      </c>
      <c r="K2167" s="52">
        <v>297.83600000000001</v>
      </c>
      <c r="L2167" s="52"/>
      <c r="M2167" s="52">
        <v>2</v>
      </c>
      <c r="N2167" s="53">
        <v>11.85</v>
      </c>
      <c r="O2167" s="51">
        <v>34.409499999999994</v>
      </c>
      <c r="P2167" s="54">
        <v>-6.110743529411744E-2</v>
      </c>
      <c r="Q2167" s="54">
        <v>-1.2212782352941431E-2</v>
      </c>
      <c r="R2167" s="47" t="s">
        <v>608</v>
      </c>
      <c r="S2167" s="47"/>
      <c r="T2167" s="71" t="s">
        <v>626</v>
      </c>
    </row>
    <row r="2168" spans="1:20" s="55" customFormat="1">
      <c r="A2168" s="47" t="s">
        <v>591</v>
      </c>
      <c r="B2168" s="47" t="s">
        <v>619</v>
      </c>
      <c r="C2168" s="47" t="s">
        <v>607</v>
      </c>
      <c r="D2168" s="48" t="s">
        <v>598</v>
      </c>
      <c r="E2168" s="47">
        <v>2021</v>
      </c>
      <c r="F2168" s="47">
        <v>3</v>
      </c>
      <c r="G2168" s="49">
        <v>8</v>
      </c>
      <c r="H2168" s="50">
        <v>0.2053935185185185</v>
      </c>
      <c r="I2168" s="51">
        <v>128.74799999999999</v>
      </c>
      <c r="J2168" s="51">
        <v>31.751999999999999</v>
      </c>
      <c r="K2168" s="52">
        <v>497.755</v>
      </c>
      <c r="L2168" s="52"/>
      <c r="M2168" s="52">
        <v>1</v>
      </c>
      <c r="N2168" s="53">
        <v>7.87</v>
      </c>
      <c r="O2168" s="51">
        <v>34.342399999999998</v>
      </c>
      <c r="P2168" s="54">
        <v>-0.15202403882352877</v>
      </c>
      <c r="Q2168" s="54">
        <v>-1.1319911705882326</v>
      </c>
      <c r="R2168" s="47" t="s">
        <v>608</v>
      </c>
      <c r="S2168" s="47"/>
      <c r="T2168" s="71" t="s">
        <v>626</v>
      </c>
    </row>
    <row r="2169" spans="1:20" s="55" customFormat="1">
      <c r="A2169" s="47" t="s">
        <v>620</v>
      </c>
      <c r="B2169" s="47">
        <v>48</v>
      </c>
      <c r="C2169" s="47" t="s">
        <v>607</v>
      </c>
      <c r="D2169" s="48" t="s">
        <v>599</v>
      </c>
      <c r="E2169" s="47">
        <v>2021</v>
      </c>
      <c r="F2169" s="47">
        <v>4</v>
      </c>
      <c r="G2169" s="49">
        <v>26</v>
      </c>
      <c r="H2169" s="50">
        <v>0.1240162037037037</v>
      </c>
      <c r="I2169" s="51">
        <v>126.25</v>
      </c>
      <c r="J2169" s="51">
        <v>27.751999999999999</v>
      </c>
      <c r="K2169" s="52">
        <v>9</v>
      </c>
      <c r="L2169" s="52"/>
      <c r="M2169" s="52">
        <v>1</v>
      </c>
      <c r="N2169" s="53">
        <v>24.7</v>
      </c>
      <c r="O2169" s="51">
        <v>34.366999999999997</v>
      </c>
      <c r="P2169" s="54">
        <v>5.6148367058823645E-2</v>
      </c>
      <c r="Q2169" s="54">
        <v>0.74368217647059076</v>
      </c>
      <c r="R2169" s="47" t="s">
        <v>608</v>
      </c>
      <c r="S2169" s="47"/>
      <c r="T2169" s="71" t="s">
        <v>626</v>
      </c>
    </row>
    <row r="2170" spans="1:20" s="55" customFormat="1">
      <c r="A2170" s="47" t="s">
        <v>620</v>
      </c>
      <c r="B2170" s="47">
        <v>50</v>
      </c>
      <c r="C2170" s="47" t="s">
        <v>607</v>
      </c>
      <c r="D2170" s="48" t="s">
        <v>600</v>
      </c>
      <c r="E2170" s="47">
        <v>2021</v>
      </c>
      <c r="F2170" s="47">
        <v>4</v>
      </c>
      <c r="G2170" s="49">
        <v>27</v>
      </c>
      <c r="H2170" s="50">
        <v>0.26581018518518518</v>
      </c>
      <c r="I2170" s="51">
        <v>125.254</v>
      </c>
      <c r="J2170" s="51">
        <v>26.753</v>
      </c>
      <c r="K2170" s="52">
        <v>9</v>
      </c>
      <c r="L2170" s="52"/>
      <c r="M2170" s="52">
        <v>1</v>
      </c>
      <c r="N2170" s="53">
        <v>25.32</v>
      </c>
      <c r="O2170" s="51">
        <v>34.369</v>
      </c>
      <c r="P2170" s="54">
        <v>0.12242089852941174</v>
      </c>
      <c r="Q2170" s="54">
        <v>1.022244088235297</v>
      </c>
      <c r="R2170" s="47" t="s">
        <v>608</v>
      </c>
      <c r="S2170" s="47"/>
      <c r="T2170" s="71" t="s">
        <v>626</v>
      </c>
    </row>
    <row r="2171" spans="1:20" s="55" customFormat="1">
      <c r="A2171" s="47" t="s">
        <v>620</v>
      </c>
      <c r="B2171" s="47">
        <v>51</v>
      </c>
      <c r="C2171" s="47" t="s">
        <v>607</v>
      </c>
      <c r="D2171" s="48" t="s">
        <v>600</v>
      </c>
      <c r="E2171" s="47">
        <v>2021</v>
      </c>
      <c r="F2171" s="47">
        <v>4</v>
      </c>
      <c r="G2171" s="49">
        <v>27</v>
      </c>
      <c r="H2171" s="50">
        <v>0.42701388888888886</v>
      </c>
      <c r="I2171" s="51">
        <v>124.752</v>
      </c>
      <c r="J2171" s="51">
        <v>26.747</v>
      </c>
      <c r="K2171" s="52">
        <v>10</v>
      </c>
      <c r="L2171" s="52"/>
      <c r="M2171" s="52">
        <v>1</v>
      </c>
      <c r="N2171" s="53">
        <v>23.58</v>
      </c>
      <c r="O2171" s="51">
        <v>34.295000000000002</v>
      </c>
      <c r="P2171" s="54">
        <v>0.10408462500000049</v>
      </c>
      <c r="Q2171" s="54">
        <v>0.81495700000000149</v>
      </c>
      <c r="R2171" s="47" t="s">
        <v>608</v>
      </c>
      <c r="S2171" s="47"/>
      <c r="T2171" s="71" t="s">
        <v>626</v>
      </c>
    </row>
    <row r="2172" spans="1:20" s="55" customFormat="1">
      <c r="A2172" s="47" t="s">
        <v>620</v>
      </c>
      <c r="B2172" s="47">
        <v>52</v>
      </c>
      <c r="C2172" s="47" t="s">
        <v>607</v>
      </c>
      <c r="D2172" s="48" t="s">
        <v>600</v>
      </c>
      <c r="E2172" s="47">
        <v>2021</v>
      </c>
      <c r="F2172" s="47">
        <v>4</v>
      </c>
      <c r="G2172" s="49">
        <v>27</v>
      </c>
      <c r="H2172" s="50">
        <v>0.57770833333333338</v>
      </c>
      <c r="I2172" s="51">
        <v>124.251</v>
      </c>
      <c r="J2172" s="51">
        <v>26.75</v>
      </c>
      <c r="K2172" s="52">
        <v>10</v>
      </c>
      <c r="L2172" s="52"/>
      <c r="M2172" s="52">
        <v>1</v>
      </c>
      <c r="N2172" s="53">
        <v>23.08</v>
      </c>
      <c r="O2172" s="51">
        <v>34.25</v>
      </c>
      <c r="P2172" s="54">
        <v>7.3515136470588605E-2</v>
      </c>
      <c r="Q2172" s="54">
        <v>0.69382451176470639</v>
      </c>
      <c r="R2172" s="47" t="s">
        <v>608</v>
      </c>
      <c r="S2172" s="47"/>
      <c r="T2172" s="71" t="s">
        <v>626</v>
      </c>
    </row>
    <row r="2173" spans="1:20" s="55" customFormat="1">
      <c r="A2173" s="47" t="s">
        <v>620</v>
      </c>
      <c r="B2173" s="47">
        <v>53</v>
      </c>
      <c r="C2173" s="47" t="s">
        <v>607</v>
      </c>
      <c r="D2173" s="48" t="s">
        <v>600</v>
      </c>
      <c r="E2173" s="47">
        <v>2021</v>
      </c>
      <c r="F2173" s="47">
        <v>4</v>
      </c>
      <c r="G2173" s="49">
        <v>27</v>
      </c>
      <c r="H2173" s="50">
        <v>0.71848379629629633</v>
      </c>
      <c r="I2173" s="51">
        <v>123.75</v>
      </c>
      <c r="J2173" s="51">
        <v>26.751000000000001</v>
      </c>
      <c r="K2173" s="52">
        <v>10</v>
      </c>
      <c r="L2173" s="52"/>
      <c r="M2173" s="52">
        <v>1</v>
      </c>
      <c r="N2173" s="53">
        <v>25.01</v>
      </c>
      <c r="O2173" s="51">
        <v>34.29</v>
      </c>
      <c r="P2173" s="54">
        <v>6.1628172941176729E-2</v>
      </c>
      <c r="Q2173" s="54">
        <v>0.57701942352941415</v>
      </c>
      <c r="R2173" s="47" t="s">
        <v>608</v>
      </c>
      <c r="S2173" s="47"/>
      <c r="T2173" s="71" t="s">
        <v>626</v>
      </c>
    </row>
    <row r="2174" spans="1:20" s="55" customFormat="1">
      <c r="A2174" s="47" t="s">
        <v>620</v>
      </c>
      <c r="B2174" s="47">
        <v>54</v>
      </c>
      <c r="C2174" s="47" t="s">
        <v>607</v>
      </c>
      <c r="D2174" s="48" t="s">
        <v>600</v>
      </c>
      <c r="E2174" s="47">
        <v>2021</v>
      </c>
      <c r="F2174" s="47">
        <v>4</v>
      </c>
      <c r="G2174" s="49">
        <v>27</v>
      </c>
      <c r="H2174" s="50">
        <v>0.875</v>
      </c>
      <c r="I2174" s="51">
        <v>123.255</v>
      </c>
      <c r="J2174" s="51">
        <v>26.748000000000001</v>
      </c>
      <c r="K2174" s="52">
        <v>9</v>
      </c>
      <c r="L2174" s="52"/>
      <c r="M2174" s="52">
        <v>1</v>
      </c>
      <c r="N2174" s="53">
        <v>25.28</v>
      </c>
      <c r="O2174" s="51">
        <v>34.326999999999998</v>
      </c>
      <c r="P2174" s="54">
        <v>7.5743189411765055E-2</v>
      </c>
      <c r="Q2174" s="54">
        <v>0.55895773529411663</v>
      </c>
      <c r="R2174" s="47" t="s">
        <v>608</v>
      </c>
      <c r="S2174" s="47"/>
      <c r="T2174" s="71" t="s">
        <v>626</v>
      </c>
    </row>
    <row r="2175" spans="1:20" s="55" customFormat="1">
      <c r="A2175" s="47" t="s">
        <v>620</v>
      </c>
      <c r="B2175" s="47">
        <v>55</v>
      </c>
      <c r="C2175" s="47" t="s">
        <v>607</v>
      </c>
      <c r="D2175" s="48" t="s">
        <v>601</v>
      </c>
      <c r="E2175" s="47">
        <v>2021</v>
      </c>
      <c r="F2175" s="47">
        <v>4</v>
      </c>
      <c r="G2175" s="49">
        <v>28</v>
      </c>
      <c r="H2175" s="50">
        <v>6.9328703703703712E-2</v>
      </c>
      <c r="I2175" s="51">
        <v>123.252</v>
      </c>
      <c r="J2175" s="51">
        <v>27.251999999999999</v>
      </c>
      <c r="K2175" s="52">
        <v>10</v>
      </c>
      <c r="L2175" s="52"/>
      <c r="M2175" s="52">
        <v>1</v>
      </c>
      <c r="N2175" s="53">
        <v>24.27</v>
      </c>
      <c r="O2175" s="51">
        <v>34.276000000000003</v>
      </c>
      <c r="P2175" s="54">
        <v>4.5020145882353368E-2</v>
      </c>
      <c r="Q2175" s="54">
        <v>0.54601024705882573</v>
      </c>
      <c r="R2175" s="47" t="s">
        <v>608</v>
      </c>
      <c r="S2175" s="47"/>
      <c r="T2175" s="71" t="s">
        <v>626</v>
      </c>
    </row>
    <row r="2176" spans="1:20" s="55" customFormat="1">
      <c r="A2176" s="47" t="s">
        <v>620</v>
      </c>
      <c r="B2176" s="47">
        <v>56</v>
      </c>
      <c r="C2176" s="47" t="s">
        <v>607</v>
      </c>
      <c r="D2176" s="48" t="s">
        <v>601</v>
      </c>
      <c r="E2176" s="47">
        <v>2021</v>
      </c>
      <c r="F2176" s="47">
        <v>4</v>
      </c>
      <c r="G2176" s="49">
        <v>28</v>
      </c>
      <c r="H2176" s="50">
        <v>0.21380787037037038</v>
      </c>
      <c r="I2176" s="51">
        <v>123.749</v>
      </c>
      <c r="J2176" s="51">
        <v>27.253</v>
      </c>
      <c r="K2176" s="52">
        <v>10</v>
      </c>
      <c r="L2176" s="52"/>
      <c r="M2176" s="52">
        <v>1</v>
      </c>
      <c r="N2176" s="53">
        <v>24.31</v>
      </c>
      <c r="O2176" s="51">
        <v>34.298000000000002</v>
      </c>
      <c r="P2176" s="54">
        <v>4.5827062352941095E-2</v>
      </c>
      <c r="Q2176" s="54">
        <v>0.49273925882352998</v>
      </c>
      <c r="R2176" s="47" t="s">
        <v>608</v>
      </c>
      <c r="S2176" s="47"/>
      <c r="T2176" s="71" t="s">
        <v>626</v>
      </c>
    </row>
    <row r="2177" spans="1:20" s="55" customFormat="1">
      <c r="A2177" s="47" t="s">
        <v>620</v>
      </c>
      <c r="B2177" s="47">
        <v>57</v>
      </c>
      <c r="C2177" s="47" t="s">
        <v>607</v>
      </c>
      <c r="D2177" s="48" t="s">
        <v>601</v>
      </c>
      <c r="E2177" s="47">
        <v>2021</v>
      </c>
      <c r="F2177" s="47">
        <v>4</v>
      </c>
      <c r="G2177" s="49">
        <v>28</v>
      </c>
      <c r="H2177" s="50">
        <v>0.35766203703703708</v>
      </c>
      <c r="I2177" s="51">
        <v>124.255</v>
      </c>
      <c r="J2177" s="51">
        <v>27.25</v>
      </c>
      <c r="K2177" s="52">
        <v>9</v>
      </c>
      <c r="L2177" s="52"/>
      <c r="M2177" s="52">
        <v>1</v>
      </c>
      <c r="N2177" s="53">
        <v>20.12</v>
      </c>
      <c r="O2177" s="51">
        <v>33.841000000000001</v>
      </c>
      <c r="P2177" s="54">
        <v>-0.14269073529411758</v>
      </c>
      <c r="Q2177" s="54">
        <v>-0.61434968235294107</v>
      </c>
      <c r="R2177" s="47" t="s">
        <v>608</v>
      </c>
      <c r="S2177" s="47"/>
      <c r="T2177" s="71" t="s">
        <v>626</v>
      </c>
    </row>
    <row r="2178" spans="1:20" s="55" customFormat="1">
      <c r="A2178" s="47" t="s">
        <v>620</v>
      </c>
      <c r="B2178" s="47">
        <v>58</v>
      </c>
      <c r="C2178" s="47" t="s">
        <v>607</v>
      </c>
      <c r="D2178" s="48" t="s">
        <v>599</v>
      </c>
      <c r="E2178" s="47">
        <v>2021</v>
      </c>
      <c r="F2178" s="47">
        <v>4</v>
      </c>
      <c r="G2178" s="49">
        <v>26</v>
      </c>
      <c r="H2178" s="50">
        <v>0.73546296296296287</v>
      </c>
      <c r="I2178" s="51">
        <v>124.742</v>
      </c>
      <c r="J2178" s="51">
        <v>27.251999999999999</v>
      </c>
      <c r="K2178" s="52">
        <v>10</v>
      </c>
      <c r="L2178" s="52"/>
      <c r="M2178" s="52">
        <v>1</v>
      </c>
      <c r="N2178" s="53">
        <v>21.04</v>
      </c>
      <c r="O2178" s="51">
        <v>33.963000000000001</v>
      </c>
      <c r="P2178" s="54">
        <v>-1.6390242352941176E-2</v>
      </c>
      <c r="Q2178" s="54">
        <v>0.1638649411764721</v>
      </c>
      <c r="R2178" s="47" t="s">
        <v>608</v>
      </c>
      <c r="S2178" s="47"/>
      <c r="T2178" s="71" t="s">
        <v>626</v>
      </c>
    </row>
    <row r="2179" spans="1:20" s="55" customFormat="1">
      <c r="A2179" s="47" t="s">
        <v>620</v>
      </c>
      <c r="B2179" s="47">
        <v>59</v>
      </c>
      <c r="C2179" s="47" t="s">
        <v>607</v>
      </c>
      <c r="D2179" s="48" t="s">
        <v>599</v>
      </c>
      <c r="E2179" s="47">
        <v>2021</v>
      </c>
      <c r="F2179" s="47">
        <v>4</v>
      </c>
      <c r="G2179" s="49">
        <v>26</v>
      </c>
      <c r="H2179" s="50">
        <v>0.89380787037037035</v>
      </c>
      <c r="I2179" s="51">
        <v>125.252</v>
      </c>
      <c r="J2179" s="51">
        <v>27.248999999999999</v>
      </c>
      <c r="K2179" s="52">
        <v>10</v>
      </c>
      <c r="L2179" s="52"/>
      <c r="M2179" s="52">
        <v>1</v>
      </c>
      <c r="N2179" s="53">
        <v>24.19</v>
      </c>
      <c r="O2179" s="51">
        <v>34.387</v>
      </c>
      <c r="P2179" s="54">
        <v>4.9833684873949569E-2</v>
      </c>
      <c r="Q2179" s="54">
        <v>0.61519226470588606</v>
      </c>
      <c r="R2179" s="47" t="s">
        <v>608</v>
      </c>
      <c r="S2179" s="47"/>
      <c r="T2179" s="71" t="s">
        <v>626</v>
      </c>
    </row>
    <row r="2180" spans="1:20" s="55" customFormat="1">
      <c r="A2180" s="47" t="s">
        <v>620</v>
      </c>
      <c r="B2180" s="47">
        <v>60</v>
      </c>
      <c r="C2180" s="47" t="s">
        <v>607</v>
      </c>
      <c r="D2180" s="48" t="s">
        <v>600</v>
      </c>
      <c r="E2180" s="47">
        <v>2021</v>
      </c>
      <c r="F2180" s="47">
        <v>4</v>
      </c>
      <c r="G2180" s="49">
        <v>27</v>
      </c>
      <c r="H2180" s="50">
        <v>4.9699074074074069E-2</v>
      </c>
      <c r="I2180" s="51">
        <v>125.75</v>
      </c>
      <c r="J2180" s="51">
        <v>27.248999999999999</v>
      </c>
      <c r="K2180" s="52">
        <v>9</v>
      </c>
      <c r="L2180" s="52"/>
      <c r="M2180" s="52">
        <v>1</v>
      </c>
      <c r="N2180" s="53">
        <v>24.16</v>
      </c>
      <c r="O2180" s="51">
        <v>34.345999999999997</v>
      </c>
      <c r="P2180" s="54">
        <v>8.1017823529411892E-2</v>
      </c>
      <c r="Q2180" s="54">
        <v>0.69214328823529492</v>
      </c>
      <c r="R2180" s="47" t="s">
        <v>608</v>
      </c>
      <c r="S2180" s="47"/>
      <c r="T2180" s="71" t="s">
        <v>626</v>
      </c>
    </row>
    <row r="2181" spans="1:20" s="55" customFormat="1">
      <c r="A2181" s="47" t="s">
        <v>620</v>
      </c>
      <c r="B2181" s="47">
        <v>61</v>
      </c>
      <c r="C2181" s="47" t="s">
        <v>607</v>
      </c>
      <c r="D2181" s="48" t="s">
        <v>599</v>
      </c>
      <c r="E2181" s="47">
        <v>2021</v>
      </c>
      <c r="F2181" s="47">
        <v>4</v>
      </c>
      <c r="G2181" s="49">
        <v>26</v>
      </c>
      <c r="H2181" s="50">
        <v>0.29296296296296298</v>
      </c>
      <c r="I2181" s="51">
        <v>125.753</v>
      </c>
      <c r="J2181" s="51">
        <v>27.751000000000001</v>
      </c>
      <c r="K2181" s="52">
        <v>10</v>
      </c>
      <c r="L2181" s="52"/>
      <c r="M2181" s="52">
        <v>1</v>
      </c>
      <c r="N2181" s="53">
        <v>23.05</v>
      </c>
      <c r="O2181" s="51">
        <v>34.314999999999998</v>
      </c>
      <c r="P2181" s="54">
        <v>4.8849556470588418E-2</v>
      </c>
      <c r="Q2181" s="54">
        <v>0.59445281176470566</v>
      </c>
      <c r="R2181" s="47" t="s">
        <v>608</v>
      </c>
      <c r="S2181" s="47"/>
      <c r="T2181" s="71" t="s">
        <v>626</v>
      </c>
    </row>
    <row r="2182" spans="1:20" s="55" customFormat="1">
      <c r="A2182" s="47" t="s">
        <v>620</v>
      </c>
      <c r="B2182" s="47">
        <v>62</v>
      </c>
      <c r="C2182" s="47" t="s">
        <v>607</v>
      </c>
      <c r="D2182" s="48" t="s">
        <v>599</v>
      </c>
      <c r="E2182" s="47">
        <v>2021</v>
      </c>
      <c r="F2182" s="47">
        <v>4</v>
      </c>
      <c r="G2182" s="49">
        <v>26</v>
      </c>
      <c r="H2182" s="50">
        <v>0.4409953703703704</v>
      </c>
      <c r="I2182" s="51">
        <v>125.25</v>
      </c>
      <c r="J2182" s="51">
        <v>27.748000000000001</v>
      </c>
      <c r="K2182" s="52">
        <v>10</v>
      </c>
      <c r="L2182" s="52"/>
      <c r="M2182" s="52">
        <v>1</v>
      </c>
      <c r="N2182" s="53">
        <v>22.18</v>
      </c>
      <c r="O2182" s="51">
        <v>34.459000000000003</v>
      </c>
      <c r="P2182" s="54">
        <v>0.11659440941176502</v>
      </c>
      <c r="Q2182" s="54">
        <v>0.94661523529411795</v>
      </c>
      <c r="R2182" s="47" t="s">
        <v>608</v>
      </c>
      <c r="S2182" s="47"/>
      <c r="T2182" s="71" t="s">
        <v>626</v>
      </c>
    </row>
    <row r="2183" spans="1:20" s="55" customFormat="1">
      <c r="A2183" s="47" t="s">
        <v>620</v>
      </c>
      <c r="B2183" s="47">
        <v>63</v>
      </c>
      <c r="C2183" s="47" t="s">
        <v>607</v>
      </c>
      <c r="D2183" s="48" t="s">
        <v>599</v>
      </c>
      <c r="E2183" s="47">
        <v>2021</v>
      </c>
      <c r="F2183" s="47">
        <v>4</v>
      </c>
      <c r="G2183" s="49">
        <v>26</v>
      </c>
      <c r="H2183" s="50">
        <v>0.57516203703703705</v>
      </c>
      <c r="I2183" s="51">
        <v>124.746</v>
      </c>
      <c r="J2183" s="51">
        <v>27.751999999999999</v>
      </c>
      <c r="K2183" s="52">
        <v>10</v>
      </c>
      <c r="L2183" s="52"/>
      <c r="M2183" s="52">
        <v>1</v>
      </c>
      <c r="N2183" s="53">
        <v>20.93</v>
      </c>
      <c r="O2183" s="51">
        <v>34.250999999999998</v>
      </c>
      <c r="P2183" s="54">
        <v>8.1969262352941108E-2</v>
      </c>
      <c r="Q2183" s="54">
        <v>0.61032765882353068</v>
      </c>
      <c r="R2183" s="47" t="s">
        <v>608</v>
      </c>
      <c r="S2183" s="47"/>
      <c r="T2183" s="71" t="s">
        <v>626</v>
      </c>
    </row>
    <row r="2184" spans="1:20" s="55" customFormat="1">
      <c r="A2184" s="47" t="s">
        <v>620</v>
      </c>
      <c r="B2184" s="47">
        <v>65</v>
      </c>
      <c r="C2184" s="47" t="s">
        <v>607</v>
      </c>
      <c r="D2184" s="48" t="s">
        <v>601</v>
      </c>
      <c r="E2184" s="47">
        <v>2021</v>
      </c>
      <c r="F2184" s="47">
        <v>4</v>
      </c>
      <c r="G2184" s="49">
        <v>28</v>
      </c>
      <c r="H2184" s="50">
        <v>0.79219907407407408</v>
      </c>
      <c r="I2184" s="51">
        <v>125.251</v>
      </c>
      <c r="J2184" s="51">
        <v>28.25</v>
      </c>
      <c r="K2184" s="52">
        <v>9</v>
      </c>
      <c r="L2184" s="52"/>
      <c r="M2184" s="52">
        <v>1</v>
      </c>
      <c r="N2184" s="53">
        <v>17.75</v>
      </c>
      <c r="O2184" s="51">
        <v>32.332000000000001</v>
      </c>
      <c r="P2184" s="54">
        <v>-0.52249853647058808</v>
      </c>
      <c r="Q2184" s="54">
        <v>-2.8894636117647075</v>
      </c>
      <c r="R2184" s="47" t="s">
        <v>608</v>
      </c>
      <c r="S2184" s="47"/>
      <c r="T2184" s="71" t="s">
        <v>626</v>
      </c>
    </row>
    <row r="2185" spans="1:20" s="55" customFormat="1">
      <c r="A2185" s="47" t="s">
        <v>620</v>
      </c>
      <c r="B2185" s="47">
        <v>67</v>
      </c>
      <c r="C2185" s="47" t="s">
        <v>607</v>
      </c>
      <c r="D2185" s="48" t="s">
        <v>601</v>
      </c>
      <c r="E2185" s="47">
        <v>2021</v>
      </c>
      <c r="F2185" s="47">
        <v>4</v>
      </c>
      <c r="G2185" s="49">
        <v>28</v>
      </c>
      <c r="H2185" s="50">
        <v>0.97016203703703707</v>
      </c>
      <c r="I2185" s="51">
        <v>125.753</v>
      </c>
      <c r="J2185" s="51">
        <v>28.748999999999999</v>
      </c>
      <c r="K2185" s="52">
        <v>10</v>
      </c>
      <c r="L2185" s="52"/>
      <c r="M2185" s="52">
        <v>1</v>
      </c>
      <c r="N2185" s="53">
        <v>19.54</v>
      </c>
      <c r="O2185" s="51">
        <v>33.274000000000001</v>
      </c>
      <c r="P2185" s="54">
        <v>-0.24687653176470636</v>
      </c>
      <c r="Q2185" s="54">
        <v>-1.2125696941176489</v>
      </c>
      <c r="R2185" s="47" t="s">
        <v>608</v>
      </c>
      <c r="S2185" s="47"/>
      <c r="T2185" s="71" t="s">
        <v>626</v>
      </c>
    </row>
    <row r="2186" spans="1:20" s="55" customFormat="1">
      <c r="A2186" s="47" t="s">
        <v>620</v>
      </c>
      <c r="B2186" s="47">
        <v>69</v>
      </c>
      <c r="C2186" s="47" t="s">
        <v>607</v>
      </c>
      <c r="D2186" s="48" t="s">
        <v>602</v>
      </c>
      <c r="E2186" s="47">
        <v>2021</v>
      </c>
      <c r="F2186" s="47">
        <v>4</v>
      </c>
      <c r="G2186" s="49">
        <v>29</v>
      </c>
      <c r="H2186" s="50">
        <v>0.17549768518518519</v>
      </c>
      <c r="I2186" s="51">
        <v>126.25</v>
      </c>
      <c r="J2186" s="51">
        <v>29.25</v>
      </c>
      <c r="K2186" s="52">
        <v>10</v>
      </c>
      <c r="L2186" s="52"/>
      <c r="M2186" s="52">
        <v>1</v>
      </c>
      <c r="N2186" s="53">
        <v>19.82</v>
      </c>
      <c r="O2186" s="51">
        <v>33.613999999999997</v>
      </c>
      <c r="P2186" s="54">
        <v>-0.13836212705882378</v>
      </c>
      <c r="Q2186" s="54">
        <v>-0.58925517647059067</v>
      </c>
      <c r="R2186" s="47" t="s">
        <v>608</v>
      </c>
      <c r="S2186" s="47"/>
      <c r="T2186" s="71" t="s">
        <v>626</v>
      </c>
    </row>
    <row r="2187" spans="1:20" s="55" customFormat="1">
      <c r="A2187" s="47" t="s">
        <v>620</v>
      </c>
      <c r="B2187" s="47">
        <v>71</v>
      </c>
      <c r="C2187" s="47" t="s">
        <v>607</v>
      </c>
      <c r="D2187" s="48" t="s">
        <v>602</v>
      </c>
      <c r="E2187" s="47">
        <v>2021</v>
      </c>
      <c r="F2187" s="47">
        <v>4</v>
      </c>
      <c r="G2187" s="49">
        <v>29</v>
      </c>
      <c r="H2187" s="50">
        <v>0.47039351851851857</v>
      </c>
      <c r="I2187" s="51">
        <v>126.254</v>
      </c>
      <c r="J2187" s="51">
        <v>30.25</v>
      </c>
      <c r="K2187" s="52">
        <v>10</v>
      </c>
      <c r="L2187" s="52"/>
      <c r="M2187" s="52">
        <v>1</v>
      </c>
      <c r="N2187" s="53">
        <v>19.100000000000001</v>
      </c>
      <c r="O2187" s="51">
        <v>34.340000000000003</v>
      </c>
      <c r="P2187" s="54">
        <v>2.8178597647058545E-2</v>
      </c>
      <c r="Q2187" s="54">
        <v>0.71862054117647034</v>
      </c>
      <c r="R2187" s="47" t="s">
        <v>608</v>
      </c>
      <c r="S2187" s="47"/>
      <c r="T2187" s="71" t="s">
        <v>626</v>
      </c>
    </row>
    <row r="2188" spans="1:20" s="55" customFormat="1">
      <c r="A2188" s="47" t="s">
        <v>603</v>
      </c>
      <c r="B2188" s="47" t="s">
        <v>621</v>
      </c>
      <c r="C2188" s="47" t="s">
        <v>607</v>
      </c>
      <c r="D2188" s="48" t="s">
        <v>604</v>
      </c>
      <c r="E2188" s="47">
        <v>2021</v>
      </c>
      <c r="F2188" s="47">
        <v>4</v>
      </c>
      <c r="G2188" s="49">
        <v>25</v>
      </c>
      <c r="H2188" s="50">
        <v>0.89868055555555559</v>
      </c>
      <c r="I2188" s="51">
        <v>126.25</v>
      </c>
      <c r="J2188" s="51">
        <v>27.253</v>
      </c>
      <c r="K2188" s="52">
        <v>0</v>
      </c>
      <c r="L2188" s="52"/>
      <c r="M2188" s="52">
        <v>0</v>
      </c>
      <c r="N2188" s="53">
        <v>23.4</v>
      </c>
      <c r="O2188" s="56">
        <v>34.706603020000003</v>
      </c>
      <c r="P2188" s="54">
        <v>0.19758988235294117</v>
      </c>
      <c r="Q2188" s="54">
        <v>1.6020368588235279</v>
      </c>
      <c r="R2188" s="47" t="s">
        <v>608</v>
      </c>
      <c r="S2188" s="47"/>
      <c r="T2188" s="71" t="s">
        <v>626</v>
      </c>
    </row>
    <row r="2189" spans="1:20" s="55" customFormat="1">
      <c r="A2189" s="47" t="s">
        <v>603</v>
      </c>
      <c r="B2189" s="47" t="s">
        <v>621</v>
      </c>
      <c r="C2189" s="47" t="s">
        <v>607</v>
      </c>
      <c r="D2189" s="48" t="s">
        <v>604</v>
      </c>
      <c r="E2189" s="47">
        <v>2021</v>
      </c>
      <c r="F2189" s="47">
        <v>4</v>
      </c>
      <c r="G2189" s="49">
        <v>25</v>
      </c>
      <c r="H2189" s="50">
        <v>0.89868055555555559</v>
      </c>
      <c r="I2189" s="51">
        <v>126.25</v>
      </c>
      <c r="J2189" s="51">
        <v>27.253</v>
      </c>
      <c r="K2189" s="52">
        <v>9.6129999999999995</v>
      </c>
      <c r="L2189" s="52"/>
      <c r="M2189" s="52">
        <v>11</v>
      </c>
      <c r="N2189" s="53">
        <v>23.55</v>
      </c>
      <c r="O2189" s="51">
        <v>34.690695069999997</v>
      </c>
      <c r="P2189" s="54">
        <v>0.17200812705882251</v>
      </c>
      <c r="Q2189" s="54">
        <v>1.6483303764705877</v>
      </c>
      <c r="R2189" s="47" t="s">
        <v>608</v>
      </c>
      <c r="S2189" s="47"/>
      <c r="T2189" s="71" t="s">
        <v>626</v>
      </c>
    </row>
    <row r="2190" spans="1:20" s="55" customFormat="1">
      <c r="A2190" s="47" t="s">
        <v>603</v>
      </c>
      <c r="B2190" s="47" t="s">
        <v>621</v>
      </c>
      <c r="C2190" s="47" t="s">
        <v>607</v>
      </c>
      <c r="D2190" s="48" t="s">
        <v>604</v>
      </c>
      <c r="E2190" s="47">
        <v>2021</v>
      </c>
      <c r="F2190" s="47">
        <v>4</v>
      </c>
      <c r="G2190" s="49">
        <v>25</v>
      </c>
      <c r="H2190" s="50">
        <v>0.89868055555555559</v>
      </c>
      <c r="I2190" s="51">
        <v>126.25</v>
      </c>
      <c r="J2190" s="51">
        <v>27.253</v>
      </c>
      <c r="K2190" s="52">
        <v>20.567</v>
      </c>
      <c r="L2190" s="52"/>
      <c r="M2190" s="52">
        <v>10</v>
      </c>
      <c r="N2190" s="53">
        <v>23.44</v>
      </c>
      <c r="O2190" s="51">
        <v>34.695349069999999</v>
      </c>
      <c r="P2190" s="54">
        <v>0.15155237176470537</v>
      </c>
      <c r="Q2190" s="54">
        <v>1.297098694117647</v>
      </c>
      <c r="R2190" s="47" t="s">
        <v>608</v>
      </c>
      <c r="S2190" s="47"/>
      <c r="T2190" s="71" t="s">
        <v>626</v>
      </c>
    </row>
    <row r="2191" spans="1:20" s="55" customFormat="1">
      <c r="A2191" s="47" t="s">
        <v>603</v>
      </c>
      <c r="B2191" s="47" t="s">
        <v>621</v>
      </c>
      <c r="C2191" s="47" t="s">
        <v>607</v>
      </c>
      <c r="D2191" s="48" t="s">
        <v>604</v>
      </c>
      <c r="E2191" s="47">
        <v>2021</v>
      </c>
      <c r="F2191" s="47">
        <v>4</v>
      </c>
      <c r="G2191" s="49">
        <v>25</v>
      </c>
      <c r="H2191" s="50">
        <v>0.89868055555555559</v>
      </c>
      <c r="I2191" s="51">
        <v>126.25</v>
      </c>
      <c r="J2191" s="51">
        <v>27.253</v>
      </c>
      <c r="K2191" s="52">
        <v>29.616</v>
      </c>
      <c r="L2191" s="52"/>
      <c r="M2191" s="52">
        <v>9</v>
      </c>
      <c r="N2191" s="53">
        <v>23.38</v>
      </c>
      <c r="O2191" s="51">
        <v>34.711467910000003</v>
      </c>
      <c r="P2191" s="54">
        <v>0.14333871058823489</v>
      </c>
      <c r="Q2191" s="54">
        <v>1.4842387647058803</v>
      </c>
      <c r="R2191" s="47" t="s">
        <v>608</v>
      </c>
      <c r="S2191" s="47"/>
      <c r="T2191" s="71" t="s">
        <v>626</v>
      </c>
    </row>
    <row r="2192" spans="1:20" s="55" customFormat="1">
      <c r="A2192" s="47" t="s">
        <v>603</v>
      </c>
      <c r="B2192" s="47" t="s">
        <v>621</v>
      </c>
      <c r="C2192" s="47" t="s">
        <v>607</v>
      </c>
      <c r="D2192" s="48" t="s">
        <v>604</v>
      </c>
      <c r="E2192" s="47">
        <v>2021</v>
      </c>
      <c r="F2192" s="47">
        <v>4</v>
      </c>
      <c r="G2192" s="49">
        <v>25</v>
      </c>
      <c r="H2192" s="50">
        <v>0.89868055555555559</v>
      </c>
      <c r="I2192" s="51">
        <v>126.25</v>
      </c>
      <c r="J2192" s="51">
        <v>27.253</v>
      </c>
      <c r="K2192" s="52">
        <v>51.152999999999999</v>
      </c>
      <c r="L2192" s="52"/>
      <c r="M2192" s="52">
        <v>8</v>
      </c>
      <c r="N2192" s="53">
        <v>23.33</v>
      </c>
      <c r="O2192" s="51">
        <v>34.727718930000002</v>
      </c>
      <c r="P2192" s="54">
        <v>0.1386710352941174</v>
      </c>
      <c r="Q2192" s="54">
        <v>1.5678862823529407</v>
      </c>
      <c r="R2192" s="47" t="s">
        <v>608</v>
      </c>
      <c r="S2192" s="47"/>
      <c r="T2192" s="71" t="s">
        <v>626</v>
      </c>
    </row>
    <row r="2193" spans="1:20" s="55" customFormat="1">
      <c r="A2193" s="47" t="s">
        <v>603</v>
      </c>
      <c r="B2193" s="47" t="s">
        <v>621</v>
      </c>
      <c r="C2193" s="47" t="s">
        <v>607</v>
      </c>
      <c r="D2193" s="48" t="s">
        <v>604</v>
      </c>
      <c r="E2193" s="47">
        <v>2021</v>
      </c>
      <c r="F2193" s="47">
        <v>4</v>
      </c>
      <c r="G2193" s="49">
        <v>25</v>
      </c>
      <c r="H2193" s="50">
        <v>0.89868055555555559</v>
      </c>
      <c r="I2193" s="51">
        <v>126.25</v>
      </c>
      <c r="J2193" s="51">
        <v>27.253</v>
      </c>
      <c r="K2193" s="52">
        <v>75.366</v>
      </c>
      <c r="L2193" s="52"/>
      <c r="M2193" s="52">
        <v>7</v>
      </c>
      <c r="N2193" s="53">
        <v>23.17</v>
      </c>
      <c r="O2193" s="51">
        <v>34.753799999999998</v>
      </c>
      <c r="P2193" s="54">
        <v>0.13769407999999972</v>
      </c>
      <c r="Q2193" s="54">
        <v>1.6879048000000019</v>
      </c>
      <c r="R2193" s="47" t="s">
        <v>608</v>
      </c>
      <c r="S2193" s="47"/>
      <c r="T2193" s="71" t="s">
        <v>626</v>
      </c>
    </row>
    <row r="2194" spans="1:20" s="55" customFormat="1">
      <c r="A2194" s="47" t="s">
        <v>603</v>
      </c>
      <c r="B2194" s="47" t="s">
        <v>621</v>
      </c>
      <c r="C2194" s="47" t="s">
        <v>607</v>
      </c>
      <c r="D2194" s="48" t="s">
        <v>604</v>
      </c>
      <c r="E2194" s="47">
        <v>2021</v>
      </c>
      <c r="F2194" s="47">
        <v>4</v>
      </c>
      <c r="G2194" s="49">
        <v>25</v>
      </c>
      <c r="H2194" s="50">
        <v>0.89868055555555559</v>
      </c>
      <c r="I2194" s="51">
        <v>126.25</v>
      </c>
      <c r="J2194" s="51">
        <v>27.253</v>
      </c>
      <c r="K2194" s="52">
        <v>100.649</v>
      </c>
      <c r="L2194" s="52"/>
      <c r="M2194" s="52">
        <v>6</v>
      </c>
      <c r="N2194" s="53">
        <v>22.69</v>
      </c>
      <c r="O2194" s="51">
        <v>34.769136570000001</v>
      </c>
      <c r="P2194" s="54">
        <v>0.15024976470588181</v>
      </c>
      <c r="Q2194" s="54">
        <v>1.6909463176470556</v>
      </c>
      <c r="R2194" s="47" t="s">
        <v>608</v>
      </c>
      <c r="S2194" s="47"/>
      <c r="T2194" s="71" t="s">
        <v>626</v>
      </c>
    </row>
    <row r="2195" spans="1:20" s="55" customFormat="1">
      <c r="A2195" s="47" t="s">
        <v>603</v>
      </c>
      <c r="B2195" s="47" t="s">
        <v>621</v>
      </c>
      <c r="C2195" s="47" t="s">
        <v>607</v>
      </c>
      <c r="D2195" s="48" t="s">
        <v>604</v>
      </c>
      <c r="E2195" s="47">
        <v>2021</v>
      </c>
      <c r="F2195" s="47">
        <v>4</v>
      </c>
      <c r="G2195" s="49">
        <v>25</v>
      </c>
      <c r="H2195" s="50">
        <v>0.89868055555555559</v>
      </c>
      <c r="I2195" s="51">
        <v>126.25</v>
      </c>
      <c r="J2195" s="51">
        <v>27.253</v>
      </c>
      <c r="K2195" s="52">
        <v>124.536</v>
      </c>
      <c r="L2195" s="52"/>
      <c r="M2195" s="52">
        <v>5</v>
      </c>
      <c r="N2195" s="53">
        <v>22.23</v>
      </c>
      <c r="O2195" s="51">
        <v>34.7849985</v>
      </c>
      <c r="P2195" s="54">
        <v>0.16916168941176402</v>
      </c>
      <c r="Q2195" s="54">
        <v>1.5522392352941168</v>
      </c>
      <c r="R2195" s="47" t="s">
        <v>608</v>
      </c>
      <c r="S2195" s="47"/>
      <c r="T2195" s="71" t="s">
        <v>626</v>
      </c>
    </row>
    <row r="2196" spans="1:20" s="55" customFormat="1">
      <c r="A2196" s="47" t="s">
        <v>603</v>
      </c>
      <c r="B2196" s="47" t="s">
        <v>621</v>
      </c>
      <c r="C2196" s="47" t="s">
        <v>607</v>
      </c>
      <c r="D2196" s="48" t="s">
        <v>604</v>
      </c>
      <c r="E2196" s="47">
        <v>2021</v>
      </c>
      <c r="F2196" s="47">
        <v>4</v>
      </c>
      <c r="G2196" s="49">
        <v>25</v>
      </c>
      <c r="H2196" s="50">
        <v>0.89868055555555559</v>
      </c>
      <c r="I2196" s="51">
        <v>126.25</v>
      </c>
      <c r="J2196" s="51">
        <v>27.253</v>
      </c>
      <c r="K2196" s="52">
        <v>151.75</v>
      </c>
      <c r="L2196" s="52"/>
      <c r="M2196" s="52">
        <v>4</v>
      </c>
      <c r="N2196" s="53">
        <v>21.73</v>
      </c>
      <c r="O2196" s="51">
        <v>34.810862180000001</v>
      </c>
      <c r="P2196" s="54">
        <v>0.19442985411764635</v>
      </c>
      <c r="Q2196" s="54">
        <v>1.9773809529411768</v>
      </c>
      <c r="R2196" s="47" t="s">
        <v>608</v>
      </c>
      <c r="S2196" s="47"/>
      <c r="T2196" s="71" t="s">
        <v>626</v>
      </c>
    </row>
    <row r="2197" spans="1:20" s="55" customFormat="1">
      <c r="A2197" s="47" t="s">
        <v>603</v>
      </c>
      <c r="B2197" s="47" t="s">
        <v>621</v>
      </c>
      <c r="C2197" s="47" t="s">
        <v>607</v>
      </c>
      <c r="D2197" s="48" t="s">
        <v>604</v>
      </c>
      <c r="E2197" s="47">
        <v>2021</v>
      </c>
      <c r="F2197" s="47">
        <v>4</v>
      </c>
      <c r="G2197" s="49">
        <v>25</v>
      </c>
      <c r="H2197" s="50">
        <v>0.89868055555555559</v>
      </c>
      <c r="I2197" s="51">
        <v>126.25</v>
      </c>
      <c r="J2197" s="51">
        <v>27.253</v>
      </c>
      <c r="K2197" s="52">
        <v>201.297</v>
      </c>
      <c r="L2197" s="52"/>
      <c r="M2197" s="52">
        <v>3</v>
      </c>
      <c r="N2197" s="53">
        <v>19.420000000000002</v>
      </c>
      <c r="O2197" s="51">
        <v>34.831148419999998</v>
      </c>
      <c r="P2197" s="54">
        <v>0.16515737882352921</v>
      </c>
      <c r="Q2197" s="54">
        <v>1.7030198705882338</v>
      </c>
      <c r="R2197" s="47" t="s">
        <v>608</v>
      </c>
      <c r="S2197" s="47"/>
      <c r="T2197" s="71" t="s">
        <v>626</v>
      </c>
    </row>
    <row r="2198" spans="1:20" s="55" customFormat="1">
      <c r="A2198" s="47" t="s">
        <v>603</v>
      </c>
      <c r="B2198" s="47" t="s">
        <v>621</v>
      </c>
      <c r="C2198" s="47" t="s">
        <v>607</v>
      </c>
      <c r="D2198" s="48" t="s">
        <v>604</v>
      </c>
      <c r="E2198" s="47">
        <v>2021</v>
      </c>
      <c r="F2198" s="47">
        <v>4</v>
      </c>
      <c r="G2198" s="49">
        <v>25</v>
      </c>
      <c r="H2198" s="50">
        <v>0.89868055555555559</v>
      </c>
      <c r="I2198" s="51">
        <v>126.25</v>
      </c>
      <c r="J2198" s="51">
        <v>27.253</v>
      </c>
      <c r="K2198" s="52">
        <v>300.50099999999998</v>
      </c>
      <c r="L2198" s="52"/>
      <c r="M2198" s="52">
        <v>2</v>
      </c>
      <c r="N2198" s="53">
        <v>15.92</v>
      </c>
      <c r="O2198" s="51">
        <v>34.65505134</v>
      </c>
      <c r="P2198" s="54">
        <v>8.46249035294111E-2</v>
      </c>
      <c r="Q2198" s="54">
        <v>1.1764209882352912</v>
      </c>
      <c r="R2198" s="47" t="s">
        <v>608</v>
      </c>
      <c r="S2198" s="47"/>
      <c r="T2198" s="71" t="s">
        <v>626</v>
      </c>
    </row>
    <row r="2199" spans="1:20" s="55" customFormat="1">
      <c r="A2199" s="47" t="s">
        <v>603</v>
      </c>
      <c r="B2199" s="47" t="s">
        <v>621</v>
      </c>
      <c r="C2199" s="47" t="s">
        <v>607</v>
      </c>
      <c r="D2199" s="48" t="s">
        <v>604</v>
      </c>
      <c r="E2199" s="47">
        <v>2021</v>
      </c>
      <c r="F2199" s="47">
        <v>4</v>
      </c>
      <c r="G2199" s="49">
        <v>25</v>
      </c>
      <c r="H2199" s="50">
        <v>0.89868055555555559</v>
      </c>
      <c r="I2199" s="51">
        <v>126.25</v>
      </c>
      <c r="J2199" s="51">
        <v>27.253</v>
      </c>
      <c r="K2199" s="52">
        <v>498.66199999999998</v>
      </c>
      <c r="L2199" s="52"/>
      <c r="M2199" s="52">
        <v>1</v>
      </c>
      <c r="N2199" s="53">
        <v>8.52</v>
      </c>
      <c r="O2199" s="51">
        <v>34.269578619999997</v>
      </c>
      <c r="P2199" s="54">
        <v>-0.1629207294117645</v>
      </c>
      <c r="Q2199" s="54">
        <v>-0.94306163529411968</v>
      </c>
      <c r="R2199" s="47" t="s">
        <v>608</v>
      </c>
      <c r="S2199" s="47"/>
      <c r="T2199" s="71" t="s">
        <v>626</v>
      </c>
    </row>
    <row r="2200" spans="1:20" s="55" customFormat="1">
      <c r="A2200" s="47" t="s">
        <v>603</v>
      </c>
      <c r="B2200" s="47" t="s">
        <v>622</v>
      </c>
      <c r="C2200" s="47" t="s">
        <v>607</v>
      </c>
      <c r="D2200" s="48" t="s">
        <v>601</v>
      </c>
      <c r="E2200" s="47">
        <v>2021</v>
      </c>
      <c r="F2200" s="47">
        <v>4</v>
      </c>
      <c r="G2200" s="49">
        <v>28</v>
      </c>
      <c r="H2200" s="50">
        <v>0.51559027777777777</v>
      </c>
      <c r="I2200" s="51">
        <v>124.251</v>
      </c>
      <c r="J2200" s="51">
        <v>27.748999999999999</v>
      </c>
      <c r="K2200" s="52">
        <v>0</v>
      </c>
      <c r="L2200" s="52"/>
      <c r="M2200" s="52">
        <v>0</v>
      </c>
      <c r="N2200" s="53">
        <v>19.8</v>
      </c>
      <c r="O2200" s="56">
        <v>33.27340186</v>
      </c>
      <c r="P2200" s="54">
        <v>-0.27180103529411781</v>
      </c>
      <c r="Q2200" s="54">
        <v>-1.2419337423529413</v>
      </c>
      <c r="R2200" s="47" t="s">
        <v>608</v>
      </c>
      <c r="S2200" s="47"/>
      <c r="T2200" s="71" t="s">
        <v>626</v>
      </c>
    </row>
    <row r="2201" spans="1:20" s="55" customFormat="1">
      <c r="A2201" s="47" t="s">
        <v>603</v>
      </c>
      <c r="B2201" s="47" t="s">
        <v>622</v>
      </c>
      <c r="C2201" s="47" t="s">
        <v>607</v>
      </c>
      <c r="D2201" s="48" t="s">
        <v>601</v>
      </c>
      <c r="E2201" s="47">
        <v>2021</v>
      </c>
      <c r="F2201" s="47">
        <v>4</v>
      </c>
      <c r="G2201" s="49">
        <v>28</v>
      </c>
      <c r="H2201" s="50">
        <v>0.51559027777777777</v>
      </c>
      <c r="I2201" s="51">
        <v>124.251</v>
      </c>
      <c r="J2201" s="51">
        <v>27.748999999999999</v>
      </c>
      <c r="K2201" s="52">
        <v>9.9710000000000001</v>
      </c>
      <c r="L2201" s="52"/>
      <c r="M2201" s="52">
        <v>6</v>
      </c>
      <c r="N2201" s="53">
        <v>19.61</v>
      </c>
      <c r="O2201" s="51">
        <v>33.317762070000001</v>
      </c>
      <c r="P2201" s="54">
        <v>-0.22365594117647047</v>
      </c>
      <c r="Q2201" s="54">
        <v>-1.1403680494117658</v>
      </c>
      <c r="R2201" s="47" t="s">
        <v>608</v>
      </c>
      <c r="S2201" s="47"/>
      <c r="T2201" s="71" t="s">
        <v>626</v>
      </c>
    </row>
    <row r="2202" spans="1:20" s="55" customFormat="1">
      <c r="A2202" s="47" t="s">
        <v>603</v>
      </c>
      <c r="B2202" s="47" t="s">
        <v>622</v>
      </c>
      <c r="C2202" s="47" t="s">
        <v>607</v>
      </c>
      <c r="D2202" s="48" t="s">
        <v>601</v>
      </c>
      <c r="E2202" s="47">
        <v>2021</v>
      </c>
      <c r="F2202" s="47">
        <v>4</v>
      </c>
      <c r="G2202" s="49">
        <v>28</v>
      </c>
      <c r="H2202" s="50">
        <v>0.51559027777777777</v>
      </c>
      <c r="I2202" s="51">
        <v>124.251</v>
      </c>
      <c r="J2202" s="51">
        <v>27.748999999999999</v>
      </c>
      <c r="K2202" s="52">
        <v>20.754000000000001</v>
      </c>
      <c r="L2202" s="52"/>
      <c r="M2202" s="52">
        <v>5</v>
      </c>
      <c r="N2202" s="53">
        <v>18.850000000000001</v>
      </c>
      <c r="O2202" s="51">
        <v>33.336189640000001</v>
      </c>
      <c r="P2202" s="54">
        <v>-0.22325644705882386</v>
      </c>
      <c r="Q2202" s="54">
        <v>-1.2116021164705888</v>
      </c>
      <c r="R2202" s="47" t="s">
        <v>608</v>
      </c>
      <c r="S2202" s="47"/>
      <c r="T2202" s="71" t="s">
        <v>626</v>
      </c>
    </row>
    <row r="2203" spans="1:20" s="55" customFormat="1">
      <c r="A2203" s="47" t="s">
        <v>603</v>
      </c>
      <c r="B2203" s="47" t="s">
        <v>622</v>
      </c>
      <c r="C2203" s="47" t="s">
        <v>607</v>
      </c>
      <c r="D2203" s="48" t="s">
        <v>601</v>
      </c>
      <c r="E2203" s="47">
        <v>2021</v>
      </c>
      <c r="F2203" s="47">
        <v>4</v>
      </c>
      <c r="G2203" s="49">
        <v>28</v>
      </c>
      <c r="H2203" s="50">
        <v>0.51559027777777777</v>
      </c>
      <c r="I2203" s="51">
        <v>124.251</v>
      </c>
      <c r="J2203" s="51">
        <v>27.748999999999999</v>
      </c>
      <c r="K2203" s="52">
        <v>30.251999999999999</v>
      </c>
      <c r="L2203" s="52"/>
      <c r="M2203" s="52">
        <v>4</v>
      </c>
      <c r="N2203" s="53">
        <v>17.91</v>
      </c>
      <c r="O2203" s="51">
        <v>33.284706329999999</v>
      </c>
      <c r="P2203" s="54">
        <v>-0.28192155294117693</v>
      </c>
      <c r="Q2203" s="54">
        <v>-1.3195265435294132</v>
      </c>
      <c r="R2203" s="47" t="s">
        <v>608</v>
      </c>
      <c r="S2203" s="47"/>
      <c r="T2203" s="71" t="s">
        <v>626</v>
      </c>
    </row>
    <row r="2204" spans="1:20" s="55" customFormat="1">
      <c r="A2204" s="47" t="s">
        <v>603</v>
      </c>
      <c r="B2204" s="47" t="s">
        <v>622</v>
      </c>
      <c r="C2204" s="47" t="s">
        <v>607</v>
      </c>
      <c r="D2204" s="48" t="s">
        <v>601</v>
      </c>
      <c r="E2204" s="47">
        <v>2021</v>
      </c>
      <c r="F2204" s="47">
        <v>4</v>
      </c>
      <c r="G2204" s="49">
        <v>28</v>
      </c>
      <c r="H2204" s="50">
        <v>0.51559027777777777</v>
      </c>
      <c r="I2204" s="51">
        <v>124.251</v>
      </c>
      <c r="J2204" s="51">
        <v>27.748999999999999</v>
      </c>
      <c r="K2204" s="52">
        <v>51.027000000000001</v>
      </c>
      <c r="L2204" s="52"/>
      <c r="M2204" s="52">
        <v>3</v>
      </c>
      <c r="N2204" s="53">
        <v>17.68</v>
      </c>
      <c r="O2204" s="51">
        <v>33.412705860000003</v>
      </c>
      <c r="P2204" s="54">
        <v>-0.21553743382352986</v>
      </c>
      <c r="Q2204" s="54">
        <v>-1.1378486330882343</v>
      </c>
      <c r="R2204" s="47" t="s">
        <v>608</v>
      </c>
      <c r="S2204" s="47"/>
      <c r="T2204" s="71" t="s">
        <v>626</v>
      </c>
    </row>
    <row r="2205" spans="1:20" s="55" customFormat="1">
      <c r="A2205" s="47" t="s">
        <v>603</v>
      </c>
      <c r="B2205" s="47" t="s">
        <v>622</v>
      </c>
      <c r="C2205" s="47" t="s">
        <v>607</v>
      </c>
      <c r="D2205" s="48" t="s">
        <v>601</v>
      </c>
      <c r="E2205" s="47">
        <v>2021</v>
      </c>
      <c r="F2205" s="47">
        <v>4</v>
      </c>
      <c r="G2205" s="49">
        <v>28</v>
      </c>
      <c r="H2205" s="50">
        <v>0.51559027777777777</v>
      </c>
      <c r="I2205" s="51">
        <v>124.251</v>
      </c>
      <c r="J2205" s="51">
        <v>27.748999999999999</v>
      </c>
      <c r="K2205" s="52">
        <v>75.213999999999999</v>
      </c>
      <c r="L2205" s="52"/>
      <c r="M2205" s="52">
        <v>2</v>
      </c>
      <c r="N2205" s="53">
        <v>17.420000000000002</v>
      </c>
      <c r="O2205" s="51">
        <v>34.422265789999997</v>
      </c>
      <c r="P2205" s="54">
        <v>2.1403435294117479E-2</v>
      </c>
      <c r="Q2205" s="54">
        <v>0.39086850235293902</v>
      </c>
      <c r="R2205" s="47" t="s">
        <v>608</v>
      </c>
      <c r="S2205" s="47"/>
      <c r="T2205" s="71" t="s">
        <v>626</v>
      </c>
    </row>
    <row r="2206" spans="1:20" s="55" customFormat="1">
      <c r="A2206" s="47" t="s">
        <v>603</v>
      </c>
      <c r="B2206" s="47" t="s">
        <v>622</v>
      </c>
      <c r="C2206" s="47" t="s">
        <v>607</v>
      </c>
      <c r="D2206" s="48" t="s">
        <v>601</v>
      </c>
      <c r="E2206" s="47">
        <v>2021</v>
      </c>
      <c r="F2206" s="47">
        <v>4</v>
      </c>
      <c r="G2206" s="49">
        <v>28</v>
      </c>
      <c r="H2206" s="50">
        <v>0.51559027777777777</v>
      </c>
      <c r="I2206" s="51">
        <v>124.251</v>
      </c>
      <c r="J2206" s="51">
        <v>27.748999999999999</v>
      </c>
      <c r="K2206" s="52">
        <v>88.352000000000004</v>
      </c>
      <c r="L2206" s="52"/>
      <c r="M2206" s="52">
        <v>1</v>
      </c>
      <c r="N2206" s="53">
        <v>17.420000000000002</v>
      </c>
      <c r="O2206" s="51">
        <v>34.419848229999999</v>
      </c>
      <c r="P2206" s="54">
        <v>3.5177911764705083E-2</v>
      </c>
      <c r="Q2206" s="54">
        <v>0.58859457745097821</v>
      </c>
      <c r="R2206" s="47" t="s">
        <v>608</v>
      </c>
      <c r="S2206" s="47"/>
      <c r="T2206" s="71" t="s">
        <v>626</v>
      </c>
    </row>
    <row r="2207" spans="1:20" s="55" customFormat="1">
      <c r="A2207" s="47" t="s">
        <v>603</v>
      </c>
      <c r="B2207" s="47" t="s">
        <v>623</v>
      </c>
      <c r="C2207" s="47" t="s">
        <v>607</v>
      </c>
      <c r="D2207" s="48" t="s">
        <v>602</v>
      </c>
      <c r="E2207" s="47">
        <v>2021</v>
      </c>
      <c r="F2207" s="47">
        <v>4</v>
      </c>
      <c r="G2207" s="49">
        <v>29</v>
      </c>
      <c r="H2207" s="50">
        <v>0.32732638888888888</v>
      </c>
      <c r="I2207" s="51">
        <v>126.235</v>
      </c>
      <c r="J2207" s="51">
        <v>29.754000000000001</v>
      </c>
      <c r="K2207" s="52">
        <v>0</v>
      </c>
      <c r="L2207" s="52"/>
      <c r="M2207" s="52">
        <v>0</v>
      </c>
      <c r="N2207" s="53">
        <v>19.600000000000001</v>
      </c>
      <c r="O2207" s="56">
        <v>33.486745280000001</v>
      </c>
      <c r="P2207" s="54">
        <v>-0.1803410941176482</v>
      </c>
      <c r="Q2207" s="54">
        <v>-0.80799655294117478</v>
      </c>
      <c r="R2207" s="47" t="s">
        <v>608</v>
      </c>
      <c r="S2207" s="47"/>
      <c r="T2207" s="71" t="s">
        <v>626</v>
      </c>
    </row>
    <row r="2208" spans="1:20" s="55" customFormat="1">
      <c r="A2208" s="47" t="s">
        <v>603</v>
      </c>
      <c r="B2208" s="47" t="s">
        <v>623</v>
      </c>
      <c r="C2208" s="47" t="s">
        <v>607</v>
      </c>
      <c r="D2208" s="48" t="s">
        <v>602</v>
      </c>
      <c r="E2208" s="47">
        <v>2021</v>
      </c>
      <c r="F2208" s="47">
        <v>4</v>
      </c>
      <c r="G2208" s="49">
        <v>29</v>
      </c>
      <c r="H2208" s="50">
        <v>0.32732638888888888</v>
      </c>
      <c r="I2208" s="51">
        <v>126.235</v>
      </c>
      <c r="J2208" s="51">
        <v>29.754000000000001</v>
      </c>
      <c r="K2208" s="52">
        <v>20</v>
      </c>
      <c r="L2208" s="52"/>
      <c r="M2208" s="52">
        <v>5</v>
      </c>
      <c r="N2208" s="53">
        <v>19.05</v>
      </c>
      <c r="O2208" s="51">
        <v>34.426299999999998</v>
      </c>
      <c r="P2208" s="54">
        <v>9.6036199999999017E-2</v>
      </c>
      <c r="Q2208" s="54">
        <v>0.720350719999999</v>
      </c>
      <c r="R2208" s="47" t="s">
        <v>608</v>
      </c>
      <c r="S2208" s="47"/>
      <c r="T2208" s="71" t="s">
        <v>626</v>
      </c>
    </row>
    <row r="2209" spans="1:20" s="55" customFormat="1">
      <c r="A2209" s="47" t="s">
        <v>603</v>
      </c>
      <c r="B2209" s="47" t="s">
        <v>623</v>
      </c>
      <c r="C2209" s="47" t="s">
        <v>607</v>
      </c>
      <c r="D2209" s="48" t="s">
        <v>602</v>
      </c>
      <c r="E2209" s="47">
        <v>2021</v>
      </c>
      <c r="F2209" s="47">
        <v>4</v>
      </c>
      <c r="G2209" s="49">
        <v>29</v>
      </c>
      <c r="H2209" s="50">
        <v>0.32732638888888888</v>
      </c>
      <c r="I2209" s="51">
        <v>126.235</v>
      </c>
      <c r="J2209" s="51">
        <v>29.754000000000001</v>
      </c>
      <c r="K2209" s="52">
        <v>30</v>
      </c>
      <c r="L2209" s="52"/>
      <c r="M2209" s="52">
        <v>4</v>
      </c>
      <c r="N2209" s="53">
        <v>18.95</v>
      </c>
      <c r="O2209" s="51">
        <v>34.456099999999999</v>
      </c>
      <c r="P2209" s="54">
        <v>6.8858494117646885E-2</v>
      </c>
      <c r="Q2209" s="54">
        <v>0.84124789294117797</v>
      </c>
      <c r="R2209" s="47" t="s">
        <v>608</v>
      </c>
      <c r="S2209" s="47"/>
      <c r="T2209" s="71" t="s">
        <v>626</v>
      </c>
    </row>
    <row r="2210" spans="1:20" s="55" customFormat="1">
      <c r="A2210" s="47" t="s">
        <v>603</v>
      </c>
      <c r="B2210" s="47" t="s">
        <v>623</v>
      </c>
      <c r="C2210" s="47" t="s">
        <v>607</v>
      </c>
      <c r="D2210" s="48" t="s">
        <v>602</v>
      </c>
      <c r="E2210" s="47">
        <v>2021</v>
      </c>
      <c r="F2210" s="47">
        <v>4</v>
      </c>
      <c r="G2210" s="49">
        <v>29</v>
      </c>
      <c r="H2210" s="50">
        <v>0.32732638888888888</v>
      </c>
      <c r="I2210" s="51">
        <v>126.235</v>
      </c>
      <c r="J2210" s="51">
        <v>29.754000000000001</v>
      </c>
      <c r="K2210" s="52">
        <v>50</v>
      </c>
      <c r="L2210" s="52"/>
      <c r="M2210" s="52">
        <v>3</v>
      </c>
      <c r="N2210" s="53">
        <v>18.649999999999999</v>
      </c>
      <c r="O2210" s="51">
        <v>34.501199999999997</v>
      </c>
      <c r="P2210" s="54">
        <v>4.9089588235293302E-2</v>
      </c>
      <c r="Q2210" s="54">
        <v>0.78914804588235299</v>
      </c>
      <c r="R2210" s="47" t="s">
        <v>608</v>
      </c>
      <c r="S2210" s="47"/>
      <c r="T2210" s="71" t="s">
        <v>626</v>
      </c>
    </row>
    <row r="2211" spans="1:20" s="55" customFormat="1">
      <c r="A2211" s="47" t="s">
        <v>603</v>
      </c>
      <c r="B2211" s="47" t="s">
        <v>623</v>
      </c>
      <c r="C2211" s="47" t="s">
        <v>607</v>
      </c>
      <c r="D2211" s="48" t="s">
        <v>602</v>
      </c>
      <c r="E2211" s="47">
        <v>2021</v>
      </c>
      <c r="F2211" s="47">
        <v>4</v>
      </c>
      <c r="G2211" s="49">
        <v>29</v>
      </c>
      <c r="H2211" s="50">
        <v>0.32732638888888888</v>
      </c>
      <c r="I2211" s="51">
        <v>126.235</v>
      </c>
      <c r="J2211" s="51">
        <v>29.754000000000001</v>
      </c>
      <c r="K2211" s="52">
        <v>74</v>
      </c>
      <c r="L2211" s="52"/>
      <c r="M2211" s="52">
        <v>2</v>
      </c>
      <c r="N2211" s="53">
        <v>18.350000000000001</v>
      </c>
      <c r="O2211" s="51">
        <v>34.470599999999997</v>
      </c>
      <c r="P2211" s="54">
        <v>9.9704282352940155E-2</v>
      </c>
      <c r="Q2211" s="54">
        <v>1.0027574188235295</v>
      </c>
      <c r="R2211" s="47" t="s">
        <v>608</v>
      </c>
      <c r="S2211" s="47"/>
      <c r="T2211" s="71" t="s">
        <v>626</v>
      </c>
    </row>
    <row r="2212" spans="1:20" s="55" customFormat="1">
      <c r="A2212" s="47" t="s">
        <v>603</v>
      </c>
      <c r="B2212" s="47" t="s">
        <v>623</v>
      </c>
      <c r="C2212" s="47" t="s">
        <v>607</v>
      </c>
      <c r="D2212" s="48" t="s">
        <v>602</v>
      </c>
      <c r="E2212" s="47">
        <v>2021</v>
      </c>
      <c r="F2212" s="47">
        <v>4</v>
      </c>
      <c r="G2212" s="49">
        <v>29</v>
      </c>
      <c r="H2212" s="50">
        <v>0.32732638888888888</v>
      </c>
      <c r="I2212" s="51">
        <v>126.235</v>
      </c>
      <c r="J2212" s="51">
        <v>29.754000000000001</v>
      </c>
      <c r="K2212" s="52">
        <v>85</v>
      </c>
      <c r="L2212" s="52"/>
      <c r="M2212" s="52">
        <v>1</v>
      </c>
      <c r="N2212" s="53">
        <v>18.34</v>
      </c>
      <c r="O2212" s="51">
        <v>34.4694</v>
      </c>
      <c r="P2212" s="54">
        <v>9.3518176470587466E-2</v>
      </c>
      <c r="Q2212" s="54">
        <v>0.97807671176470556</v>
      </c>
      <c r="R2212" s="47" t="s">
        <v>608</v>
      </c>
      <c r="S2212" s="47"/>
      <c r="T2212" s="71" t="s">
        <v>626</v>
      </c>
    </row>
    <row r="2213" spans="1:20" s="55" customFormat="1">
      <c r="A2213" s="47" t="s">
        <v>603</v>
      </c>
      <c r="B2213" s="47" t="s">
        <v>624</v>
      </c>
      <c r="C2213" s="47" t="s">
        <v>607</v>
      </c>
      <c r="D2213" s="48" t="s">
        <v>605</v>
      </c>
      <c r="E2213" s="47">
        <v>2021</v>
      </c>
      <c r="F2213" s="47">
        <v>4</v>
      </c>
      <c r="G2213" s="49">
        <v>30</v>
      </c>
      <c r="H2213" s="50">
        <v>2.631944444444444E-2</v>
      </c>
      <c r="I2213" s="51">
        <v>128.75</v>
      </c>
      <c r="J2213" s="51">
        <v>31.75</v>
      </c>
      <c r="K2213" s="52">
        <v>9.58</v>
      </c>
      <c r="L2213" s="52"/>
      <c r="M2213" s="52">
        <v>11</v>
      </c>
      <c r="N2213" s="53">
        <v>21.4</v>
      </c>
      <c r="O2213" s="51">
        <v>34.514144459999997</v>
      </c>
      <c r="P2213" s="54">
        <v>0.10235547058823435</v>
      </c>
      <c r="Q2213" s="54">
        <v>1.2364641047058829</v>
      </c>
      <c r="R2213" s="47" t="s">
        <v>608</v>
      </c>
      <c r="S2213" s="47"/>
      <c r="T2213" s="71" t="s">
        <v>626</v>
      </c>
    </row>
    <row r="2214" spans="1:20" s="55" customFormat="1">
      <c r="A2214" s="47" t="s">
        <v>603</v>
      </c>
      <c r="B2214" s="47" t="s">
        <v>624</v>
      </c>
      <c r="C2214" s="47" t="s">
        <v>607</v>
      </c>
      <c r="D2214" s="48" t="s">
        <v>605</v>
      </c>
      <c r="E2214" s="47">
        <v>2021</v>
      </c>
      <c r="F2214" s="47">
        <v>4</v>
      </c>
      <c r="G2214" s="49">
        <v>30</v>
      </c>
      <c r="H2214" s="50">
        <v>2.631944444444444E-2</v>
      </c>
      <c r="I2214" s="51">
        <v>128.75</v>
      </c>
      <c r="J2214" s="51">
        <v>31.75</v>
      </c>
      <c r="K2214" s="52">
        <v>19.509</v>
      </c>
      <c r="L2214" s="52"/>
      <c r="M2214" s="52">
        <v>10</v>
      </c>
      <c r="N2214" s="53">
        <v>21.38</v>
      </c>
      <c r="O2214" s="51">
        <v>34.5139195</v>
      </c>
      <c r="P2214" s="54">
        <v>0.1005656199999998</v>
      </c>
      <c r="Q2214" s="54">
        <v>1.1121396870588232</v>
      </c>
      <c r="R2214" s="47" t="s">
        <v>608</v>
      </c>
      <c r="S2214" s="47"/>
      <c r="T2214" s="71" t="s">
        <v>626</v>
      </c>
    </row>
    <row r="2215" spans="1:20" s="55" customFormat="1">
      <c r="A2215" s="47" t="s">
        <v>603</v>
      </c>
      <c r="B2215" s="47" t="s">
        <v>624</v>
      </c>
      <c r="C2215" s="47" t="s">
        <v>607</v>
      </c>
      <c r="D2215" s="48" t="s">
        <v>605</v>
      </c>
      <c r="E2215" s="47">
        <v>2021</v>
      </c>
      <c r="F2215" s="47">
        <v>4</v>
      </c>
      <c r="G2215" s="49">
        <v>30</v>
      </c>
      <c r="H2215" s="50">
        <v>2.631944444444444E-2</v>
      </c>
      <c r="I2215" s="51">
        <v>128.75</v>
      </c>
      <c r="J2215" s="51">
        <v>31.75</v>
      </c>
      <c r="K2215" s="52">
        <v>30.024000000000001</v>
      </c>
      <c r="L2215" s="52"/>
      <c r="M2215" s="52">
        <v>9</v>
      </c>
      <c r="N2215" s="53">
        <v>21.37</v>
      </c>
      <c r="O2215" s="51">
        <v>34.551268640000004</v>
      </c>
      <c r="P2215" s="54">
        <v>0.10442404000000094</v>
      </c>
      <c r="Q2215" s="54">
        <v>1.2410614764705876</v>
      </c>
      <c r="R2215" s="47" t="s">
        <v>608</v>
      </c>
      <c r="S2215" s="47"/>
      <c r="T2215" s="71" t="s">
        <v>626</v>
      </c>
    </row>
    <row r="2216" spans="1:20" s="55" customFormat="1">
      <c r="A2216" s="47" t="s">
        <v>603</v>
      </c>
      <c r="B2216" s="47" t="s">
        <v>624</v>
      </c>
      <c r="C2216" s="47" t="s">
        <v>607</v>
      </c>
      <c r="D2216" s="48" t="s">
        <v>605</v>
      </c>
      <c r="E2216" s="47">
        <v>2021</v>
      </c>
      <c r="F2216" s="47">
        <v>4</v>
      </c>
      <c r="G2216" s="49">
        <v>30</v>
      </c>
      <c r="H2216" s="50">
        <v>2.631944444444444E-2</v>
      </c>
      <c r="I2216" s="51">
        <v>128.75</v>
      </c>
      <c r="J2216" s="51">
        <v>31.75</v>
      </c>
      <c r="K2216" s="52">
        <v>50.165999999999997</v>
      </c>
      <c r="L2216" s="52"/>
      <c r="M2216" s="52">
        <v>8</v>
      </c>
      <c r="N2216" s="53">
        <v>21.23</v>
      </c>
      <c r="O2216" s="51">
        <v>34.570160479999998</v>
      </c>
      <c r="P2216" s="54">
        <v>9.9700179999999694E-2</v>
      </c>
      <c r="Q2216" s="54">
        <v>1.0523099858823528</v>
      </c>
      <c r="R2216" s="47" t="s">
        <v>608</v>
      </c>
      <c r="S2216" s="47"/>
      <c r="T2216" s="71" t="s">
        <v>626</v>
      </c>
    </row>
    <row r="2217" spans="1:20" s="55" customFormat="1">
      <c r="A2217" s="47" t="s">
        <v>603</v>
      </c>
      <c r="B2217" s="47" t="s">
        <v>624</v>
      </c>
      <c r="C2217" s="47" t="s">
        <v>607</v>
      </c>
      <c r="D2217" s="48" t="s">
        <v>605</v>
      </c>
      <c r="E2217" s="47">
        <v>2021</v>
      </c>
      <c r="F2217" s="47">
        <v>4</v>
      </c>
      <c r="G2217" s="49">
        <v>30</v>
      </c>
      <c r="H2217" s="50">
        <v>2.631944444444444E-2</v>
      </c>
      <c r="I2217" s="51">
        <v>128.75</v>
      </c>
      <c r="J2217" s="51">
        <v>31.75</v>
      </c>
      <c r="K2217" s="52">
        <v>75.275000000000006</v>
      </c>
      <c r="L2217" s="52"/>
      <c r="M2217" s="52">
        <v>7</v>
      </c>
      <c r="N2217" s="53">
        <v>19.149999999999999</v>
      </c>
      <c r="O2217" s="51">
        <v>34.523586659999999</v>
      </c>
      <c r="P2217" s="54">
        <v>8.6394040000000061E-2</v>
      </c>
      <c r="Q2217" s="54">
        <v>0.85766109529411771</v>
      </c>
      <c r="R2217" s="47" t="s">
        <v>608</v>
      </c>
      <c r="S2217" s="47"/>
      <c r="T2217" s="71" t="s">
        <v>626</v>
      </c>
    </row>
    <row r="2218" spans="1:20" s="55" customFormat="1">
      <c r="A2218" s="47" t="s">
        <v>603</v>
      </c>
      <c r="B2218" s="47" t="s">
        <v>624</v>
      </c>
      <c r="C2218" s="47" t="s">
        <v>607</v>
      </c>
      <c r="D2218" s="48" t="s">
        <v>605</v>
      </c>
      <c r="E2218" s="47">
        <v>2021</v>
      </c>
      <c r="F2218" s="47">
        <v>4</v>
      </c>
      <c r="G2218" s="49">
        <v>30</v>
      </c>
      <c r="H2218" s="50">
        <v>2.631944444444444E-2</v>
      </c>
      <c r="I2218" s="51">
        <v>128.75</v>
      </c>
      <c r="J2218" s="51">
        <v>31.75</v>
      </c>
      <c r="K2218" s="52">
        <v>99.9</v>
      </c>
      <c r="L2218" s="52"/>
      <c r="M2218" s="52">
        <v>6</v>
      </c>
      <c r="N2218" s="53">
        <v>18.52</v>
      </c>
      <c r="O2218" s="51">
        <v>34.44993083</v>
      </c>
      <c r="P2218" s="54">
        <v>6.5731660000000414E-2</v>
      </c>
      <c r="Q2218" s="54">
        <v>0.86843830470588124</v>
      </c>
      <c r="R2218" s="47" t="s">
        <v>608</v>
      </c>
      <c r="S2218" s="47"/>
      <c r="T2218" s="71" t="s">
        <v>626</v>
      </c>
    </row>
    <row r="2219" spans="1:20" s="55" customFormat="1">
      <c r="A2219" s="47" t="s">
        <v>603</v>
      </c>
      <c r="B2219" s="47" t="s">
        <v>624</v>
      </c>
      <c r="C2219" s="47" t="s">
        <v>607</v>
      </c>
      <c r="D2219" s="48" t="s">
        <v>605</v>
      </c>
      <c r="E2219" s="47">
        <v>2021</v>
      </c>
      <c r="F2219" s="47">
        <v>4</v>
      </c>
      <c r="G2219" s="49">
        <v>30</v>
      </c>
      <c r="H2219" s="50">
        <v>2.631944444444444E-2</v>
      </c>
      <c r="I2219" s="51">
        <v>128.75</v>
      </c>
      <c r="J2219" s="51">
        <v>31.75</v>
      </c>
      <c r="K2219" s="52">
        <v>125.446</v>
      </c>
      <c r="L2219" s="52"/>
      <c r="M2219" s="52">
        <v>5</v>
      </c>
      <c r="N2219" s="53">
        <v>17.53</v>
      </c>
      <c r="O2219" s="51">
        <v>34.362955990000003</v>
      </c>
      <c r="P2219" s="54">
        <v>6.2233839999999763E-2</v>
      </c>
      <c r="Q2219" s="54">
        <v>0.570388334117645</v>
      </c>
      <c r="R2219" s="47" t="s">
        <v>608</v>
      </c>
      <c r="S2219" s="47"/>
      <c r="T2219" s="71" t="s">
        <v>626</v>
      </c>
    </row>
    <row r="2220" spans="1:20" s="55" customFormat="1">
      <c r="A2220" s="47" t="s">
        <v>603</v>
      </c>
      <c r="B2220" s="47" t="s">
        <v>624</v>
      </c>
      <c r="C2220" s="47" t="s">
        <v>607</v>
      </c>
      <c r="D2220" s="48" t="s">
        <v>605</v>
      </c>
      <c r="E2220" s="47">
        <v>2021</v>
      </c>
      <c r="F2220" s="47">
        <v>4</v>
      </c>
      <c r="G2220" s="49">
        <v>30</v>
      </c>
      <c r="H2220" s="50">
        <v>2.631944444444444E-2</v>
      </c>
      <c r="I2220" s="51">
        <v>128.75</v>
      </c>
      <c r="J2220" s="51">
        <v>31.75</v>
      </c>
      <c r="K2220" s="52">
        <v>150.24700000000001</v>
      </c>
      <c r="L2220" s="52"/>
      <c r="M2220" s="52">
        <v>4</v>
      </c>
      <c r="N2220" s="53">
        <v>16.760000000000002</v>
      </c>
      <c r="O2220" s="51">
        <v>34.507857090000002</v>
      </c>
      <c r="P2220" s="54">
        <v>0.11349914000000005</v>
      </c>
      <c r="Q2220" s="54">
        <v>1.0498122635294109</v>
      </c>
      <c r="R2220" s="47" t="s">
        <v>608</v>
      </c>
      <c r="S2220" s="47"/>
      <c r="T2220" s="71" t="s">
        <v>626</v>
      </c>
    </row>
    <row r="2221" spans="1:20" s="55" customFormat="1">
      <c r="A2221" s="47" t="s">
        <v>603</v>
      </c>
      <c r="B2221" s="47" t="s">
        <v>624</v>
      </c>
      <c r="C2221" s="47" t="s">
        <v>607</v>
      </c>
      <c r="D2221" s="48" t="s">
        <v>605</v>
      </c>
      <c r="E2221" s="47">
        <v>2021</v>
      </c>
      <c r="F2221" s="47">
        <v>4</v>
      </c>
      <c r="G2221" s="49">
        <v>30</v>
      </c>
      <c r="H2221" s="50">
        <v>2.631944444444444E-2</v>
      </c>
      <c r="I2221" s="51">
        <v>128.75</v>
      </c>
      <c r="J2221" s="51">
        <v>31.75</v>
      </c>
      <c r="K2221" s="52">
        <v>200.108</v>
      </c>
      <c r="L2221" s="52"/>
      <c r="M2221" s="52">
        <v>3</v>
      </c>
      <c r="N2221" s="53">
        <v>14.73</v>
      </c>
      <c r="O2221" s="51">
        <v>34.553002900000003</v>
      </c>
      <c r="P2221" s="54">
        <v>0.10114258000000032</v>
      </c>
      <c r="Q2221" s="54">
        <v>0.69366712117646756</v>
      </c>
      <c r="R2221" s="47" t="s">
        <v>608</v>
      </c>
      <c r="S2221" s="47"/>
      <c r="T2221" s="71" t="s">
        <v>626</v>
      </c>
    </row>
    <row r="2222" spans="1:20" s="55" customFormat="1">
      <c r="A2222" s="47" t="s">
        <v>603</v>
      </c>
      <c r="B2222" s="47" t="s">
        <v>624</v>
      </c>
      <c r="C2222" s="47" t="s">
        <v>607</v>
      </c>
      <c r="D2222" s="48" t="s">
        <v>605</v>
      </c>
      <c r="E2222" s="47">
        <v>2021</v>
      </c>
      <c r="F2222" s="47">
        <v>4</v>
      </c>
      <c r="G2222" s="49">
        <v>30</v>
      </c>
      <c r="H2222" s="50">
        <v>2.631944444444444E-2</v>
      </c>
      <c r="I2222" s="51">
        <v>128.75</v>
      </c>
      <c r="J2222" s="51">
        <v>31.75</v>
      </c>
      <c r="K2222" s="52">
        <v>298.89600000000002</v>
      </c>
      <c r="L2222" s="52"/>
      <c r="M2222" s="52">
        <v>2</v>
      </c>
      <c r="N2222" s="53">
        <v>11.75</v>
      </c>
      <c r="O2222" s="51">
        <v>34.417921460000002</v>
      </c>
      <c r="P2222" s="54">
        <v>1.4069700000000296E-2</v>
      </c>
      <c r="Q2222" s="54">
        <v>-0.14242230941176715</v>
      </c>
      <c r="R2222" s="47" t="s">
        <v>608</v>
      </c>
      <c r="S2222" s="47"/>
      <c r="T2222" s="71" t="s">
        <v>626</v>
      </c>
    </row>
    <row r="2223" spans="1:20" s="55" customFormat="1">
      <c r="A2223" s="47" t="s">
        <v>603</v>
      </c>
      <c r="B2223" s="47" t="s">
        <v>624</v>
      </c>
      <c r="C2223" s="47" t="s">
        <v>607</v>
      </c>
      <c r="D2223" s="48" t="s">
        <v>605</v>
      </c>
      <c r="E2223" s="47">
        <v>2021</v>
      </c>
      <c r="F2223" s="47">
        <v>4</v>
      </c>
      <c r="G2223" s="49">
        <v>30</v>
      </c>
      <c r="H2223" s="50">
        <v>2.631944444444444E-2</v>
      </c>
      <c r="I2223" s="51">
        <v>128.75</v>
      </c>
      <c r="J2223" s="51">
        <v>31.75</v>
      </c>
      <c r="K2223" s="52">
        <v>500.58800000000002</v>
      </c>
      <c r="L2223" s="52"/>
      <c r="M2223" s="52">
        <v>1</v>
      </c>
      <c r="N2223" s="53">
        <v>8.07</v>
      </c>
      <c r="O2223" s="51">
        <v>34.332427799999998</v>
      </c>
      <c r="P2223" s="54">
        <v>-0.10549323999999993</v>
      </c>
      <c r="Q2223" s="54">
        <v>-0.73239358000000188</v>
      </c>
      <c r="R2223" s="47" t="s">
        <v>608</v>
      </c>
      <c r="S2223" s="47"/>
      <c r="T2223" s="71" t="s">
        <v>626</v>
      </c>
    </row>
  </sheetData>
  <autoFilter ref="A1:T2023" xr:uid="{0253FD36-6E03-42A4-9659-F22DA23DE40C}">
    <sortState xmlns:xlrd2="http://schemas.microsoft.com/office/spreadsheetml/2017/richdata2" ref="A2:T2023">
      <sortCondition ref="C1:C2023"/>
    </sortState>
  </autoFilter>
  <phoneticPr fontId="3"/>
  <pageMargins left="0.7" right="0.7" top="0.75" bottom="0.75" header="0.3" footer="0.3"/>
  <pageSetup paperSize="9" orientation="portrait" horizontalDpi="4294967292" verticalDpi="4294967292" r:id="rId1"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97153E6-1C68-5F44-8460-C800BB4F3BEA}">
  <dimension ref="A1:T1092"/>
  <sheetViews>
    <sheetView workbookViewId="0">
      <pane ySplit="1" topLeftCell="A6" activePane="bottomLeft" state="frozen"/>
      <selection pane="bottomLeft" activeCell="U1" sqref="U1:BD1048576"/>
    </sheetView>
  </sheetViews>
  <sheetFormatPr baseColWidth="10" defaultColWidth="12.83203125" defaultRowHeight="14"/>
  <cols>
    <col min="1" max="1" width="12.6640625" style="1" bestFit="1" customWidth="1"/>
    <col min="2" max="2" width="9.1640625" style="1" bestFit="1" customWidth="1"/>
    <col min="3" max="3" width="13.5" style="1" bestFit="1" customWidth="1"/>
    <col min="4" max="4" width="10.1640625" style="5" bestFit="1" customWidth="1"/>
    <col min="5" max="5" width="5.6640625" style="1" bestFit="1" customWidth="1"/>
    <col min="6" max="6" width="6.5" style="1" bestFit="1" customWidth="1"/>
    <col min="7" max="7" width="4.5" style="4" bestFit="1" customWidth="1"/>
    <col min="8" max="8" width="5.6640625" style="8" bestFit="1" customWidth="1"/>
    <col min="9" max="9" width="12.6640625" style="11" bestFit="1" customWidth="1"/>
    <col min="10" max="10" width="11.6640625" style="11" bestFit="1" customWidth="1"/>
    <col min="11" max="11" width="7.6640625" style="9" bestFit="1" customWidth="1"/>
    <col min="12" max="12" width="7.6640625" style="9" customWidth="1"/>
    <col min="13" max="13" width="7.5" style="9" customWidth="1"/>
    <col min="14" max="14" width="15" style="12" bestFit="1" customWidth="1"/>
    <col min="15" max="15" width="8" style="11" bestFit="1" customWidth="1"/>
    <col min="16" max="17" width="10.5" style="7" bestFit="1" customWidth="1"/>
    <col min="18" max="18" width="16.1640625" style="1" bestFit="1" customWidth="1"/>
    <col min="19" max="19" width="10.83203125" style="1" bestFit="1" customWidth="1"/>
    <col min="20" max="20" width="10.83203125" style="1" customWidth="1"/>
    <col min="21" max="16384" width="12.83203125" style="7"/>
  </cols>
  <sheetData>
    <row r="1" spans="1:20" s="1" customFormat="1">
      <c r="A1" s="1" t="s">
        <v>163</v>
      </c>
      <c r="B1" s="1" t="s">
        <v>0</v>
      </c>
      <c r="C1" s="1" t="s">
        <v>502</v>
      </c>
      <c r="D1" s="5" t="s">
        <v>4</v>
      </c>
      <c r="E1" s="1" t="s">
        <v>275</v>
      </c>
      <c r="F1" s="1" t="s">
        <v>276</v>
      </c>
      <c r="G1" s="4" t="s">
        <v>277</v>
      </c>
      <c r="H1" s="8" t="s">
        <v>286</v>
      </c>
      <c r="I1" s="3" t="s">
        <v>7</v>
      </c>
      <c r="J1" s="3" t="s">
        <v>6</v>
      </c>
      <c r="K1" s="4" t="s">
        <v>5</v>
      </c>
      <c r="L1" s="4" t="s">
        <v>578</v>
      </c>
      <c r="M1" s="4" t="s">
        <v>290</v>
      </c>
      <c r="N1" s="2" t="s">
        <v>3</v>
      </c>
      <c r="O1" s="3" t="s">
        <v>1</v>
      </c>
      <c r="P1" s="1" t="s">
        <v>8</v>
      </c>
      <c r="Q1" s="1" t="s">
        <v>2</v>
      </c>
      <c r="R1" s="1" t="s">
        <v>278</v>
      </c>
      <c r="S1" s="1" t="s">
        <v>577</v>
      </c>
      <c r="T1" s="1" t="s">
        <v>625</v>
      </c>
    </row>
    <row r="2" spans="1:20" s="14" customFormat="1">
      <c r="A2" s="26" t="s">
        <v>174</v>
      </c>
      <c r="B2" s="26" t="s">
        <v>45</v>
      </c>
      <c r="C2" s="26" t="s">
        <v>518</v>
      </c>
      <c r="D2" s="25">
        <v>42912</v>
      </c>
      <c r="E2" s="19">
        <f>YEAR(D2)</f>
        <v>2017</v>
      </c>
      <c r="F2" s="19">
        <f>MONTH(D2)</f>
        <v>6</v>
      </c>
      <c r="G2" s="30">
        <f>DAY(D2)</f>
        <v>26</v>
      </c>
      <c r="H2" s="29" t="s">
        <v>287</v>
      </c>
      <c r="I2" s="22">
        <v>127.18116999999999</v>
      </c>
      <c r="J2" s="22">
        <v>26.782</v>
      </c>
      <c r="K2" s="27">
        <v>10</v>
      </c>
      <c r="L2" s="27">
        <v>10</v>
      </c>
      <c r="M2" s="27" t="s">
        <v>287</v>
      </c>
      <c r="N2" s="21">
        <v>27.416599999999999</v>
      </c>
      <c r="O2" s="24">
        <v>34.229799999999997</v>
      </c>
      <c r="P2" s="20">
        <v>5.4736442105263183E-2</v>
      </c>
      <c r="Q2" s="20">
        <v>0.40583944421052465</v>
      </c>
      <c r="R2" s="26" t="s">
        <v>279</v>
      </c>
      <c r="S2" s="26"/>
      <c r="T2" s="71" t="s">
        <v>626</v>
      </c>
    </row>
    <row r="3" spans="1:20" s="14" customFormat="1">
      <c r="A3" s="26" t="s">
        <v>174</v>
      </c>
      <c r="B3" s="26" t="s">
        <v>45</v>
      </c>
      <c r="C3" s="26" t="s">
        <v>518</v>
      </c>
      <c r="D3" s="25">
        <v>42912</v>
      </c>
      <c r="E3" s="19">
        <f>YEAR(D3)</f>
        <v>2017</v>
      </c>
      <c r="F3" s="19">
        <f>MONTH(D3)</f>
        <v>6</v>
      </c>
      <c r="G3" s="30">
        <f>DAY(D3)</f>
        <v>26</v>
      </c>
      <c r="H3" s="29" t="s">
        <v>287</v>
      </c>
      <c r="I3" s="22">
        <v>127.18116999999999</v>
      </c>
      <c r="J3" s="22">
        <v>26.782</v>
      </c>
      <c r="K3" s="27">
        <v>20</v>
      </c>
      <c r="L3" s="27">
        <v>20</v>
      </c>
      <c r="M3" s="27" t="s">
        <v>287</v>
      </c>
      <c r="N3" s="21">
        <v>27.217400000000001</v>
      </c>
      <c r="O3" s="24">
        <v>34.2834</v>
      </c>
      <c r="P3" s="20">
        <v>7.668248421052648E-2</v>
      </c>
      <c r="Q3" s="20">
        <v>0.48027746175438679</v>
      </c>
      <c r="R3" s="26" t="s">
        <v>279</v>
      </c>
      <c r="S3" s="26"/>
      <c r="T3" s="71" t="s">
        <v>626</v>
      </c>
    </row>
    <row r="4" spans="1:20" s="14" customFormat="1">
      <c r="A4" s="26" t="s">
        <v>174</v>
      </c>
      <c r="B4" s="26" t="s">
        <v>45</v>
      </c>
      <c r="C4" s="26" t="s">
        <v>518</v>
      </c>
      <c r="D4" s="25">
        <v>42912</v>
      </c>
      <c r="E4" s="19">
        <f>YEAR(D4)</f>
        <v>2017</v>
      </c>
      <c r="F4" s="19">
        <f>MONTH(D4)</f>
        <v>6</v>
      </c>
      <c r="G4" s="30">
        <f>DAY(D4)</f>
        <v>26</v>
      </c>
      <c r="H4" s="29" t="s">
        <v>287</v>
      </c>
      <c r="I4" s="22">
        <v>127.18116999999999</v>
      </c>
      <c r="J4" s="22">
        <v>26.782</v>
      </c>
      <c r="K4" s="27">
        <v>30</v>
      </c>
      <c r="L4" s="27">
        <v>30</v>
      </c>
      <c r="M4" s="27" t="s">
        <v>287</v>
      </c>
      <c r="N4" s="21">
        <v>26.680700000000002</v>
      </c>
      <c r="O4" s="24">
        <v>34.345999999999997</v>
      </c>
      <c r="P4" s="20">
        <v>6.3167326315789474E-2</v>
      </c>
      <c r="Q4" s="20">
        <v>0.62056475929824551</v>
      </c>
      <c r="R4" s="26" t="s">
        <v>279</v>
      </c>
      <c r="S4" s="26"/>
      <c r="T4" s="71" t="s">
        <v>626</v>
      </c>
    </row>
    <row r="5" spans="1:20" s="14" customFormat="1">
      <c r="A5" s="26"/>
      <c r="B5" s="26"/>
      <c r="C5" s="26"/>
      <c r="D5" s="25"/>
      <c r="E5" s="19"/>
      <c r="F5" s="19"/>
      <c r="G5" s="30"/>
      <c r="H5" s="29"/>
      <c r="I5" s="22"/>
      <c r="J5" s="22"/>
      <c r="K5" s="27"/>
      <c r="L5" s="27"/>
      <c r="M5" s="27"/>
      <c r="N5" s="21"/>
      <c r="O5" s="24"/>
      <c r="P5" s="20"/>
      <c r="Q5" s="20"/>
      <c r="R5" s="26"/>
      <c r="S5" s="26"/>
      <c r="T5" s="71" t="s">
        <v>626</v>
      </c>
    </row>
    <row r="6" spans="1:20" s="14" customFormat="1">
      <c r="A6" s="26" t="s">
        <v>174</v>
      </c>
      <c r="B6" s="26" t="s">
        <v>47</v>
      </c>
      <c r="C6" s="26" t="s">
        <v>518</v>
      </c>
      <c r="D6" s="25">
        <v>42908</v>
      </c>
      <c r="E6" s="19">
        <f t="shared" ref="E6:E26" si="0">YEAR(D6)</f>
        <v>2017</v>
      </c>
      <c r="F6" s="19">
        <f t="shared" ref="F6:F26" si="1">MONTH(D6)</f>
        <v>6</v>
      </c>
      <c r="G6" s="30">
        <f t="shared" ref="G6:G26" si="2">DAY(D6)</f>
        <v>22</v>
      </c>
      <c r="H6" s="29" t="s">
        <v>287</v>
      </c>
      <c r="I6" s="22">
        <v>126.0445</v>
      </c>
      <c r="J6" s="22">
        <v>26.533829999999998</v>
      </c>
      <c r="K6" s="27">
        <v>10</v>
      </c>
      <c r="L6" s="27">
        <v>10</v>
      </c>
      <c r="M6" s="27" t="s">
        <v>287</v>
      </c>
      <c r="N6" s="21">
        <v>28.55</v>
      </c>
      <c r="O6" s="24">
        <v>34.096200000000003</v>
      </c>
      <c r="P6" s="20">
        <v>2.9411610526315801E-2</v>
      </c>
      <c r="Q6" s="20">
        <v>0.13740529438596738</v>
      </c>
      <c r="R6" s="26" t="s">
        <v>279</v>
      </c>
      <c r="S6" s="26"/>
      <c r="T6" s="71" t="s">
        <v>626</v>
      </c>
    </row>
    <row r="7" spans="1:20" s="14" customFormat="1">
      <c r="A7" s="26" t="s">
        <v>174</v>
      </c>
      <c r="B7" s="26" t="s">
        <v>47</v>
      </c>
      <c r="C7" s="26" t="s">
        <v>518</v>
      </c>
      <c r="D7" s="25">
        <v>42908</v>
      </c>
      <c r="E7" s="19">
        <f t="shared" si="0"/>
        <v>2017</v>
      </c>
      <c r="F7" s="19">
        <f t="shared" si="1"/>
        <v>6</v>
      </c>
      <c r="G7" s="30">
        <f t="shared" si="2"/>
        <v>22</v>
      </c>
      <c r="H7" s="29" t="s">
        <v>287</v>
      </c>
      <c r="I7" s="22">
        <v>126.0445</v>
      </c>
      <c r="J7" s="22">
        <v>26.533829999999998</v>
      </c>
      <c r="K7" s="27">
        <v>20</v>
      </c>
      <c r="L7" s="27">
        <v>20</v>
      </c>
      <c r="M7" s="27" t="s">
        <v>287</v>
      </c>
      <c r="N7" s="21">
        <v>28.421099999999999</v>
      </c>
      <c r="O7" s="24">
        <v>34.100299999999997</v>
      </c>
      <c r="P7" s="20">
        <v>-1.1616547368421326E-2</v>
      </c>
      <c r="Q7" s="20">
        <v>0.14814981192982479</v>
      </c>
      <c r="R7" s="26" t="s">
        <v>279</v>
      </c>
      <c r="S7" s="26"/>
      <c r="T7" s="71" t="s">
        <v>626</v>
      </c>
    </row>
    <row r="8" spans="1:20" s="14" customFormat="1">
      <c r="A8" s="26" t="s">
        <v>174</v>
      </c>
      <c r="B8" s="26" t="s">
        <v>47</v>
      </c>
      <c r="C8" s="26" t="s">
        <v>518</v>
      </c>
      <c r="D8" s="25">
        <v>42908</v>
      </c>
      <c r="E8" s="19">
        <f t="shared" si="0"/>
        <v>2017</v>
      </c>
      <c r="F8" s="19">
        <f t="shared" si="1"/>
        <v>6</v>
      </c>
      <c r="G8" s="30">
        <f t="shared" si="2"/>
        <v>22</v>
      </c>
      <c r="H8" s="29" t="s">
        <v>287</v>
      </c>
      <c r="I8" s="22">
        <v>126.0445</v>
      </c>
      <c r="J8" s="22">
        <v>26.533829999999998</v>
      </c>
      <c r="K8" s="27">
        <v>30</v>
      </c>
      <c r="L8" s="27">
        <v>30</v>
      </c>
      <c r="M8" s="27" t="s">
        <v>287</v>
      </c>
      <c r="N8" s="21">
        <v>27.4603</v>
      </c>
      <c r="O8" s="24">
        <v>34.281399999999998</v>
      </c>
      <c r="P8" s="20">
        <v>7.4526494736842031E-2</v>
      </c>
      <c r="Q8" s="20">
        <v>0.6116081294736837</v>
      </c>
      <c r="R8" s="26" t="s">
        <v>279</v>
      </c>
      <c r="S8" s="26"/>
      <c r="T8" s="71" t="s">
        <v>626</v>
      </c>
    </row>
    <row r="9" spans="1:20" s="14" customFormat="1">
      <c r="A9" s="26"/>
      <c r="B9" s="26"/>
      <c r="C9" s="26"/>
      <c r="D9" s="25"/>
      <c r="E9" s="19"/>
      <c r="F9" s="19"/>
      <c r="G9" s="30"/>
      <c r="H9" s="29"/>
      <c r="I9" s="22"/>
      <c r="J9" s="22"/>
      <c r="K9" s="27"/>
      <c r="L9" s="27"/>
      <c r="M9" s="27"/>
      <c r="N9" s="21"/>
      <c r="O9" s="24"/>
      <c r="P9" s="20"/>
      <c r="Q9" s="20"/>
      <c r="R9" s="26"/>
      <c r="S9" s="26"/>
      <c r="T9" s="71" t="s">
        <v>626</v>
      </c>
    </row>
    <row r="10" spans="1:20" s="14" customFormat="1">
      <c r="A10" s="26" t="s">
        <v>174</v>
      </c>
      <c r="B10" s="26" t="s">
        <v>50</v>
      </c>
      <c r="C10" s="26" t="s">
        <v>518</v>
      </c>
      <c r="D10" s="25">
        <v>42906</v>
      </c>
      <c r="E10" s="19">
        <f t="shared" si="0"/>
        <v>2017</v>
      </c>
      <c r="F10" s="19">
        <f t="shared" si="1"/>
        <v>6</v>
      </c>
      <c r="G10" s="30">
        <f t="shared" si="2"/>
        <v>20</v>
      </c>
      <c r="H10" s="29" t="s">
        <v>287</v>
      </c>
      <c r="I10" s="22">
        <v>125.44117</v>
      </c>
      <c r="J10" s="22">
        <v>26.013829999999999</v>
      </c>
      <c r="K10" s="27">
        <v>10</v>
      </c>
      <c r="L10" s="27">
        <v>10</v>
      </c>
      <c r="M10" s="27" t="s">
        <v>287</v>
      </c>
      <c r="N10" s="21">
        <v>28.1722</v>
      </c>
      <c r="O10" s="24">
        <v>33.812100000000001</v>
      </c>
      <c r="P10" s="20">
        <v>-8.7703275294117811E-2</v>
      </c>
      <c r="Q10" s="20">
        <v>-0.35107905882352863</v>
      </c>
      <c r="R10" s="26" t="s">
        <v>279</v>
      </c>
      <c r="S10" s="26"/>
      <c r="T10" s="71" t="s">
        <v>626</v>
      </c>
    </row>
    <row r="11" spans="1:20" s="14" customFormat="1">
      <c r="A11" s="26" t="s">
        <v>174</v>
      </c>
      <c r="B11" s="26" t="s">
        <v>50</v>
      </c>
      <c r="C11" s="26" t="s">
        <v>518</v>
      </c>
      <c r="D11" s="25">
        <v>42906</v>
      </c>
      <c r="E11" s="19">
        <f t="shared" si="0"/>
        <v>2017</v>
      </c>
      <c r="F11" s="19">
        <f t="shared" si="1"/>
        <v>6</v>
      </c>
      <c r="G11" s="30">
        <f t="shared" si="2"/>
        <v>20</v>
      </c>
      <c r="H11" s="29" t="s">
        <v>287</v>
      </c>
      <c r="I11" s="22">
        <v>125.44117</v>
      </c>
      <c r="J11" s="22">
        <v>26.013829999999999</v>
      </c>
      <c r="K11" s="27">
        <v>20</v>
      </c>
      <c r="L11" s="27">
        <v>20</v>
      </c>
      <c r="M11" s="27" t="s">
        <v>287</v>
      </c>
      <c r="N11" s="21">
        <v>28.206299999999999</v>
      </c>
      <c r="O11" s="24">
        <v>34.112400000000001</v>
      </c>
      <c r="P11" s="20">
        <v>5.9821585882352757E-2</v>
      </c>
      <c r="Q11" s="20">
        <v>0.28136477647058911</v>
      </c>
      <c r="R11" s="26" t="s">
        <v>279</v>
      </c>
      <c r="S11" s="26"/>
      <c r="T11" s="71" t="s">
        <v>626</v>
      </c>
    </row>
    <row r="12" spans="1:20" s="14" customFormat="1">
      <c r="A12" s="26" t="s">
        <v>174</v>
      </c>
      <c r="B12" s="26" t="s">
        <v>50</v>
      </c>
      <c r="C12" s="26" t="s">
        <v>518</v>
      </c>
      <c r="D12" s="25">
        <v>42906</v>
      </c>
      <c r="E12" s="19">
        <f t="shared" si="0"/>
        <v>2017</v>
      </c>
      <c r="F12" s="19">
        <f t="shared" si="1"/>
        <v>6</v>
      </c>
      <c r="G12" s="30">
        <f t="shared" si="2"/>
        <v>20</v>
      </c>
      <c r="H12" s="29" t="s">
        <v>287</v>
      </c>
      <c r="I12" s="22">
        <v>125.44117</v>
      </c>
      <c r="J12" s="22">
        <v>26.013829999999999</v>
      </c>
      <c r="K12" s="27">
        <v>30</v>
      </c>
      <c r="L12" s="27">
        <v>30</v>
      </c>
      <c r="M12" s="27" t="s">
        <v>287</v>
      </c>
      <c r="N12" s="21">
        <v>28.167400000000001</v>
      </c>
      <c r="O12" s="24">
        <v>34.265999999999998</v>
      </c>
      <c r="P12" s="20">
        <v>0.16773804705882345</v>
      </c>
      <c r="Q12" s="20">
        <v>0.99635181176470766</v>
      </c>
      <c r="R12" s="26" t="s">
        <v>279</v>
      </c>
      <c r="S12" s="26"/>
      <c r="T12" s="71" t="s">
        <v>626</v>
      </c>
    </row>
    <row r="13" spans="1:20" s="14" customFormat="1">
      <c r="A13" s="26"/>
      <c r="B13" s="26"/>
      <c r="C13" s="26"/>
      <c r="D13" s="25"/>
      <c r="E13" s="19"/>
      <c r="F13" s="19"/>
      <c r="G13" s="30"/>
      <c r="H13" s="29"/>
      <c r="I13" s="22"/>
      <c r="J13" s="22"/>
      <c r="K13" s="27"/>
      <c r="L13" s="27"/>
      <c r="M13" s="27"/>
      <c r="N13" s="21"/>
      <c r="O13" s="24"/>
      <c r="P13" s="20"/>
      <c r="Q13" s="20"/>
      <c r="R13" s="26"/>
      <c r="S13" s="26"/>
      <c r="T13" s="71" t="s">
        <v>626</v>
      </c>
    </row>
    <row r="14" spans="1:20" s="14" customFormat="1">
      <c r="A14" s="26" t="s">
        <v>175</v>
      </c>
      <c r="B14" s="26" t="s">
        <v>56</v>
      </c>
      <c r="C14" s="26" t="s">
        <v>519</v>
      </c>
      <c r="D14" s="25">
        <v>42922</v>
      </c>
      <c r="E14" s="19">
        <f t="shared" si="0"/>
        <v>2017</v>
      </c>
      <c r="F14" s="19">
        <f t="shared" si="1"/>
        <v>7</v>
      </c>
      <c r="G14" s="30">
        <f t="shared" si="2"/>
        <v>6</v>
      </c>
      <c r="H14" s="29" t="s">
        <v>287</v>
      </c>
      <c r="I14" s="22">
        <v>133.21782999999999</v>
      </c>
      <c r="J14" s="22">
        <v>30.533329999999999</v>
      </c>
      <c r="K14" s="27">
        <v>10</v>
      </c>
      <c r="L14" s="27">
        <v>10</v>
      </c>
      <c r="M14" s="27" t="s">
        <v>287</v>
      </c>
      <c r="N14" s="21">
        <v>28.033899999999999</v>
      </c>
      <c r="O14" s="24">
        <v>34.128500000000003</v>
      </c>
      <c r="P14" s="20">
        <v>4.7517647058823442E-2</v>
      </c>
      <c r="Q14" s="20">
        <v>0.34183529411764901</v>
      </c>
      <c r="R14" s="26" t="s">
        <v>279</v>
      </c>
      <c r="S14" s="26"/>
      <c r="T14" s="71" t="s">
        <v>626</v>
      </c>
    </row>
    <row r="15" spans="1:20" s="14" customFormat="1">
      <c r="A15" s="26" t="s">
        <v>175</v>
      </c>
      <c r="B15" s="26" t="s">
        <v>56</v>
      </c>
      <c r="C15" s="26" t="s">
        <v>519</v>
      </c>
      <c r="D15" s="25">
        <v>42922</v>
      </c>
      <c r="E15" s="19">
        <f t="shared" si="0"/>
        <v>2017</v>
      </c>
      <c r="F15" s="19">
        <f t="shared" si="1"/>
        <v>7</v>
      </c>
      <c r="G15" s="30">
        <f t="shared" si="2"/>
        <v>6</v>
      </c>
      <c r="H15" s="29" t="s">
        <v>287</v>
      </c>
      <c r="I15" s="22">
        <v>133.21782999999999</v>
      </c>
      <c r="J15" s="22">
        <v>30.533329999999999</v>
      </c>
      <c r="K15" s="27">
        <v>20</v>
      </c>
      <c r="L15" s="27">
        <v>20</v>
      </c>
      <c r="M15" s="27" t="s">
        <v>287</v>
      </c>
      <c r="N15" s="21">
        <v>27.523800000000001</v>
      </c>
      <c r="O15" s="24">
        <v>34.319499999999998</v>
      </c>
      <c r="P15" s="20">
        <v>0.19188235294117639</v>
      </c>
      <c r="Q15" s="20">
        <v>1.1177647058823545</v>
      </c>
      <c r="R15" s="26" t="s">
        <v>279</v>
      </c>
      <c r="S15" s="26"/>
      <c r="T15" s="71" t="s">
        <v>626</v>
      </c>
    </row>
    <row r="16" spans="1:20" s="14" customFormat="1">
      <c r="A16" s="26" t="s">
        <v>175</v>
      </c>
      <c r="B16" s="26" t="s">
        <v>56</v>
      </c>
      <c r="C16" s="26" t="s">
        <v>519</v>
      </c>
      <c r="D16" s="25">
        <v>42922</v>
      </c>
      <c r="E16" s="19">
        <f t="shared" si="0"/>
        <v>2017</v>
      </c>
      <c r="F16" s="19">
        <f t="shared" si="1"/>
        <v>7</v>
      </c>
      <c r="G16" s="30">
        <f t="shared" si="2"/>
        <v>6</v>
      </c>
      <c r="H16" s="29" t="s">
        <v>287</v>
      </c>
      <c r="I16" s="22">
        <v>133.21782999999999</v>
      </c>
      <c r="J16" s="22">
        <v>30.533329999999999</v>
      </c>
      <c r="K16" s="27">
        <v>30</v>
      </c>
      <c r="L16" s="27">
        <v>30</v>
      </c>
      <c r="M16" s="27" t="s">
        <v>287</v>
      </c>
      <c r="N16" s="21">
        <v>24.9679</v>
      </c>
      <c r="O16" s="24">
        <v>34.755800000000001</v>
      </c>
      <c r="P16" s="20">
        <v>0.30664705882352927</v>
      </c>
      <c r="Q16" s="20">
        <v>1.7422941176470594</v>
      </c>
      <c r="R16" s="26" t="s">
        <v>279</v>
      </c>
      <c r="S16" s="26"/>
      <c r="T16" s="71" t="s">
        <v>626</v>
      </c>
    </row>
    <row r="17" spans="1:20" s="14" customFormat="1">
      <c r="A17" s="26"/>
      <c r="B17" s="26"/>
      <c r="C17" s="26"/>
      <c r="D17" s="25"/>
      <c r="E17" s="19"/>
      <c r="F17" s="19"/>
      <c r="G17" s="30"/>
      <c r="H17" s="29"/>
      <c r="I17" s="22"/>
      <c r="J17" s="22"/>
      <c r="K17" s="27"/>
      <c r="L17" s="27"/>
      <c r="M17" s="27"/>
      <c r="N17" s="21"/>
      <c r="O17" s="24"/>
      <c r="P17" s="20"/>
      <c r="Q17" s="20"/>
      <c r="R17" s="26"/>
      <c r="S17" s="26"/>
      <c r="T17" s="71" t="s">
        <v>626</v>
      </c>
    </row>
    <row r="18" spans="1:20" s="14" customFormat="1">
      <c r="A18" s="26" t="s">
        <v>175</v>
      </c>
      <c r="B18" s="26" t="s">
        <v>59</v>
      </c>
      <c r="C18" s="26" t="s">
        <v>519</v>
      </c>
      <c r="D18" s="25">
        <v>42925</v>
      </c>
      <c r="E18" s="19">
        <f t="shared" si="0"/>
        <v>2017</v>
      </c>
      <c r="F18" s="19">
        <f t="shared" si="1"/>
        <v>7</v>
      </c>
      <c r="G18" s="30">
        <f t="shared" si="2"/>
        <v>9</v>
      </c>
      <c r="H18" s="29" t="s">
        <v>287</v>
      </c>
      <c r="I18" s="22">
        <v>132.44732999999999</v>
      </c>
      <c r="J18" s="22">
        <v>32.300170000000001</v>
      </c>
      <c r="K18" s="27">
        <v>10</v>
      </c>
      <c r="L18" s="27">
        <v>10</v>
      </c>
      <c r="M18" s="27" t="s">
        <v>287</v>
      </c>
      <c r="N18" s="21">
        <v>25.670300000000001</v>
      </c>
      <c r="O18" s="24">
        <v>34.045099999999998</v>
      </c>
      <c r="P18" s="20">
        <v>6.1235294117646832E-2</v>
      </c>
      <c r="Q18" s="20">
        <v>0.11607058823529393</v>
      </c>
      <c r="R18" s="26" t="s">
        <v>279</v>
      </c>
      <c r="S18" s="26"/>
      <c r="T18" s="71" t="s">
        <v>626</v>
      </c>
    </row>
    <row r="19" spans="1:20" s="14" customFormat="1">
      <c r="A19" s="26" t="s">
        <v>175</v>
      </c>
      <c r="B19" s="26" t="s">
        <v>59</v>
      </c>
      <c r="C19" s="26" t="s">
        <v>519</v>
      </c>
      <c r="D19" s="25">
        <v>42925</v>
      </c>
      <c r="E19" s="19">
        <f t="shared" si="0"/>
        <v>2017</v>
      </c>
      <c r="F19" s="19">
        <f t="shared" si="1"/>
        <v>7</v>
      </c>
      <c r="G19" s="30">
        <f t="shared" si="2"/>
        <v>9</v>
      </c>
      <c r="H19" s="29" t="s">
        <v>287</v>
      </c>
      <c r="I19" s="22">
        <v>132.44732999999999</v>
      </c>
      <c r="J19" s="22">
        <v>32.300170000000001</v>
      </c>
      <c r="K19" s="27">
        <v>20</v>
      </c>
      <c r="L19" s="27">
        <v>20</v>
      </c>
      <c r="M19" s="27" t="s">
        <v>287</v>
      </c>
      <c r="N19" s="21">
        <v>24.0245</v>
      </c>
      <c r="O19" s="24">
        <v>34.264000000000003</v>
      </c>
      <c r="P19" s="20">
        <v>6.9199999999999706E-2</v>
      </c>
      <c r="Q19" s="20">
        <v>0.72180000000000177</v>
      </c>
      <c r="R19" s="26" t="s">
        <v>279</v>
      </c>
      <c r="S19" s="26"/>
      <c r="T19" s="71" t="s">
        <v>626</v>
      </c>
    </row>
    <row r="20" spans="1:20" s="14" customFormat="1">
      <c r="A20" s="26" t="s">
        <v>175</v>
      </c>
      <c r="B20" s="26" t="s">
        <v>59</v>
      </c>
      <c r="C20" s="26" t="s">
        <v>519</v>
      </c>
      <c r="D20" s="25">
        <v>42925</v>
      </c>
      <c r="E20" s="19">
        <f t="shared" si="0"/>
        <v>2017</v>
      </c>
      <c r="F20" s="19">
        <f t="shared" si="1"/>
        <v>7</v>
      </c>
      <c r="G20" s="30">
        <f t="shared" si="2"/>
        <v>9</v>
      </c>
      <c r="H20" s="29" t="s">
        <v>287</v>
      </c>
      <c r="I20" s="22">
        <v>132.44732999999999</v>
      </c>
      <c r="J20" s="22">
        <v>32.300170000000001</v>
      </c>
      <c r="K20" s="27">
        <v>30</v>
      </c>
      <c r="L20" s="27">
        <v>30</v>
      </c>
      <c r="M20" s="27" t="s">
        <v>287</v>
      </c>
      <c r="N20" s="21">
        <v>22.110299999999999</v>
      </c>
      <c r="O20" s="24">
        <v>34.535899999999998</v>
      </c>
      <c r="P20" s="20">
        <v>0.1876074166666668</v>
      </c>
      <c r="Q20" s="20">
        <v>1.400079400000001</v>
      </c>
      <c r="R20" s="26" t="s">
        <v>279</v>
      </c>
      <c r="S20" s="26"/>
      <c r="T20" s="71" t="s">
        <v>626</v>
      </c>
    </row>
    <row r="21" spans="1:20" s="14" customFormat="1">
      <c r="A21" s="26"/>
      <c r="B21" s="26"/>
      <c r="C21" s="26"/>
      <c r="D21" s="25"/>
      <c r="E21" s="19"/>
      <c r="F21" s="19"/>
      <c r="G21" s="30"/>
      <c r="H21" s="29"/>
      <c r="I21" s="22"/>
      <c r="J21" s="22"/>
      <c r="K21" s="27"/>
      <c r="L21" s="27"/>
      <c r="M21" s="27"/>
      <c r="N21" s="21"/>
      <c r="O21" s="24"/>
      <c r="P21" s="20"/>
      <c r="Q21" s="20"/>
      <c r="R21" s="26"/>
      <c r="S21" s="26"/>
      <c r="T21" s="71"/>
    </row>
    <row r="22" spans="1:20" s="14" customFormat="1">
      <c r="A22" s="26" t="s">
        <v>176</v>
      </c>
      <c r="B22" s="26">
        <v>37</v>
      </c>
      <c r="C22" s="26" t="s">
        <v>509</v>
      </c>
      <c r="D22" s="25">
        <v>42947</v>
      </c>
      <c r="E22" s="19">
        <f t="shared" si="0"/>
        <v>2017</v>
      </c>
      <c r="F22" s="19">
        <f t="shared" si="1"/>
        <v>7</v>
      </c>
      <c r="G22" s="30">
        <f t="shared" si="2"/>
        <v>31</v>
      </c>
      <c r="H22" s="29" t="s">
        <v>287</v>
      </c>
      <c r="I22" s="22">
        <v>135.29465999999999</v>
      </c>
      <c r="J22" s="22">
        <v>37.296329999999998</v>
      </c>
      <c r="K22" s="27">
        <v>10</v>
      </c>
      <c r="L22" s="27">
        <v>10</v>
      </c>
      <c r="M22" s="27" t="s">
        <v>287</v>
      </c>
      <c r="N22" s="21">
        <v>26.383400000000002</v>
      </c>
      <c r="O22" s="24">
        <v>33.924700000000001</v>
      </c>
      <c r="P22" s="20">
        <v>-5.4947192941176226E-2</v>
      </c>
      <c r="Q22" s="20">
        <v>-0.3568303847058818</v>
      </c>
      <c r="R22" s="26" t="s">
        <v>279</v>
      </c>
      <c r="S22" s="26">
        <v>1</v>
      </c>
      <c r="T22" s="71" t="s">
        <v>626</v>
      </c>
    </row>
    <row r="23" spans="1:20" s="14" customFormat="1">
      <c r="A23" s="26" t="s">
        <v>176</v>
      </c>
      <c r="B23" s="26">
        <v>37</v>
      </c>
      <c r="C23" s="26" t="s">
        <v>509</v>
      </c>
      <c r="D23" s="25">
        <v>42947</v>
      </c>
      <c r="E23" s="19">
        <f t="shared" si="0"/>
        <v>2017</v>
      </c>
      <c r="F23" s="19">
        <f t="shared" si="1"/>
        <v>7</v>
      </c>
      <c r="G23" s="30">
        <f t="shared" si="2"/>
        <v>31</v>
      </c>
      <c r="H23" s="29" t="s">
        <v>287</v>
      </c>
      <c r="I23" s="22">
        <v>135.29465999999999</v>
      </c>
      <c r="J23" s="22">
        <v>37.296329999999998</v>
      </c>
      <c r="K23" s="27">
        <v>50</v>
      </c>
      <c r="L23" s="27">
        <v>50</v>
      </c>
      <c r="M23" s="27" t="s">
        <v>287</v>
      </c>
      <c r="N23" s="21">
        <v>17.1769</v>
      </c>
      <c r="O23" s="24">
        <v>34.601799999999997</v>
      </c>
      <c r="P23" s="20">
        <v>0.17740122588235341</v>
      </c>
      <c r="Q23" s="20">
        <v>1.0253188494117644</v>
      </c>
      <c r="R23" s="26" t="s">
        <v>279</v>
      </c>
      <c r="S23" s="26">
        <v>1</v>
      </c>
      <c r="T23" s="71" t="s">
        <v>626</v>
      </c>
    </row>
    <row r="24" spans="1:20" s="14" customFormat="1">
      <c r="A24" s="26" t="s">
        <v>176</v>
      </c>
      <c r="B24" s="26">
        <v>37</v>
      </c>
      <c r="C24" s="26" t="s">
        <v>509</v>
      </c>
      <c r="D24" s="25">
        <v>42947</v>
      </c>
      <c r="E24" s="19">
        <f t="shared" si="0"/>
        <v>2017</v>
      </c>
      <c r="F24" s="19">
        <f t="shared" si="1"/>
        <v>7</v>
      </c>
      <c r="G24" s="30">
        <f t="shared" si="2"/>
        <v>31</v>
      </c>
      <c r="H24" s="29" t="s">
        <v>287</v>
      </c>
      <c r="I24" s="22">
        <v>135.29465999999999</v>
      </c>
      <c r="J24" s="22">
        <v>37.296329999999998</v>
      </c>
      <c r="K24" s="27">
        <v>100</v>
      </c>
      <c r="L24" s="27">
        <v>100</v>
      </c>
      <c r="M24" s="27" t="s">
        <v>287</v>
      </c>
      <c r="N24" s="21">
        <v>12.387700000000001</v>
      </c>
      <c r="O24" s="24">
        <v>34.395699999999998</v>
      </c>
      <c r="P24" s="20">
        <v>0.15708328117647063</v>
      </c>
      <c r="Q24" s="20">
        <v>0.70784994588235328</v>
      </c>
      <c r="R24" s="26" t="s">
        <v>279</v>
      </c>
      <c r="S24" s="26">
        <v>1</v>
      </c>
      <c r="T24" s="71" t="s">
        <v>626</v>
      </c>
    </row>
    <row r="25" spans="1:20" s="14" customFormat="1">
      <c r="A25" s="26" t="s">
        <v>176</v>
      </c>
      <c r="B25" s="26">
        <v>37</v>
      </c>
      <c r="C25" s="26" t="s">
        <v>509</v>
      </c>
      <c r="D25" s="25">
        <v>42947</v>
      </c>
      <c r="E25" s="19">
        <f t="shared" si="0"/>
        <v>2017</v>
      </c>
      <c r="F25" s="19">
        <f t="shared" si="1"/>
        <v>7</v>
      </c>
      <c r="G25" s="30">
        <f t="shared" si="2"/>
        <v>31</v>
      </c>
      <c r="H25" s="29" t="s">
        <v>287</v>
      </c>
      <c r="I25" s="22">
        <v>135.29465999999999</v>
      </c>
      <c r="J25" s="22">
        <v>37.296329999999998</v>
      </c>
      <c r="K25" s="27">
        <v>150</v>
      </c>
      <c r="L25" s="27">
        <v>150</v>
      </c>
      <c r="M25" s="27" t="s">
        <v>287</v>
      </c>
      <c r="N25" s="21">
        <v>6.1839000000000004</v>
      </c>
      <c r="O25" s="24">
        <v>34.050400000000003</v>
      </c>
      <c r="P25" s="20">
        <v>2.9812440000000162E-2</v>
      </c>
      <c r="Q25" s="20">
        <v>-0.2591254799999998</v>
      </c>
      <c r="R25" s="26" t="s">
        <v>279</v>
      </c>
      <c r="S25" s="26">
        <v>1</v>
      </c>
      <c r="T25" s="71" t="s">
        <v>626</v>
      </c>
    </row>
    <row r="26" spans="1:20" s="14" customFormat="1">
      <c r="A26" s="26" t="s">
        <v>176</v>
      </c>
      <c r="B26" s="26">
        <v>37</v>
      </c>
      <c r="C26" s="26" t="s">
        <v>509</v>
      </c>
      <c r="D26" s="25">
        <v>42947</v>
      </c>
      <c r="E26" s="19">
        <f t="shared" si="0"/>
        <v>2017</v>
      </c>
      <c r="F26" s="19">
        <f t="shared" si="1"/>
        <v>7</v>
      </c>
      <c r="G26" s="30">
        <f t="shared" si="2"/>
        <v>31</v>
      </c>
      <c r="H26" s="29" t="s">
        <v>287</v>
      </c>
      <c r="I26" s="22">
        <v>135.29465999999999</v>
      </c>
      <c r="J26" s="22">
        <v>37.296329999999998</v>
      </c>
      <c r="K26" s="27">
        <v>200</v>
      </c>
      <c r="L26" s="27">
        <v>200</v>
      </c>
      <c r="M26" s="27" t="s">
        <v>287</v>
      </c>
      <c r="N26" s="21">
        <v>2.2143000000000002</v>
      </c>
      <c r="O26" s="24">
        <v>33.985100000000003</v>
      </c>
      <c r="P26" s="20">
        <v>-3.6446811764700993E-3</v>
      </c>
      <c r="Q26" s="20">
        <v>-0.7489870058823529</v>
      </c>
      <c r="R26" s="26" t="s">
        <v>279</v>
      </c>
      <c r="S26" s="26">
        <v>1</v>
      </c>
      <c r="T26" s="71" t="s">
        <v>626</v>
      </c>
    </row>
    <row r="27" spans="1:20" s="14" customFormat="1">
      <c r="A27" s="26"/>
      <c r="B27" s="26"/>
      <c r="C27" s="26"/>
      <c r="D27" s="25"/>
      <c r="E27" s="19"/>
      <c r="F27" s="19"/>
      <c r="G27" s="30"/>
      <c r="H27" s="29"/>
      <c r="I27" s="22"/>
      <c r="J27" s="22"/>
      <c r="K27" s="27"/>
      <c r="L27" s="27"/>
      <c r="M27" s="27"/>
      <c r="N27" s="21"/>
      <c r="O27" s="24"/>
      <c r="P27" s="20"/>
      <c r="Q27" s="20"/>
      <c r="R27" s="26"/>
      <c r="S27" s="26"/>
      <c r="T27" s="71"/>
    </row>
    <row r="28" spans="1:20">
      <c r="A28" s="26" t="s">
        <v>137</v>
      </c>
      <c r="B28" s="26">
        <v>16</v>
      </c>
      <c r="C28" s="26" t="s">
        <v>506</v>
      </c>
      <c r="D28" s="25">
        <v>42289</v>
      </c>
      <c r="E28" s="1">
        <f t="shared" ref="E28:E78" si="3">YEAR(D28)</f>
        <v>2015</v>
      </c>
      <c r="F28" s="1">
        <f t="shared" ref="F28:F78" si="4">MONTH(D28)</f>
        <v>10</v>
      </c>
      <c r="G28" s="4">
        <f t="shared" ref="G28:G78" si="5">DAY(D28)</f>
        <v>12</v>
      </c>
      <c r="H28" s="8">
        <v>0.99722222222222223</v>
      </c>
      <c r="I28" s="22">
        <v>125.25521666666667</v>
      </c>
      <c r="J28" s="22">
        <v>31.754016666666665</v>
      </c>
      <c r="K28" s="27">
        <v>0</v>
      </c>
      <c r="L28" s="27">
        <v>0</v>
      </c>
      <c r="M28" s="27">
        <v>0</v>
      </c>
      <c r="N28" s="21">
        <v>22.3</v>
      </c>
      <c r="O28" s="24">
        <v>31.178149427791102</v>
      </c>
      <c r="P28" s="31">
        <v>-0.5</v>
      </c>
      <c r="Q28" s="31">
        <v>-4.04</v>
      </c>
      <c r="R28" s="26" t="s">
        <v>280</v>
      </c>
      <c r="S28" s="26">
        <v>1</v>
      </c>
      <c r="T28" s="71" t="s">
        <v>626</v>
      </c>
    </row>
    <row r="29" spans="1:20">
      <c r="A29" s="26" t="s">
        <v>137</v>
      </c>
      <c r="B29" s="26">
        <v>16</v>
      </c>
      <c r="C29" s="26" t="s">
        <v>506</v>
      </c>
      <c r="D29" s="25">
        <v>42289</v>
      </c>
      <c r="E29" s="1">
        <f t="shared" si="3"/>
        <v>2015</v>
      </c>
      <c r="F29" s="1">
        <f t="shared" si="4"/>
        <v>10</v>
      </c>
      <c r="G29" s="4">
        <f t="shared" si="5"/>
        <v>12</v>
      </c>
      <c r="H29" s="8">
        <v>0.99722222222222223</v>
      </c>
      <c r="I29" s="22">
        <v>125.25521666666667</v>
      </c>
      <c r="J29" s="22">
        <v>31.754016666666665</v>
      </c>
      <c r="K29" s="27">
        <v>10</v>
      </c>
      <c r="L29" s="27">
        <v>10</v>
      </c>
      <c r="M29" s="27" t="s">
        <v>287</v>
      </c>
      <c r="N29" s="21">
        <v>22.464600000000001</v>
      </c>
      <c r="O29" s="24">
        <v>31.1572</v>
      </c>
      <c r="P29" s="31">
        <v>-0.51</v>
      </c>
      <c r="Q29" s="31">
        <v>-3.99</v>
      </c>
      <c r="R29" s="26" t="s">
        <v>280</v>
      </c>
      <c r="S29" s="26">
        <v>1</v>
      </c>
      <c r="T29" s="71" t="s">
        <v>626</v>
      </c>
    </row>
    <row r="30" spans="1:20">
      <c r="A30" s="26" t="s">
        <v>137</v>
      </c>
      <c r="B30" s="26">
        <v>16</v>
      </c>
      <c r="C30" s="26" t="s">
        <v>506</v>
      </c>
      <c r="D30" s="25">
        <v>42289</v>
      </c>
      <c r="E30" s="1">
        <f t="shared" si="3"/>
        <v>2015</v>
      </c>
      <c r="F30" s="1">
        <f t="shared" si="4"/>
        <v>10</v>
      </c>
      <c r="G30" s="4">
        <f t="shared" si="5"/>
        <v>12</v>
      </c>
      <c r="H30" s="8">
        <v>0.99722222222222223</v>
      </c>
      <c r="I30" s="22">
        <v>125.25521666666667</v>
      </c>
      <c r="J30" s="22">
        <v>31.754016666666665</v>
      </c>
      <c r="K30" s="27">
        <v>20</v>
      </c>
      <c r="L30" s="27">
        <v>20</v>
      </c>
      <c r="M30" s="27" t="s">
        <v>287</v>
      </c>
      <c r="N30" s="21">
        <v>22.513000000000002</v>
      </c>
      <c r="O30" s="24">
        <v>31.287099999999999</v>
      </c>
      <c r="P30" s="31">
        <v>-0.5</v>
      </c>
      <c r="Q30" s="31">
        <v>-3.97</v>
      </c>
      <c r="R30" s="26" t="s">
        <v>280</v>
      </c>
      <c r="S30" s="26">
        <v>1</v>
      </c>
      <c r="T30" s="71" t="s">
        <v>626</v>
      </c>
    </row>
    <row r="31" spans="1:20">
      <c r="A31" s="26" t="s">
        <v>137</v>
      </c>
      <c r="B31" s="26">
        <v>16</v>
      </c>
      <c r="C31" s="26" t="s">
        <v>506</v>
      </c>
      <c r="D31" s="25">
        <v>42289</v>
      </c>
      <c r="E31" s="1">
        <f t="shared" si="3"/>
        <v>2015</v>
      </c>
      <c r="F31" s="1">
        <f t="shared" si="4"/>
        <v>10</v>
      </c>
      <c r="G31" s="4">
        <f t="shared" si="5"/>
        <v>12</v>
      </c>
      <c r="H31" s="8">
        <v>0.99722222222222223</v>
      </c>
      <c r="I31" s="22">
        <v>125.25521666666667</v>
      </c>
      <c r="J31" s="22">
        <v>31.754016666666665</v>
      </c>
      <c r="K31" s="27">
        <v>30</v>
      </c>
      <c r="L31" s="27">
        <v>30</v>
      </c>
      <c r="M31" s="27" t="s">
        <v>287</v>
      </c>
      <c r="N31" s="21">
        <v>22.820399999999999</v>
      </c>
      <c r="O31" s="24">
        <v>31.843499999999999</v>
      </c>
      <c r="P31" s="31">
        <v>-0.34</v>
      </c>
      <c r="Q31" s="31">
        <v>-3.05</v>
      </c>
      <c r="R31" s="26" t="s">
        <v>280</v>
      </c>
      <c r="S31" s="26">
        <v>1</v>
      </c>
      <c r="T31" s="71" t="s">
        <v>626</v>
      </c>
    </row>
    <row r="32" spans="1:20">
      <c r="A32" s="26" t="s">
        <v>137</v>
      </c>
      <c r="B32" s="26">
        <v>16</v>
      </c>
      <c r="C32" s="26" t="s">
        <v>506</v>
      </c>
      <c r="D32" s="25">
        <v>42289</v>
      </c>
      <c r="E32" s="1">
        <f t="shared" si="3"/>
        <v>2015</v>
      </c>
      <c r="F32" s="1">
        <f t="shared" si="4"/>
        <v>10</v>
      </c>
      <c r="G32" s="4">
        <f t="shared" si="5"/>
        <v>12</v>
      </c>
      <c r="H32" s="8">
        <v>0.99722222222222223</v>
      </c>
      <c r="I32" s="22">
        <v>125.25521666666667</v>
      </c>
      <c r="J32" s="22">
        <v>31.754016666666665</v>
      </c>
      <c r="K32" s="27">
        <v>43</v>
      </c>
      <c r="L32" s="27">
        <v>43</v>
      </c>
      <c r="M32" s="27" t="s">
        <v>287</v>
      </c>
      <c r="N32" s="21">
        <v>22.667100000000001</v>
      </c>
      <c r="O32" s="24">
        <v>31.988900000000001</v>
      </c>
      <c r="P32" s="31">
        <v>-0.28999999999999998</v>
      </c>
      <c r="Q32" s="31">
        <v>-2.74</v>
      </c>
      <c r="R32" s="26" t="s">
        <v>280</v>
      </c>
      <c r="S32" s="26">
        <v>1</v>
      </c>
      <c r="T32" s="71" t="s">
        <v>626</v>
      </c>
    </row>
    <row r="33" spans="1:20">
      <c r="A33" s="26"/>
      <c r="B33" s="26"/>
      <c r="C33" s="26"/>
      <c r="D33" s="25"/>
      <c r="I33" s="22"/>
      <c r="J33" s="22"/>
      <c r="K33" s="27"/>
      <c r="L33" s="27"/>
      <c r="M33" s="27"/>
      <c r="N33" s="21"/>
      <c r="O33" s="24"/>
      <c r="P33" s="31"/>
      <c r="Q33" s="31"/>
      <c r="R33" s="26"/>
      <c r="S33" s="26"/>
      <c r="T33" s="71"/>
    </row>
    <row r="34" spans="1:20">
      <c r="A34" s="26" t="s">
        <v>137</v>
      </c>
      <c r="B34" s="26">
        <v>24</v>
      </c>
      <c r="C34" s="26" t="s">
        <v>506</v>
      </c>
      <c r="D34" s="25">
        <v>42290</v>
      </c>
      <c r="E34" s="1">
        <f t="shared" si="3"/>
        <v>2015</v>
      </c>
      <c r="F34" s="1">
        <f t="shared" si="4"/>
        <v>10</v>
      </c>
      <c r="G34" s="4">
        <f t="shared" si="5"/>
        <v>13</v>
      </c>
      <c r="H34" s="8">
        <v>0.65</v>
      </c>
      <c r="I34" s="22">
        <v>127.25136666666667</v>
      </c>
      <c r="J34" s="22">
        <v>31.750166666666665</v>
      </c>
      <c r="K34" s="27">
        <v>0</v>
      </c>
      <c r="L34" s="27">
        <v>0</v>
      </c>
      <c r="M34" s="27">
        <v>0</v>
      </c>
      <c r="N34" s="21">
        <v>24.1</v>
      </c>
      <c r="O34" s="24">
        <v>34.13547244601142</v>
      </c>
      <c r="P34" s="31">
        <v>0.25</v>
      </c>
      <c r="Q34" s="31">
        <v>0.85</v>
      </c>
      <c r="R34" s="26" t="s">
        <v>280</v>
      </c>
      <c r="S34" s="26">
        <v>1</v>
      </c>
      <c r="T34" s="71" t="s">
        <v>626</v>
      </c>
    </row>
    <row r="35" spans="1:20">
      <c r="A35" s="26" t="s">
        <v>137</v>
      </c>
      <c r="B35" s="26">
        <v>24</v>
      </c>
      <c r="C35" s="26" t="s">
        <v>506</v>
      </c>
      <c r="D35" s="25">
        <v>42290</v>
      </c>
      <c r="E35" s="1">
        <f t="shared" si="3"/>
        <v>2015</v>
      </c>
      <c r="F35" s="1">
        <f t="shared" si="4"/>
        <v>10</v>
      </c>
      <c r="G35" s="4">
        <f t="shared" si="5"/>
        <v>13</v>
      </c>
      <c r="H35" s="8">
        <v>0.65</v>
      </c>
      <c r="I35" s="22">
        <v>127.25136666666667</v>
      </c>
      <c r="J35" s="22">
        <v>31.750166666666665</v>
      </c>
      <c r="K35" s="27">
        <v>10</v>
      </c>
      <c r="L35" s="27">
        <v>10</v>
      </c>
      <c r="M35" s="27" t="s">
        <v>287</v>
      </c>
      <c r="N35" s="21">
        <v>24.9053</v>
      </c>
      <c r="O35" s="24">
        <v>34.120400000000004</v>
      </c>
      <c r="P35" s="31">
        <v>0.26</v>
      </c>
      <c r="Q35" s="31">
        <v>0.86</v>
      </c>
      <c r="R35" s="26" t="s">
        <v>280</v>
      </c>
      <c r="S35" s="26">
        <v>1</v>
      </c>
      <c r="T35" s="71" t="s">
        <v>626</v>
      </c>
    </row>
    <row r="36" spans="1:20">
      <c r="A36" s="26" t="s">
        <v>137</v>
      </c>
      <c r="B36" s="26">
        <v>24</v>
      </c>
      <c r="C36" s="26" t="s">
        <v>506</v>
      </c>
      <c r="D36" s="25">
        <v>42290</v>
      </c>
      <c r="E36" s="1">
        <f t="shared" si="3"/>
        <v>2015</v>
      </c>
      <c r="F36" s="1">
        <f t="shared" si="4"/>
        <v>10</v>
      </c>
      <c r="G36" s="4">
        <f t="shared" si="5"/>
        <v>13</v>
      </c>
      <c r="H36" s="8">
        <v>0.65</v>
      </c>
      <c r="I36" s="22">
        <v>127.25136666666667</v>
      </c>
      <c r="J36" s="22">
        <v>31.750166666666665</v>
      </c>
      <c r="K36" s="27">
        <v>20</v>
      </c>
      <c r="L36" s="27">
        <v>20</v>
      </c>
      <c r="M36" s="27" t="s">
        <v>287</v>
      </c>
      <c r="N36" s="21">
        <v>24.906700000000001</v>
      </c>
      <c r="O36" s="24">
        <v>34.1205</v>
      </c>
      <c r="P36" s="31">
        <v>0.24</v>
      </c>
      <c r="Q36" s="31">
        <v>0.75</v>
      </c>
      <c r="R36" s="26" t="s">
        <v>280</v>
      </c>
      <c r="S36" s="26">
        <v>1</v>
      </c>
      <c r="T36" s="71" t="s">
        <v>626</v>
      </c>
    </row>
    <row r="37" spans="1:20">
      <c r="A37" s="26" t="s">
        <v>137</v>
      </c>
      <c r="B37" s="26">
        <v>24</v>
      </c>
      <c r="C37" s="26" t="s">
        <v>506</v>
      </c>
      <c r="D37" s="25">
        <v>42290</v>
      </c>
      <c r="E37" s="1">
        <f t="shared" si="3"/>
        <v>2015</v>
      </c>
      <c r="F37" s="1">
        <f t="shared" si="4"/>
        <v>10</v>
      </c>
      <c r="G37" s="4">
        <f t="shared" si="5"/>
        <v>13</v>
      </c>
      <c r="H37" s="8">
        <v>0.65</v>
      </c>
      <c r="I37" s="22">
        <v>127.25136666666667</v>
      </c>
      <c r="J37" s="22">
        <v>31.750166666666665</v>
      </c>
      <c r="K37" s="27">
        <v>30</v>
      </c>
      <c r="L37" s="27">
        <v>30</v>
      </c>
      <c r="M37" s="27" t="s">
        <v>287</v>
      </c>
      <c r="N37" s="21">
        <v>24.909300000000002</v>
      </c>
      <c r="O37" s="24">
        <v>34.125</v>
      </c>
      <c r="P37" s="31">
        <v>0.27</v>
      </c>
      <c r="Q37" s="31">
        <v>1</v>
      </c>
      <c r="R37" s="26" t="s">
        <v>280</v>
      </c>
      <c r="S37" s="26">
        <v>1</v>
      </c>
      <c r="T37" s="71" t="s">
        <v>626</v>
      </c>
    </row>
    <row r="38" spans="1:20">
      <c r="A38" s="26" t="s">
        <v>137</v>
      </c>
      <c r="B38" s="26">
        <v>24</v>
      </c>
      <c r="C38" s="26" t="s">
        <v>506</v>
      </c>
      <c r="D38" s="25">
        <v>42290</v>
      </c>
      <c r="E38" s="1">
        <f t="shared" si="3"/>
        <v>2015</v>
      </c>
      <c r="F38" s="1">
        <f t="shared" si="4"/>
        <v>10</v>
      </c>
      <c r="G38" s="4">
        <f t="shared" si="5"/>
        <v>13</v>
      </c>
      <c r="H38" s="8">
        <v>0.65</v>
      </c>
      <c r="I38" s="22">
        <v>127.25136666666667</v>
      </c>
      <c r="J38" s="22">
        <v>31.750166666666665</v>
      </c>
      <c r="K38" s="27">
        <v>50</v>
      </c>
      <c r="L38" s="27">
        <v>50</v>
      </c>
      <c r="M38" s="27" t="s">
        <v>287</v>
      </c>
      <c r="N38" s="21">
        <v>24.874400000000001</v>
      </c>
      <c r="O38" s="24">
        <v>34.168100000000003</v>
      </c>
      <c r="P38" s="31">
        <v>0.23</v>
      </c>
      <c r="Q38" s="31">
        <v>0.92</v>
      </c>
      <c r="R38" s="26" t="s">
        <v>280</v>
      </c>
      <c r="S38" s="26">
        <v>1</v>
      </c>
      <c r="T38" s="71" t="s">
        <v>626</v>
      </c>
    </row>
    <row r="39" spans="1:20">
      <c r="A39" s="26" t="s">
        <v>137</v>
      </c>
      <c r="B39" s="26">
        <v>24</v>
      </c>
      <c r="C39" s="26" t="s">
        <v>506</v>
      </c>
      <c r="D39" s="25">
        <v>42290</v>
      </c>
      <c r="E39" s="1">
        <f t="shared" si="3"/>
        <v>2015</v>
      </c>
      <c r="F39" s="1">
        <f t="shared" si="4"/>
        <v>10</v>
      </c>
      <c r="G39" s="4">
        <f t="shared" si="5"/>
        <v>13</v>
      </c>
      <c r="H39" s="8">
        <v>0.65</v>
      </c>
      <c r="I39" s="22">
        <v>127.25136666666667</v>
      </c>
      <c r="J39" s="22">
        <v>31.750166666666665</v>
      </c>
      <c r="K39" s="27">
        <v>75</v>
      </c>
      <c r="L39" s="27">
        <v>75</v>
      </c>
      <c r="M39" s="27" t="s">
        <v>287</v>
      </c>
      <c r="N39" s="21">
        <v>18.909700000000001</v>
      </c>
      <c r="O39" s="24">
        <v>34.446100000000001</v>
      </c>
      <c r="P39" s="31">
        <v>0.31</v>
      </c>
      <c r="Q39" s="31">
        <v>1.55</v>
      </c>
      <c r="R39" s="26" t="s">
        <v>280</v>
      </c>
      <c r="S39" s="26">
        <v>1</v>
      </c>
      <c r="T39" s="71" t="s">
        <v>626</v>
      </c>
    </row>
    <row r="40" spans="1:20">
      <c r="A40" s="26" t="s">
        <v>137</v>
      </c>
      <c r="B40" s="26">
        <v>24</v>
      </c>
      <c r="C40" s="26" t="s">
        <v>506</v>
      </c>
      <c r="D40" s="25">
        <v>42290</v>
      </c>
      <c r="E40" s="1">
        <f t="shared" si="3"/>
        <v>2015</v>
      </c>
      <c r="F40" s="1">
        <f t="shared" si="4"/>
        <v>10</v>
      </c>
      <c r="G40" s="4">
        <f t="shared" si="5"/>
        <v>13</v>
      </c>
      <c r="H40" s="8">
        <v>0.65</v>
      </c>
      <c r="I40" s="22">
        <v>127.25136666666667</v>
      </c>
      <c r="J40" s="22">
        <v>31.750166666666665</v>
      </c>
      <c r="K40" s="27">
        <v>100</v>
      </c>
      <c r="L40" s="27">
        <v>100</v>
      </c>
      <c r="M40" s="27" t="s">
        <v>287</v>
      </c>
      <c r="N40" s="21">
        <v>16.4177</v>
      </c>
      <c r="O40" s="24">
        <v>34.591200000000001</v>
      </c>
      <c r="P40" s="31">
        <v>0.33</v>
      </c>
      <c r="Q40" s="31">
        <v>1.6</v>
      </c>
      <c r="R40" s="26" t="s">
        <v>280</v>
      </c>
      <c r="S40" s="26">
        <v>1</v>
      </c>
      <c r="T40" s="71" t="s">
        <v>626</v>
      </c>
    </row>
    <row r="41" spans="1:20">
      <c r="A41" s="26" t="s">
        <v>137</v>
      </c>
      <c r="B41" s="26">
        <v>24</v>
      </c>
      <c r="C41" s="26" t="s">
        <v>506</v>
      </c>
      <c r="D41" s="25">
        <v>42290</v>
      </c>
      <c r="E41" s="1">
        <f t="shared" si="3"/>
        <v>2015</v>
      </c>
      <c r="F41" s="1">
        <f t="shared" si="4"/>
        <v>10</v>
      </c>
      <c r="G41" s="4">
        <f t="shared" si="5"/>
        <v>13</v>
      </c>
      <c r="H41" s="8">
        <v>0.65</v>
      </c>
      <c r="I41" s="22">
        <v>127.25136666666667</v>
      </c>
      <c r="J41" s="22">
        <v>31.750166666666665</v>
      </c>
      <c r="K41" s="27">
        <v>120</v>
      </c>
      <c r="L41" s="27">
        <v>120</v>
      </c>
      <c r="M41" s="27" t="s">
        <v>287</v>
      </c>
      <c r="N41" s="21">
        <v>16.311399999999999</v>
      </c>
      <c r="O41" s="24">
        <v>34.590400000000002</v>
      </c>
      <c r="P41" s="31">
        <v>0.25</v>
      </c>
      <c r="Q41" s="31">
        <v>1.17</v>
      </c>
      <c r="R41" s="26" t="s">
        <v>280</v>
      </c>
      <c r="S41" s="26">
        <v>1</v>
      </c>
      <c r="T41" s="71" t="s">
        <v>626</v>
      </c>
    </row>
    <row r="42" spans="1:20">
      <c r="A42" s="26"/>
      <c r="B42" s="26"/>
      <c r="C42" s="26"/>
      <c r="D42" s="25"/>
      <c r="I42" s="22"/>
      <c r="J42" s="22"/>
      <c r="K42" s="27"/>
      <c r="L42" s="27"/>
      <c r="M42" s="27"/>
      <c r="N42" s="21"/>
      <c r="O42" s="24"/>
      <c r="P42" s="31"/>
      <c r="Q42" s="31"/>
      <c r="R42" s="26"/>
      <c r="S42" s="26"/>
      <c r="T42" s="71"/>
    </row>
    <row r="43" spans="1:20">
      <c r="A43" s="26"/>
      <c r="B43" s="26"/>
      <c r="C43" s="26"/>
      <c r="D43" s="25"/>
      <c r="I43" s="22"/>
      <c r="J43" s="22"/>
      <c r="K43" s="27"/>
      <c r="L43" s="27"/>
      <c r="M43" s="27"/>
      <c r="N43" s="21"/>
      <c r="O43" s="24"/>
      <c r="P43" s="31"/>
      <c r="Q43" s="31"/>
      <c r="R43" s="26"/>
      <c r="S43" s="26"/>
      <c r="T43" s="71"/>
    </row>
    <row r="44" spans="1:20">
      <c r="A44" s="26" t="s">
        <v>137</v>
      </c>
      <c r="B44" s="26">
        <v>30</v>
      </c>
      <c r="C44" s="26" t="s">
        <v>506</v>
      </c>
      <c r="D44" s="25">
        <v>42291</v>
      </c>
      <c r="E44" s="1">
        <f t="shared" si="3"/>
        <v>2015</v>
      </c>
      <c r="F44" s="1">
        <f t="shared" si="4"/>
        <v>10</v>
      </c>
      <c r="G44" s="4">
        <f t="shared" si="5"/>
        <v>14</v>
      </c>
      <c r="H44" s="8">
        <v>0.22013888888888888</v>
      </c>
      <c r="I44" s="22">
        <v>128.75041666666667</v>
      </c>
      <c r="J44" s="22">
        <v>31.749216666666666</v>
      </c>
      <c r="K44" s="27">
        <v>0</v>
      </c>
      <c r="L44" s="27">
        <v>0</v>
      </c>
      <c r="M44" s="27">
        <v>0</v>
      </c>
      <c r="N44" s="21">
        <v>23.1</v>
      </c>
      <c r="O44" s="24">
        <v>33.866393872126942</v>
      </c>
      <c r="P44" s="31">
        <v>0.22</v>
      </c>
      <c r="Q44" s="31">
        <v>0.44</v>
      </c>
      <c r="R44" s="26" t="s">
        <v>280</v>
      </c>
      <c r="S44" s="26">
        <v>1</v>
      </c>
      <c r="T44" s="71" t="s">
        <v>626</v>
      </c>
    </row>
    <row r="45" spans="1:20">
      <c r="A45" s="26" t="s">
        <v>137</v>
      </c>
      <c r="B45" s="26">
        <v>30</v>
      </c>
      <c r="C45" s="26" t="s">
        <v>506</v>
      </c>
      <c r="D45" s="25">
        <v>42291</v>
      </c>
      <c r="E45" s="1">
        <f t="shared" si="3"/>
        <v>2015</v>
      </c>
      <c r="F45" s="1">
        <f t="shared" si="4"/>
        <v>10</v>
      </c>
      <c r="G45" s="4">
        <f t="shared" si="5"/>
        <v>14</v>
      </c>
      <c r="H45" s="8">
        <v>0.22013888888888888</v>
      </c>
      <c r="I45" s="22">
        <v>128.75041666666667</v>
      </c>
      <c r="J45" s="22">
        <v>31.749216666666666</v>
      </c>
      <c r="K45" s="27">
        <v>10</v>
      </c>
      <c r="L45" s="27">
        <v>10</v>
      </c>
      <c r="M45" s="27" t="s">
        <v>287</v>
      </c>
      <c r="N45" s="21">
        <v>23.775300000000001</v>
      </c>
      <c r="O45" s="24">
        <v>33.849000000000004</v>
      </c>
      <c r="P45" s="31">
        <v>0.14000000000000001</v>
      </c>
      <c r="Q45" s="31">
        <v>0.28999999999999998</v>
      </c>
      <c r="R45" s="26" t="s">
        <v>280</v>
      </c>
      <c r="S45" s="26">
        <v>1</v>
      </c>
      <c r="T45" s="71" t="s">
        <v>626</v>
      </c>
    </row>
    <row r="46" spans="1:20">
      <c r="A46" s="26" t="s">
        <v>137</v>
      </c>
      <c r="B46" s="26">
        <v>30</v>
      </c>
      <c r="C46" s="26" t="s">
        <v>506</v>
      </c>
      <c r="D46" s="25">
        <v>42291</v>
      </c>
      <c r="E46" s="1">
        <f t="shared" si="3"/>
        <v>2015</v>
      </c>
      <c r="F46" s="1">
        <f t="shared" si="4"/>
        <v>10</v>
      </c>
      <c r="G46" s="4">
        <f t="shared" si="5"/>
        <v>14</v>
      </c>
      <c r="H46" s="8">
        <v>0.22013888888888888</v>
      </c>
      <c r="I46" s="22">
        <v>128.75041666666667</v>
      </c>
      <c r="J46" s="22">
        <v>31.749216666666666</v>
      </c>
      <c r="K46" s="27">
        <v>20</v>
      </c>
      <c r="L46" s="27">
        <v>20</v>
      </c>
      <c r="M46" s="27" t="s">
        <v>287</v>
      </c>
      <c r="N46" s="21">
        <v>23.764500000000002</v>
      </c>
      <c r="O46" s="24">
        <v>33.847500000000004</v>
      </c>
      <c r="P46" s="31">
        <v>0.13</v>
      </c>
      <c r="Q46" s="31">
        <v>0.19</v>
      </c>
      <c r="R46" s="26" t="s">
        <v>280</v>
      </c>
      <c r="S46" s="26">
        <v>1</v>
      </c>
      <c r="T46" s="71" t="s">
        <v>626</v>
      </c>
    </row>
    <row r="47" spans="1:20">
      <c r="A47" s="26" t="s">
        <v>137</v>
      </c>
      <c r="B47" s="26">
        <v>30</v>
      </c>
      <c r="C47" s="26" t="s">
        <v>506</v>
      </c>
      <c r="D47" s="25">
        <v>42291</v>
      </c>
      <c r="E47" s="1">
        <f t="shared" si="3"/>
        <v>2015</v>
      </c>
      <c r="F47" s="1">
        <f t="shared" si="4"/>
        <v>10</v>
      </c>
      <c r="G47" s="4">
        <f t="shared" si="5"/>
        <v>14</v>
      </c>
      <c r="H47" s="8">
        <v>0.22013888888888888</v>
      </c>
      <c r="I47" s="22">
        <v>128.75041666666667</v>
      </c>
      <c r="J47" s="22">
        <v>31.749216666666666</v>
      </c>
      <c r="K47" s="27">
        <v>30</v>
      </c>
      <c r="L47" s="27">
        <v>30</v>
      </c>
      <c r="M47" s="27" t="s">
        <v>287</v>
      </c>
      <c r="N47" s="21">
        <v>23.779599999999999</v>
      </c>
      <c r="O47" s="24">
        <v>33.849699999999999</v>
      </c>
      <c r="P47" s="31">
        <v>0.17</v>
      </c>
      <c r="Q47" s="31">
        <v>0.42</v>
      </c>
      <c r="R47" s="26" t="s">
        <v>280</v>
      </c>
      <c r="S47" s="26">
        <v>1</v>
      </c>
      <c r="T47" s="71" t="s">
        <v>626</v>
      </c>
    </row>
    <row r="48" spans="1:20">
      <c r="A48" s="26" t="s">
        <v>137</v>
      </c>
      <c r="B48" s="26">
        <v>30</v>
      </c>
      <c r="C48" s="26" t="s">
        <v>506</v>
      </c>
      <c r="D48" s="25">
        <v>42291</v>
      </c>
      <c r="E48" s="1">
        <f t="shared" si="3"/>
        <v>2015</v>
      </c>
      <c r="F48" s="1">
        <f t="shared" si="4"/>
        <v>10</v>
      </c>
      <c r="G48" s="4">
        <f t="shared" si="5"/>
        <v>14</v>
      </c>
      <c r="H48" s="8">
        <v>0.22013888888888888</v>
      </c>
      <c r="I48" s="22">
        <v>128.75041666666667</v>
      </c>
      <c r="J48" s="22">
        <v>31.749216666666666</v>
      </c>
      <c r="K48" s="27">
        <v>50</v>
      </c>
      <c r="L48" s="27">
        <v>50</v>
      </c>
      <c r="M48" s="27" t="s">
        <v>287</v>
      </c>
      <c r="N48" s="21">
        <v>23.769400000000001</v>
      </c>
      <c r="O48" s="24">
        <v>33.844999999999999</v>
      </c>
      <c r="P48" s="31">
        <v>0.1</v>
      </c>
      <c r="Q48" s="31">
        <v>0.13</v>
      </c>
      <c r="R48" s="26" t="s">
        <v>280</v>
      </c>
      <c r="S48" s="26">
        <v>1</v>
      </c>
      <c r="T48" s="71" t="s">
        <v>626</v>
      </c>
    </row>
    <row r="49" spans="1:20">
      <c r="A49" s="26" t="s">
        <v>137</v>
      </c>
      <c r="B49" s="26">
        <v>30</v>
      </c>
      <c r="C49" s="26" t="s">
        <v>506</v>
      </c>
      <c r="D49" s="25">
        <v>42291</v>
      </c>
      <c r="E49" s="1">
        <f t="shared" si="3"/>
        <v>2015</v>
      </c>
      <c r="F49" s="1">
        <f t="shared" si="4"/>
        <v>10</v>
      </c>
      <c r="G49" s="4">
        <f t="shared" si="5"/>
        <v>14</v>
      </c>
      <c r="H49" s="8">
        <v>0.22013888888888888</v>
      </c>
      <c r="I49" s="22">
        <v>128.75041666666667</v>
      </c>
      <c r="J49" s="22">
        <v>31.749216666666666</v>
      </c>
      <c r="K49" s="27">
        <v>75</v>
      </c>
      <c r="L49" s="27">
        <v>75</v>
      </c>
      <c r="M49" s="27" t="s">
        <v>287</v>
      </c>
      <c r="N49" s="21">
        <v>23.5365</v>
      </c>
      <c r="O49" s="24">
        <v>34.024900000000002</v>
      </c>
      <c r="P49" s="31">
        <v>0.21</v>
      </c>
      <c r="Q49" s="31">
        <v>0.74</v>
      </c>
      <c r="R49" s="26" t="s">
        <v>280</v>
      </c>
      <c r="S49" s="26">
        <v>1</v>
      </c>
      <c r="T49" s="71" t="s">
        <v>626</v>
      </c>
    </row>
    <row r="50" spans="1:20">
      <c r="A50" s="26" t="s">
        <v>137</v>
      </c>
      <c r="B50" s="26">
        <v>30</v>
      </c>
      <c r="C50" s="26" t="s">
        <v>506</v>
      </c>
      <c r="D50" s="25">
        <v>42291</v>
      </c>
      <c r="E50" s="1">
        <f t="shared" si="3"/>
        <v>2015</v>
      </c>
      <c r="F50" s="1">
        <f t="shared" si="4"/>
        <v>10</v>
      </c>
      <c r="G50" s="4">
        <f t="shared" si="5"/>
        <v>14</v>
      </c>
      <c r="H50" s="8">
        <v>0.22013888888888888</v>
      </c>
      <c r="I50" s="22">
        <v>128.75041666666667</v>
      </c>
      <c r="J50" s="22">
        <v>31.749216666666666</v>
      </c>
      <c r="K50" s="27">
        <v>100</v>
      </c>
      <c r="L50" s="27">
        <v>100</v>
      </c>
      <c r="M50" s="27" t="s">
        <v>287</v>
      </c>
      <c r="N50" s="21">
        <v>21.157599999999999</v>
      </c>
      <c r="O50" s="24">
        <v>34.574199999999998</v>
      </c>
      <c r="P50" s="31">
        <v>0.34</v>
      </c>
      <c r="Q50" s="31">
        <v>1.56</v>
      </c>
      <c r="R50" s="26" t="s">
        <v>280</v>
      </c>
      <c r="S50" s="26">
        <v>1</v>
      </c>
      <c r="T50" s="71" t="s">
        <v>626</v>
      </c>
    </row>
    <row r="51" spans="1:20">
      <c r="A51" s="26" t="s">
        <v>137</v>
      </c>
      <c r="B51" s="26">
        <v>30</v>
      </c>
      <c r="C51" s="26" t="s">
        <v>506</v>
      </c>
      <c r="D51" s="25">
        <v>42291</v>
      </c>
      <c r="E51" s="1">
        <f t="shared" si="3"/>
        <v>2015</v>
      </c>
      <c r="F51" s="1">
        <f t="shared" si="4"/>
        <v>10</v>
      </c>
      <c r="G51" s="4">
        <f t="shared" si="5"/>
        <v>14</v>
      </c>
      <c r="H51" s="8">
        <v>0.22013888888888888</v>
      </c>
      <c r="I51" s="22">
        <v>128.75041666666667</v>
      </c>
      <c r="J51" s="22">
        <v>31.749216666666666</v>
      </c>
      <c r="K51" s="27">
        <v>125</v>
      </c>
      <c r="L51" s="27">
        <v>125</v>
      </c>
      <c r="M51" s="27" t="s">
        <v>287</v>
      </c>
      <c r="N51" s="21">
        <v>19.277000000000001</v>
      </c>
      <c r="O51" s="24">
        <v>34.624499999999998</v>
      </c>
      <c r="P51" s="31">
        <v>0.26</v>
      </c>
      <c r="Q51" s="31">
        <v>1.42</v>
      </c>
      <c r="R51" s="26" t="s">
        <v>280</v>
      </c>
      <c r="S51" s="26">
        <v>1</v>
      </c>
      <c r="T51" s="71" t="s">
        <v>626</v>
      </c>
    </row>
    <row r="52" spans="1:20">
      <c r="A52" s="26" t="s">
        <v>137</v>
      </c>
      <c r="B52" s="26">
        <v>30</v>
      </c>
      <c r="C52" s="26" t="s">
        <v>506</v>
      </c>
      <c r="D52" s="25">
        <v>42291</v>
      </c>
      <c r="E52" s="1">
        <f t="shared" si="3"/>
        <v>2015</v>
      </c>
      <c r="F52" s="1">
        <f t="shared" si="4"/>
        <v>10</v>
      </c>
      <c r="G52" s="4">
        <f t="shared" si="5"/>
        <v>14</v>
      </c>
      <c r="H52" s="8">
        <v>0.22013888888888888</v>
      </c>
      <c r="I52" s="22">
        <v>128.75041666666667</v>
      </c>
      <c r="J52" s="22">
        <v>31.749216666666666</v>
      </c>
      <c r="K52" s="27">
        <v>150</v>
      </c>
      <c r="L52" s="27">
        <v>150</v>
      </c>
      <c r="M52" s="27" t="s">
        <v>287</v>
      </c>
      <c r="N52" s="21">
        <v>18.799800000000001</v>
      </c>
      <c r="O52" s="24">
        <v>34.641599999999997</v>
      </c>
      <c r="P52" s="31">
        <v>0.25</v>
      </c>
      <c r="Q52" s="31">
        <v>1.28</v>
      </c>
      <c r="R52" s="26" t="s">
        <v>280</v>
      </c>
      <c r="S52" s="26">
        <v>1</v>
      </c>
      <c r="T52" s="71" t="s">
        <v>626</v>
      </c>
    </row>
    <row r="53" spans="1:20">
      <c r="A53" s="26" t="s">
        <v>137</v>
      </c>
      <c r="B53" s="26">
        <v>30</v>
      </c>
      <c r="C53" s="26" t="s">
        <v>506</v>
      </c>
      <c r="D53" s="25">
        <v>42291</v>
      </c>
      <c r="E53" s="1">
        <f t="shared" si="3"/>
        <v>2015</v>
      </c>
      <c r="F53" s="1">
        <f t="shared" si="4"/>
        <v>10</v>
      </c>
      <c r="G53" s="4">
        <f t="shared" si="5"/>
        <v>14</v>
      </c>
      <c r="H53" s="8">
        <v>0.22013888888888888</v>
      </c>
      <c r="I53" s="22">
        <v>128.75041666666667</v>
      </c>
      <c r="J53" s="22">
        <v>31.749216666666666</v>
      </c>
      <c r="K53" s="27">
        <v>200</v>
      </c>
      <c r="L53" s="27">
        <v>200</v>
      </c>
      <c r="M53" s="27" t="s">
        <v>287</v>
      </c>
      <c r="N53" s="21">
        <v>15.347899999999999</v>
      </c>
      <c r="O53" s="24">
        <v>34.569000000000003</v>
      </c>
      <c r="P53" s="31">
        <v>0.27</v>
      </c>
      <c r="Q53" s="31">
        <v>1.0900000000000001</v>
      </c>
      <c r="R53" s="26" t="s">
        <v>280</v>
      </c>
      <c r="S53" s="26">
        <v>1</v>
      </c>
      <c r="T53" s="71" t="s">
        <v>626</v>
      </c>
    </row>
    <row r="54" spans="1:20">
      <c r="A54" s="26" t="s">
        <v>137</v>
      </c>
      <c r="B54" s="26">
        <v>30</v>
      </c>
      <c r="C54" s="26" t="s">
        <v>506</v>
      </c>
      <c r="D54" s="25">
        <v>42291</v>
      </c>
      <c r="E54" s="1">
        <f t="shared" si="3"/>
        <v>2015</v>
      </c>
      <c r="F54" s="1">
        <f t="shared" si="4"/>
        <v>10</v>
      </c>
      <c r="G54" s="4">
        <f t="shared" si="5"/>
        <v>14</v>
      </c>
      <c r="H54" s="8">
        <v>0.22013888888888888</v>
      </c>
      <c r="I54" s="22">
        <v>128.75041666666667</v>
      </c>
      <c r="J54" s="22">
        <v>31.749216666666666</v>
      </c>
      <c r="K54" s="27">
        <v>300</v>
      </c>
      <c r="L54" s="27">
        <v>300</v>
      </c>
      <c r="M54" s="27" t="s">
        <v>287</v>
      </c>
      <c r="N54" s="21">
        <v>10.8988</v>
      </c>
      <c r="O54" s="24">
        <v>34.383400000000002</v>
      </c>
      <c r="P54" s="31">
        <v>0.21</v>
      </c>
      <c r="Q54" s="31">
        <v>0.31</v>
      </c>
      <c r="R54" s="26" t="s">
        <v>280</v>
      </c>
      <c r="S54" s="26">
        <v>1</v>
      </c>
      <c r="T54" s="71" t="s">
        <v>626</v>
      </c>
    </row>
    <row r="55" spans="1:20">
      <c r="A55" s="26" t="s">
        <v>137</v>
      </c>
      <c r="B55" s="26">
        <v>30</v>
      </c>
      <c r="C55" s="26" t="s">
        <v>506</v>
      </c>
      <c r="D55" s="25">
        <v>42291</v>
      </c>
      <c r="E55" s="1">
        <f t="shared" si="3"/>
        <v>2015</v>
      </c>
      <c r="F55" s="1">
        <f t="shared" si="4"/>
        <v>10</v>
      </c>
      <c r="G55" s="4">
        <f t="shared" si="5"/>
        <v>14</v>
      </c>
      <c r="H55" s="8">
        <v>0.22013888888888888</v>
      </c>
      <c r="I55" s="22">
        <v>128.75041666666667</v>
      </c>
      <c r="J55" s="22">
        <v>31.749216666666666</v>
      </c>
      <c r="K55" s="27">
        <v>500</v>
      </c>
      <c r="L55" s="27">
        <v>500</v>
      </c>
      <c r="M55" s="27" t="s">
        <v>287</v>
      </c>
      <c r="N55" s="21">
        <v>7.2949999999999999</v>
      </c>
      <c r="O55" s="24">
        <v>34.3399</v>
      </c>
      <c r="P55" s="31">
        <v>0.06</v>
      </c>
      <c r="Q55" s="31">
        <v>-0.72</v>
      </c>
      <c r="R55" s="26" t="s">
        <v>280</v>
      </c>
      <c r="S55" s="26">
        <v>1</v>
      </c>
      <c r="T55" s="71" t="s">
        <v>626</v>
      </c>
    </row>
    <row r="56" spans="1:20">
      <c r="A56" s="26"/>
      <c r="B56" s="26"/>
      <c r="C56" s="26"/>
      <c r="D56" s="25"/>
      <c r="I56" s="22"/>
      <c r="J56" s="22"/>
      <c r="K56" s="27"/>
      <c r="L56" s="27"/>
      <c r="M56" s="27"/>
      <c r="N56" s="21"/>
      <c r="O56" s="24"/>
      <c r="P56" s="31"/>
      <c r="Q56" s="31"/>
      <c r="R56" s="26"/>
      <c r="S56" s="26"/>
      <c r="T56" s="71"/>
    </row>
    <row r="57" spans="1:20">
      <c r="A57" s="26" t="s">
        <v>138</v>
      </c>
      <c r="B57" s="26" t="s">
        <v>179</v>
      </c>
      <c r="C57" s="26" t="s">
        <v>506</v>
      </c>
      <c r="D57" s="25">
        <v>42440</v>
      </c>
      <c r="E57" s="1">
        <f t="shared" si="3"/>
        <v>2016</v>
      </c>
      <c r="F57" s="1">
        <f t="shared" si="4"/>
        <v>3</v>
      </c>
      <c r="G57" s="4">
        <f t="shared" si="5"/>
        <v>11</v>
      </c>
      <c r="H57" s="8">
        <v>4.6527777777777779E-2</v>
      </c>
      <c r="I57" s="22">
        <v>127.23175000000001</v>
      </c>
      <c r="J57" s="22">
        <v>31.747033333333334</v>
      </c>
      <c r="K57" s="27">
        <v>0</v>
      </c>
      <c r="L57" s="27">
        <v>0</v>
      </c>
      <c r="M57" s="27">
        <v>0</v>
      </c>
      <c r="N57" s="21">
        <v>15.5</v>
      </c>
      <c r="O57" s="24">
        <v>34.576365674671749</v>
      </c>
      <c r="P57" s="31">
        <v>0.20699999999999999</v>
      </c>
      <c r="Q57" s="31">
        <v>1.34</v>
      </c>
      <c r="R57" s="26" t="s">
        <v>280</v>
      </c>
      <c r="S57" s="26">
        <v>1</v>
      </c>
      <c r="T57" s="71" t="s">
        <v>626</v>
      </c>
    </row>
    <row r="58" spans="1:20">
      <c r="A58" s="26" t="s">
        <v>138</v>
      </c>
      <c r="B58" s="26" t="s">
        <v>179</v>
      </c>
      <c r="C58" s="26" t="s">
        <v>506</v>
      </c>
      <c r="D58" s="25">
        <v>42440</v>
      </c>
      <c r="E58" s="1">
        <f t="shared" si="3"/>
        <v>2016</v>
      </c>
      <c r="F58" s="1">
        <f t="shared" si="4"/>
        <v>3</v>
      </c>
      <c r="G58" s="4">
        <f t="shared" si="5"/>
        <v>11</v>
      </c>
      <c r="H58" s="8">
        <v>4.6527777777777779E-2</v>
      </c>
      <c r="I58" s="22">
        <v>127.23175000000001</v>
      </c>
      <c r="J58" s="22">
        <v>31.747033333333334</v>
      </c>
      <c r="K58" s="27">
        <v>10.215</v>
      </c>
      <c r="L58" s="27">
        <v>10</v>
      </c>
      <c r="M58" s="27">
        <v>0</v>
      </c>
      <c r="N58" s="21">
        <v>15.934799999999999</v>
      </c>
      <c r="O58" s="24">
        <v>34.5505</v>
      </c>
      <c r="P58" s="31">
        <v>0.19400000000000001</v>
      </c>
      <c r="Q58" s="31">
        <v>1.357</v>
      </c>
      <c r="R58" s="26" t="s">
        <v>280</v>
      </c>
      <c r="S58" s="26">
        <v>1</v>
      </c>
      <c r="T58" s="71" t="s">
        <v>626</v>
      </c>
    </row>
    <row r="59" spans="1:20">
      <c r="A59" s="26" t="s">
        <v>138</v>
      </c>
      <c r="B59" s="26" t="s">
        <v>179</v>
      </c>
      <c r="C59" s="26" t="s">
        <v>506</v>
      </c>
      <c r="D59" s="25">
        <v>42440</v>
      </c>
      <c r="E59" s="1">
        <f t="shared" si="3"/>
        <v>2016</v>
      </c>
      <c r="F59" s="1">
        <f t="shared" si="4"/>
        <v>3</v>
      </c>
      <c r="G59" s="4">
        <f t="shared" si="5"/>
        <v>11</v>
      </c>
      <c r="H59" s="8">
        <v>4.6527777777777779E-2</v>
      </c>
      <c r="I59" s="22">
        <v>127.23175000000001</v>
      </c>
      <c r="J59" s="22">
        <v>31.747033333333334</v>
      </c>
      <c r="K59" s="27">
        <v>21.05</v>
      </c>
      <c r="L59" s="27">
        <v>20</v>
      </c>
      <c r="M59" s="27">
        <v>0</v>
      </c>
      <c r="N59" s="21">
        <v>15.932600000000001</v>
      </c>
      <c r="O59" s="24">
        <v>34.5505</v>
      </c>
      <c r="P59" s="31">
        <v>0.217</v>
      </c>
      <c r="Q59" s="31">
        <v>1.389</v>
      </c>
      <c r="R59" s="26" t="s">
        <v>280</v>
      </c>
      <c r="S59" s="26">
        <v>1</v>
      </c>
      <c r="T59" s="71" t="s">
        <v>626</v>
      </c>
    </row>
    <row r="60" spans="1:20">
      <c r="A60" s="26" t="s">
        <v>138</v>
      </c>
      <c r="B60" s="26" t="s">
        <v>179</v>
      </c>
      <c r="C60" s="26" t="s">
        <v>506</v>
      </c>
      <c r="D60" s="25">
        <v>42440</v>
      </c>
      <c r="E60" s="1">
        <f t="shared" si="3"/>
        <v>2016</v>
      </c>
      <c r="F60" s="1">
        <f t="shared" si="4"/>
        <v>3</v>
      </c>
      <c r="G60" s="4">
        <f t="shared" si="5"/>
        <v>11</v>
      </c>
      <c r="H60" s="8">
        <v>4.6527777777777779E-2</v>
      </c>
      <c r="I60" s="22">
        <v>127.23175000000001</v>
      </c>
      <c r="J60" s="22">
        <v>31.747033333333334</v>
      </c>
      <c r="K60" s="27">
        <v>30.423999999999999</v>
      </c>
      <c r="L60" s="27">
        <v>30</v>
      </c>
      <c r="M60" s="27">
        <v>0</v>
      </c>
      <c r="N60" s="21">
        <v>15.952199999999999</v>
      </c>
      <c r="O60" s="24">
        <v>34.5505</v>
      </c>
      <c r="P60" s="31">
        <v>0.17299999999999999</v>
      </c>
      <c r="Q60" s="31">
        <v>1.29</v>
      </c>
      <c r="R60" s="26" t="s">
        <v>280</v>
      </c>
      <c r="S60" s="26">
        <v>1</v>
      </c>
      <c r="T60" s="71" t="s">
        <v>626</v>
      </c>
    </row>
    <row r="61" spans="1:20">
      <c r="A61" s="26" t="s">
        <v>138</v>
      </c>
      <c r="B61" s="26" t="s">
        <v>179</v>
      </c>
      <c r="C61" s="26" t="s">
        <v>506</v>
      </c>
      <c r="D61" s="25">
        <v>42440</v>
      </c>
      <c r="E61" s="1">
        <f t="shared" si="3"/>
        <v>2016</v>
      </c>
      <c r="F61" s="1">
        <f t="shared" si="4"/>
        <v>3</v>
      </c>
      <c r="G61" s="4">
        <f t="shared" si="5"/>
        <v>11</v>
      </c>
      <c r="H61" s="8">
        <v>4.6527777777777779E-2</v>
      </c>
      <c r="I61" s="22">
        <v>127.23175000000001</v>
      </c>
      <c r="J61" s="22">
        <v>31.747033333333334</v>
      </c>
      <c r="K61" s="27">
        <v>50.087000000000003</v>
      </c>
      <c r="L61" s="27">
        <v>50</v>
      </c>
      <c r="M61" s="27">
        <v>0</v>
      </c>
      <c r="N61" s="21">
        <v>15.9567</v>
      </c>
      <c r="O61" s="24">
        <v>34.5503</v>
      </c>
      <c r="P61" s="31">
        <v>0.17</v>
      </c>
      <c r="Q61" s="31">
        <v>1.1539999999999999</v>
      </c>
      <c r="R61" s="26" t="s">
        <v>280</v>
      </c>
      <c r="S61" s="26">
        <v>1</v>
      </c>
      <c r="T61" s="71" t="s">
        <v>626</v>
      </c>
    </row>
    <row r="62" spans="1:20">
      <c r="A62" s="26" t="s">
        <v>138</v>
      </c>
      <c r="B62" s="26" t="s">
        <v>179</v>
      </c>
      <c r="C62" s="26" t="s">
        <v>506</v>
      </c>
      <c r="D62" s="25">
        <v>42440</v>
      </c>
      <c r="E62" s="1">
        <f t="shared" si="3"/>
        <v>2016</v>
      </c>
      <c r="F62" s="1">
        <f t="shared" si="4"/>
        <v>3</v>
      </c>
      <c r="G62" s="4">
        <f t="shared" si="5"/>
        <v>11</v>
      </c>
      <c r="H62" s="8">
        <v>4.6527777777777779E-2</v>
      </c>
      <c r="I62" s="22">
        <v>127.23175000000001</v>
      </c>
      <c r="J62" s="22">
        <v>31.747033333333334</v>
      </c>
      <c r="K62" s="27">
        <v>76.055000000000007</v>
      </c>
      <c r="L62" s="27">
        <v>75</v>
      </c>
      <c r="M62" s="27">
        <v>0</v>
      </c>
      <c r="N62" s="21">
        <v>15.9537</v>
      </c>
      <c r="O62" s="24">
        <v>34.550699999999999</v>
      </c>
      <c r="P62" s="31">
        <v>0.22800000000000001</v>
      </c>
      <c r="Q62" s="31">
        <v>1.306</v>
      </c>
      <c r="R62" s="26" t="s">
        <v>280</v>
      </c>
      <c r="S62" s="26">
        <v>1</v>
      </c>
      <c r="T62" s="71" t="s">
        <v>626</v>
      </c>
    </row>
    <row r="63" spans="1:20">
      <c r="A63" s="26" t="s">
        <v>138</v>
      </c>
      <c r="B63" s="26" t="s">
        <v>179</v>
      </c>
      <c r="C63" s="26" t="s">
        <v>506</v>
      </c>
      <c r="D63" s="25">
        <v>42440</v>
      </c>
      <c r="E63" s="1">
        <f t="shared" si="3"/>
        <v>2016</v>
      </c>
      <c r="F63" s="1">
        <f t="shared" si="4"/>
        <v>3</v>
      </c>
      <c r="G63" s="4">
        <f t="shared" si="5"/>
        <v>11</v>
      </c>
      <c r="H63" s="8">
        <v>4.6527777777777779E-2</v>
      </c>
      <c r="I63" s="22">
        <v>127.23175000000001</v>
      </c>
      <c r="J63" s="22">
        <v>31.747033333333334</v>
      </c>
      <c r="K63" s="27">
        <v>100.181</v>
      </c>
      <c r="L63" s="27">
        <v>100</v>
      </c>
      <c r="M63" s="27">
        <v>0</v>
      </c>
      <c r="N63" s="21">
        <v>15.9575</v>
      </c>
      <c r="O63" s="24">
        <v>34.551000000000002</v>
      </c>
      <c r="P63" s="31">
        <v>0.17199999999999999</v>
      </c>
      <c r="Q63" s="31">
        <v>1.256</v>
      </c>
      <c r="R63" s="26" t="s">
        <v>280</v>
      </c>
      <c r="S63" s="26">
        <v>1</v>
      </c>
      <c r="T63" s="71" t="s">
        <v>626</v>
      </c>
    </row>
    <row r="64" spans="1:20">
      <c r="A64" s="26" t="s">
        <v>138</v>
      </c>
      <c r="B64" s="26" t="s">
        <v>179</v>
      </c>
      <c r="C64" s="26" t="s">
        <v>506</v>
      </c>
      <c r="D64" s="25">
        <v>42440</v>
      </c>
      <c r="E64" s="1">
        <f t="shared" si="3"/>
        <v>2016</v>
      </c>
      <c r="F64" s="1">
        <f t="shared" si="4"/>
        <v>3</v>
      </c>
      <c r="G64" s="4">
        <f t="shared" si="5"/>
        <v>11</v>
      </c>
      <c r="H64" s="8">
        <v>4.6527777777777779E-2</v>
      </c>
      <c r="I64" s="22">
        <v>127.23175000000001</v>
      </c>
      <c r="J64" s="22">
        <v>31.747033333333334</v>
      </c>
      <c r="K64" s="27">
        <v>121.348</v>
      </c>
      <c r="L64" s="27">
        <v>121</v>
      </c>
      <c r="M64" s="27">
        <v>0</v>
      </c>
      <c r="N64" s="21">
        <v>15.9612</v>
      </c>
      <c r="O64" s="24">
        <v>34.550699999999999</v>
      </c>
      <c r="P64" s="31">
        <v>0.20399999999999999</v>
      </c>
      <c r="Q64" s="31">
        <v>1.1679999999999999</v>
      </c>
      <c r="R64" s="26" t="s">
        <v>280</v>
      </c>
      <c r="S64" s="26">
        <v>1</v>
      </c>
      <c r="T64" s="71" t="s">
        <v>626</v>
      </c>
    </row>
    <row r="65" spans="1:20">
      <c r="A65" s="26"/>
      <c r="B65" s="26"/>
      <c r="C65" s="26"/>
      <c r="D65" s="25"/>
      <c r="I65" s="22"/>
      <c r="J65" s="22"/>
      <c r="K65" s="27"/>
      <c r="L65" s="27"/>
      <c r="M65" s="27"/>
      <c r="N65" s="21"/>
      <c r="O65" s="24"/>
      <c r="P65" s="31"/>
      <c r="Q65" s="31"/>
      <c r="R65" s="26"/>
      <c r="S65" s="26"/>
      <c r="T65" s="71"/>
    </row>
    <row r="66" spans="1:20">
      <c r="A66" s="26" t="s">
        <v>138</v>
      </c>
      <c r="B66" s="26" t="s">
        <v>181</v>
      </c>
      <c r="C66" s="26" t="s">
        <v>506</v>
      </c>
      <c r="D66" s="25">
        <v>42442</v>
      </c>
      <c r="E66" s="1">
        <f>YEAR(D66)</f>
        <v>2016</v>
      </c>
      <c r="F66" s="1">
        <f>MONTH(D66)</f>
        <v>3</v>
      </c>
      <c r="G66" s="4">
        <f>DAY(D66)</f>
        <v>13</v>
      </c>
      <c r="H66" s="8">
        <v>0.54375000000000007</v>
      </c>
      <c r="I66" s="22">
        <v>128.75146666666666</v>
      </c>
      <c r="J66" s="22">
        <v>31.749316666666665</v>
      </c>
      <c r="K66" s="27">
        <v>0</v>
      </c>
      <c r="L66" s="27">
        <v>0</v>
      </c>
      <c r="M66" s="27">
        <v>0</v>
      </c>
      <c r="N66" s="21">
        <v>18.399999999999999</v>
      </c>
      <c r="O66" s="24">
        <v>34.829992553037435</v>
      </c>
      <c r="P66" s="31">
        <v>0.30698568470588228</v>
      </c>
      <c r="Q66" s="31">
        <v>1.8155211399999995</v>
      </c>
      <c r="R66" s="26" t="s">
        <v>280</v>
      </c>
      <c r="S66" s="26"/>
      <c r="T66" s="71" t="s">
        <v>626</v>
      </c>
    </row>
    <row r="67" spans="1:20">
      <c r="A67" s="26" t="s">
        <v>138</v>
      </c>
      <c r="B67" s="26" t="s">
        <v>180</v>
      </c>
      <c r="C67" s="26" t="s">
        <v>506</v>
      </c>
      <c r="D67" s="25">
        <v>42442</v>
      </c>
      <c r="E67" s="1">
        <f t="shared" si="3"/>
        <v>2016</v>
      </c>
      <c r="F67" s="1">
        <f t="shared" si="4"/>
        <v>3</v>
      </c>
      <c r="G67" s="4">
        <f t="shared" si="5"/>
        <v>13</v>
      </c>
      <c r="H67" s="8">
        <v>0.54375000000000007</v>
      </c>
      <c r="I67" s="22">
        <v>128.75146666666666</v>
      </c>
      <c r="J67" s="22">
        <v>31.749316666666665</v>
      </c>
      <c r="K67" s="27">
        <v>0</v>
      </c>
      <c r="L67" s="27">
        <v>0</v>
      </c>
      <c r="M67" s="27">
        <v>0</v>
      </c>
      <c r="N67" s="21">
        <v>18.399999999999999</v>
      </c>
      <c r="O67" s="24">
        <v>34.829992553037435</v>
      </c>
      <c r="P67" s="31">
        <v>0.31448590117647068</v>
      </c>
      <c r="Q67" s="31">
        <v>2.0096952200000011</v>
      </c>
      <c r="R67" s="26" t="s">
        <v>280</v>
      </c>
      <c r="S67" s="26">
        <v>1</v>
      </c>
      <c r="T67" s="71" t="s">
        <v>626</v>
      </c>
    </row>
    <row r="68" spans="1:20">
      <c r="A68" s="26" t="s">
        <v>138</v>
      </c>
      <c r="B68" s="26" t="s">
        <v>180</v>
      </c>
      <c r="C68" s="26" t="s">
        <v>506</v>
      </c>
      <c r="D68" s="25">
        <v>42442</v>
      </c>
      <c r="E68" s="1">
        <f t="shared" si="3"/>
        <v>2016</v>
      </c>
      <c r="F68" s="1">
        <f t="shared" si="4"/>
        <v>3</v>
      </c>
      <c r="G68" s="4">
        <f t="shared" si="5"/>
        <v>13</v>
      </c>
      <c r="H68" s="8">
        <v>0.54375000000000007</v>
      </c>
      <c r="I68" s="22">
        <v>128.75146666666666</v>
      </c>
      <c r="J68" s="22">
        <v>31.749316666666665</v>
      </c>
      <c r="K68" s="27">
        <v>10.692</v>
      </c>
      <c r="L68" s="27">
        <v>10</v>
      </c>
      <c r="M68" s="27">
        <v>0</v>
      </c>
      <c r="N68" s="21">
        <v>18.541</v>
      </c>
      <c r="O68" s="24">
        <v>34.8155</v>
      </c>
      <c r="P68" s="31">
        <v>0.29603488941176459</v>
      </c>
      <c r="Q68" s="31">
        <v>1.8495799000000019</v>
      </c>
      <c r="R68" s="26" t="s">
        <v>280</v>
      </c>
      <c r="S68" s="26">
        <v>1</v>
      </c>
      <c r="T68" s="71" t="s">
        <v>626</v>
      </c>
    </row>
    <row r="69" spans="1:20">
      <c r="A69" s="26" t="s">
        <v>138</v>
      </c>
      <c r="B69" s="26" t="s">
        <v>180</v>
      </c>
      <c r="C69" s="26" t="s">
        <v>506</v>
      </c>
      <c r="D69" s="25">
        <v>42442</v>
      </c>
      <c r="E69" s="1">
        <f t="shared" si="3"/>
        <v>2016</v>
      </c>
      <c r="F69" s="1">
        <f t="shared" si="4"/>
        <v>3</v>
      </c>
      <c r="G69" s="4">
        <f t="shared" si="5"/>
        <v>13</v>
      </c>
      <c r="H69" s="8">
        <v>0.54375000000000007</v>
      </c>
      <c r="I69" s="22">
        <v>128.75146666666666</v>
      </c>
      <c r="J69" s="22">
        <v>31.749316666666665</v>
      </c>
      <c r="K69" s="27">
        <v>20.2</v>
      </c>
      <c r="L69" s="27">
        <v>20</v>
      </c>
      <c r="M69" s="27">
        <v>0</v>
      </c>
      <c r="N69" s="21">
        <v>18.542200000000001</v>
      </c>
      <c r="O69" s="24">
        <v>34.814399999999999</v>
      </c>
      <c r="P69" s="31">
        <v>0.31730147764705885</v>
      </c>
      <c r="Q69" s="31">
        <v>1.8775707200000014</v>
      </c>
      <c r="R69" s="26" t="s">
        <v>280</v>
      </c>
      <c r="S69" s="26">
        <v>1</v>
      </c>
      <c r="T69" s="71" t="s">
        <v>626</v>
      </c>
    </row>
    <row r="70" spans="1:20">
      <c r="A70" s="26" t="s">
        <v>138</v>
      </c>
      <c r="B70" s="26" t="s">
        <v>180</v>
      </c>
      <c r="C70" s="26" t="s">
        <v>506</v>
      </c>
      <c r="D70" s="25">
        <v>42442</v>
      </c>
      <c r="E70" s="1">
        <f t="shared" si="3"/>
        <v>2016</v>
      </c>
      <c r="F70" s="1">
        <f t="shared" si="4"/>
        <v>3</v>
      </c>
      <c r="G70" s="4">
        <f t="shared" si="5"/>
        <v>13</v>
      </c>
      <c r="H70" s="8">
        <v>0.54375000000000007</v>
      </c>
      <c r="I70" s="22">
        <v>128.75146666666666</v>
      </c>
      <c r="J70" s="22">
        <v>31.749316666666665</v>
      </c>
      <c r="K70" s="27">
        <v>30.483000000000001</v>
      </c>
      <c r="L70" s="27">
        <v>30</v>
      </c>
      <c r="M70" s="27">
        <v>0</v>
      </c>
      <c r="N70" s="21">
        <v>18.546800000000001</v>
      </c>
      <c r="O70" s="24">
        <v>34.815199999999997</v>
      </c>
      <c r="P70" s="31">
        <v>0.32064422588235275</v>
      </c>
      <c r="Q70" s="31">
        <v>1.9646750200000014</v>
      </c>
      <c r="R70" s="26" t="s">
        <v>280</v>
      </c>
      <c r="S70" s="26">
        <v>1</v>
      </c>
      <c r="T70" s="71" t="s">
        <v>626</v>
      </c>
    </row>
    <row r="71" spans="1:20">
      <c r="A71" s="26" t="s">
        <v>138</v>
      </c>
      <c r="B71" s="26" t="s">
        <v>180</v>
      </c>
      <c r="C71" s="26" t="s">
        <v>506</v>
      </c>
      <c r="D71" s="25">
        <v>42442</v>
      </c>
      <c r="E71" s="1">
        <f t="shared" si="3"/>
        <v>2016</v>
      </c>
      <c r="F71" s="1">
        <f t="shared" si="4"/>
        <v>3</v>
      </c>
      <c r="G71" s="4">
        <f t="shared" si="5"/>
        <v>13</v>
      </c>
      <c r="H71" s="8">
        <v>0.54375000000000007</v>
      </c>
      <c r="I71" s="22">
        <v>128.75146666666666</v>
      </c>
      <c r="J71" s="22">
        <v>31.749316666666665</v>
      </c>
      <c r="K71" s="27">
        <v>50.575000000000003</v>
      </c>
      <c r="L71" s="27">
        <v>50</v>
      </c>
      <c r="M71" s="27">
        <v>0</v>
      </c>
      <c r="N71" s="21">
        <v>18.4574</v>
      </c>
      <c r="O71" s="24">
        <v>34.8035</v>
      </c>
      <c r="P71" s="31">
        <v>0.33967033411764702</v>
      </c>
      <c r="Q71" s="31">
        <v>1.9539093200000028</v>
      </c>
      <c r="R71" s="26" t="s">
        <v>280</v>
      </c>
      <c r="S71" s="26">
        <v>1</v>
      </c>
      <c r="T71" s="71" t="s">
        <v>626</v>
      </c>
    </row>
    <row r="72" spans="1:20">
      <c r="A72" s="26" t="s">
        <v>138</v>
      </c>
      <c r="B72" s="26" t="s">
        <v>180</v>
      </c>
      <c r="C72" s="26" t="s">
        <v>506</v>
      </c>
      <c r="D72" s="25">
        <v>42442</v>
      </c>
      <c r="E72" s="1">
        <f t="shared" si="3"/>
        <v>2016</v>
      </c>
      <c r="F72" s="1">
        <f t="shared" si="4"/>
        <v>3</v>
      </c>
      <c r="G72" s="4">
        <f t="shared" si="5"/>
        <v>13</v>
      </c>
      <c r="H72" s="8">
        <v>0.54375000000000007</v>
      </c>
      <c r="I72" s="22">
        <v>128.75146666666666</v>
      </c>
      <c r="J72" s="22">
        <v>31.749316666666665</v>
      </c>
      <c r="K72" s="27">
        <v>74.472999999999999</v>
      </c>
      <c r="L72" s="27">
        <v>75</v>
      </c>
      <c r="M72" s="27">
        <v>0</v>
      </c>
      <c r="N72" s="21">
        <v>18.376000000000001</v>
      </c>
      <c r="O72" s="24">
        <v>34.793700000000001</v>
      </c>
      <c r="P72" s="31">
        <v>0.31347948235294099</v>
      </c>
      <c r="Q72" s="31">
        <v>1.8765920200000004</v>
      </c>
      <c r="R72" s="26" t="s">
        <v>280</v>
      </c>
      <c r="S72" s="26">
        <v>1</v>
      </c>
      <c r="T72" s="71" t="s">
        <v>626</v>
      </c>
    </row>
    <row r="73" spans="1:20">
      <c r="A73" s="26" t="s">
        <v>138</v>
      </c>
      <c r="B73" s="26" t="s">
        <v>180</v>
      </c>
      <c r="C73" s="26" t="s">
        <v>506</v>
      </c>
      <c r="D73" s="25">
        <v>42442</v>
      </c>
      <c r="E73" s="1">
        <f t="shared" si="3"/>
        <v>2016</v>
      </c>
      <c r="F73" s="1">
        <f t="shared" si="4"/>
        <v>3</v>
      </c>
      <c r="G73" s="4">
        <f t="shared" si="5"/>
        <v>13</v>
      </c>
      <c r="H73" s="8">
        <v>0.54375000000000007</v>
      </c>
      <c r="I73" s="22">
        <v>128.75146666666666</v>
      </c>
      <c r="J73" s="22">
        <v>31.749316666666665</v>
      </c>
      <c r="K73" s="27">
        <v>99.483999999999995</v>
      </c>
      <c r="L73" s="27">
        <v>100</v>
      </c>
      <c r="M73" s="27">
        <v>0</v>
      </c>
      <c r="N73" s="21">
        <v>17.684999999999999</v>
      </c>
      <c r="O73" s="24">
        <v>34.737099999999998</v>
      </c>
      <c r="P73" s="31">
        <v>0.33963439058823486</v>
      </c>
      <c r="Q73" s="31">
        <v>1.4267815000000006</v>
      </c>
      <c r="R73" s="26" t="s">
        <v>280</v>
      </c>
      <c r="S73" s="26">
        <v>1</v>
      </c>
      <c r="T73" s="71" t="s">
        <v>626</v>
      </c>
    </row>
    <row r="74" spans="1:20">
      <c r="A74" s="26" t="s">
        <v>138</v>
      </c>
      <c r="B74" s="26" t="s">
        <v>180</v>
      </c>
      <c r="C74" s="26" t="s">
        <v>506</v>
      </c>
      <c r="D74" s="25">
        <v>42442</v>
      </c>
      <c r="E74" s="1">
        <f t="shared" si="3"/>
        <v>2016</v>
      </c>
      <c r="F74" s="1">
        <f t="shared" si="4"/>
        <v>3</v>
      </c>
      <c r="G74" s="4">
        <f t="shared" si="5"/>
        <v>13</v>
      </c>
      <c r="H74" s="8">
        <v>0.54375000000000007</v>
      </c>
      <c r="I74" s="22">
        <v>128.75146666666666</v>
      </c>
      <c r="J74" s="22">
        <v>31.749316666666665</v>
      </c>
      <c r="K74" s="27">
        <v>124.413</v>
      </c>
      <c r="L74" s="27">
        <v>125</v>
      </c>
      <c r="M74" s="27">
        <v>0</v>
      </c>
      <c r="N74" s="21">
        <v>17.193999999999999</v>
      </c>
      <c r="O74" s="24">
        <v>34.707700000000003</v>
      </c>
      <c r="P74" s="31">
        <v>0.27479226352941177</v>
      </c>
      <c r="Q74" s="31">
        <v>1.5080136</v>
      </c>
      <c r="R74" s="26" t="s">
        <v>280</v>
      </c>
      <c r="S74" s="26">
        <v>1</v>
      </c>
      <c r="T74" s="71" t="s">
        <v>626</v>
      </c>
    </row>
    <row r="75" spans="1:20">
      <c r="A75" s="26" t="s">
        <v>138</v>
      </c>
      <c r="B75" s="26" t="s">
        <v>180</v>
      </c>
      <c r="C75" s="26" t="s">
        <v>506</v>
      </c>
      <c r="D75" s="25">
        <v>42442</v>
      </c>
      <c r="E75" s="1">
        <f t="shared" si="3"/>
        <v>2016</v>
      </c>
      <c r="F75" s="1">
        <f t="shared" si="4"/>
        <v>3</v>
      </c>
      <c r="G75" s="4">
        <f t="shared" si="5"/>
        <v>13</v>
      </c>
      <c r="H75" s="8">
        <v>0.54375000000000007</v>
      </c>
      <c r="I75" s="22">
        <v>128.75146666666666</v>
      </c>
      <c r="J75" s="22">
        <v>31.749316666666665</v>
      </c>
      <c r="K75" s="27">
        <v>148.767</v>
      </c>
      <c r="L75" s="27">
        <v>150</v>
      </c>
      <c r="M75" s="27">
        <v>0</v>
      </c>
      <c r="N75" s="21">
        <v>16.540099999999999</v>
      </c>
      <c r="O75" s="24">
        <v>34.658799999999999</v>
      </c>
      <c r="P75" s="31">
        <v>0.24982349176470531</v>
      </c>
      <c r="Q75" s="31">
        <v>1.3897866400000005</v>
      </c>
      <c r="R75" s="26" t="s">
        <v>280</v>
      </c>
      <c r="S75" s="26">
        <v>1</v>
      </c>
      <c r="T75" s="71" t="s">
        <v>626</v>
      </c>
    </row>
    <row r="76" spans="1:20">
      <c r="A76" s="26" t="s">
        <v>138</v>
      </c>
      <c r="B76" s="26" t="s">
        <v>180</v>
      </c>
      <c r="C76" s="26" t="s">
        <v>506</v>
      </c>
      <c r="D76" s="25">
        <v>42442</v>
      </c>
      <c r="E76" s="1">
        <f t="shared" si="3"/>
        <v>2016</v>
      </c>
      <c r="F76" s="1">
        <f t="shared" si="4"/>
        <v>3</v>
      </c>
      <c r="G76" s="4">
        <f t="shared" si="5"/>
        <v>13</v>
      </c>
      <c r="H76" s="8">
        <v>0.54375000000000007</v>
      </c>
      <c r="I76" s="22">
        <v>128.75146666666666</v>
      </c>
      <c r="J76" s="22">
        <v>31.749316666666665</v>
      </c>
      <c r="K76" s="27">
        <v>198.77799999999999</v>
      </c>
      <c r="L76" s="27">
        <v>200</v>
      </c>
      <c r="M76" s="27">
        <v>0</v>
      </c>
      <c r="N76" s="21">
        <v>15.404299999999999</v>
      </c>
      <c r="O76" s="24">
        <v>34.580399999999997</v>
      </c>
      <c r="P76" s="31">
        <v>0.2146707200000002</v>
      </c>
      <c r="Q76" s="31">
        <v>1.0574201200000015</v>
      </c>
      <c r="R76" s="26" t="s">
        <v>280</v>
      </c>
      <c r="S76" s="26">
        <v>1</v>
      </c>
      <c r="T76" s="71" t="s">
        <v>626</v>
      </c>
    </row>
    <row r="77" spans="1:20">
      <c r="A77" s="26" t="s">
        <v>138</v>
      </c>
      <c r="B77" s="26" t="s">
        <v>180</v>
      </c>
      <c r="C77" s="26" t="s">
        <v>506</v>
      </c>
      <c r="D77" s="25">
        <v>42442</v>
      </c>
      <c r="E77" s="1">
        <f t="shared" si="3"/>
        <v>2016</v>
      </c>
      <c r="F77" s="1">
        <f t="shared" si="4"/>
        <v>3</v>
      </c>
      <c r="G77" s="4">
        <f t="shared" si="5"/>
        <v>13</v>
      </c>
      <c r="H77" s="8">
        <v>0.54375000000000007</v>
      </c>
      <c r="I77" s="22">
        <v>128.75146666666666</v>
      </c>
      <c r="J77" s="22">
        <v>31.749316666666665</v>
      </c>
      <c r="K77" s="27">
        <v>297.94299999999998</v>
      </c>
      <c r="L77" s="27">
        <v>300</v>
      </c>
      <c r="M77" s="27">
        <v>0</v>
      </c>
      <c r="N77" s="21">
        <v>11.181699999999999</v>
      </c>
      <c r="O77" s="24">
        <v>34.377800000000001</v>
      </c>
      <c r="P77" s="31">
        <v>6.1179868235293977E-2</v>
      </c>
      <c r="Q77" s="31">
        <v>-5.7123439999999803E-2</v>
      </c>
      <c r="R77" s="26" t="s">
        <v>280</v>
      </c>
      <c r="S77" s="26">
        <v>1</v>
      </c>
      <c r="T77" s="71" t="s">
        <v>626</v>
      </c>
    </row>
    <row r="78" spans="1:20">
      <c r="A78" s="26" t="s">
        <v>138</v>
      </c>
      <c r="B78" s="26" t="s">
        <v>180</v>
      </c>
      <c r="C78" s="26" t="s">
        <v>506</v>
      </c>
      <c r="D78" s="25">
        <v>42442</v>
      </c>
      <c r="E78" s="1">
        <f t="shared" si="3"/>
        <v>2016</v>
      </c>
      <c r="F78" s="1">
        <f t="shared" si="4"/>
        <v>3</v>
      </c>
      <c r="G78" s="4">
        <f t="shared" si="5"/>
        <v>13</v>
      </c>
      <c r="H78" s="8">
        <v>0.54375000000000007</v>
      </c>
      <c r="I78" s="22">
        <v>128.75146666666666</v>
      </c>
      <c r="J78" s="22">
        <v>31.749316666666665</v>
      </c>
      <c r="K78" s="27">
        <v>496.36399999999998</v>
      </c>
      <c r="L78" s="27">
        <v>500</v>
      </c>
      <c r="M78" s="27">
        <v>0</v>
      </c>
      <c r="N78" s="21">
        <v>7.4847999999999999</v>
      </c>
      <c r="O78" s="24">
        <v>34.3367</v>
      </c>
      <c r="P78" s="31">
        <v>-5.2186023529411596E-2</v>
      </c>
      <c r="Q78" s="31">
        <v>-1.0829967799999993</v>
      </c>
      <c r="R78" s="26" t="s">
        <v>280</v>
      </c>
      <c r="S78" s="26">
        <v>1</v>
      </c>
      <c r="T78" s="71" t="s">
        <v>626</v>
      </c>
    </row>
    <row r="79" spans="1:20">
      <c r="A79" s="26"/>
      <c r="B79" s="26"/>
      <c r="C79" s="26"/>
      <c r="D79" s="25"/>
      <c r="I79" s="22"/>
      <c r="J79" s="22"/>
      <c r="K79" s="27"/>
      <c r="L79" s="27"/>
      <c r="M79" s="27"/>
      <c r="N79" s="21"/>
      <c r="O79" s="24"/>
      <c r="P79" s="31"/>
      <c r="Q79" s="31"/>
      <c r="R79" s="26"/>
      <c r="S79" s="26"/>
      <c r="T79" s="71"/>
    </row>
    <row r="80" spans="1:20">
      <c r="A80" s="26" t="s">
        <v>138</v>
      </c>
      <c r="B80" s="26" t="s">
        <v>182</v>
      </c>
      <c r="C80" s="26" t="s">
        <v>506</v>
      </c>
      <c r="D80" s="25">
        <v>42442</v>
      </c>
      <c r="E80" s="1">
        <f t="shared" ref="E80:E91" si="6">YEAR(D80)</f>
        <v>2016</v>
      </c>
      <c r="F80" s="1">
        <f t="shared" ref="F80:F91" si="7">MONTH(D80)</f>
        <v>3</v>
      </c>
      <c r="G80" s="4">
        <f t="shared" ref="G80:G91" si="8">DAY(D80)</f>
        <v>13</v>
      </c>
      <c r="H80" s="8">
        <v>0.875</v>
      </c>
      <c r="I80" s="22">
        <v>129.24870000000001</v>
      </c>
      <c r="J80" s="22">
        <v>31.750183333333332</v>
      </c>
      <c r="K80" s="27">
        <v>0</v>
      </c>
      <c r="L80" s="27">
        <v>0</v>
      </c>
      <c r="M80" s="27">
        <v>0</v>
      </c>
      <c r="N80" s="21">
        <v>18.5</v>
      </c>
      <c r="O80" s="24">
        <v>34.829189243318851</v>
      </c>
      <c r="P80" s="31">
        <v>0.29810763294117648</v>
      </c>
      <c r="Q80" s="31">
        <v>1.771479639999999</v>
      </c>
      <c r="R80" s="26" t="s">
        <v>280</v>
      </c>
      <c r="S80" s="26">
        <v>1</v>
      </c>
      <c r="T80" s="71" t="s">
        <v>626</v>
      </c>
    </row>
    <row r="81" spans="1:20">
      <c r="A81" s="26" t="s">
        <v>138</v>
      </c>
      <c r="B81" s="26" t="s">
        <v>182</v>
      </c>
      <c r="C81" s="26" t="s">
        <v>506</v>
      </c>
      <c r="D81" s="25">
        <v>42442</v>
      </c>
      <c r="E81" s="1">
        <f t="shared" si="6"/>
        <v>2016</v>
      </c>
      <c r="F81" s="1">
        <f t="shared" si="7"/>
        <v>3</v>
      </c>
      <c r="G81" s="4">
        <f t="shared" si="8"/>
        <v>13</v>
      </c>
      <c r="H81" s="8">
        <v>0.875</v>
      </c>
      <c r="I81" s="22">
        <v>129.24870000000001</v>
      </c>
      <c r="J81" s="22">
        <v>31.750183333333332</v>
      </c>
      <c r="K81" s="27">
        <v>10.087999999999999</v>
      </c>
      <c r="L81" s="27">
        <v>10</v>
      </c>
      <c r="M81" s="27">
        <v>0</v>
      </c>
      <c r="N81" s="21">
        <v>18.543199999999999</v>
      </c>
      <c r="O81" s="24">
        <v>34.816600000000001</v>
      </c>
      <c r="P81" s="31">
        <v>0.25582606117647044</v>
      </c>
      <c r="Q81" s="31">
        <v>1.79751306</v>
      </c>
      <c r="R81" s="26" t="s">
        <v>280</v>
      </c>
      <c r="S81" s="26">
        <v>1</v>
      </c>
      <c r="T81" s="71" t="s">
        <v>626</v>
      </c>
    </row>
    <row r="82" spans="1:20">
      <c r="A82" s="26" t="s">
        <v>138</v>
      </c>
      <c r="B82" s="26" t="s">
        <v>182</v>
      </c>
      <c r="C82" s="26" t="s">
        <v>506</v>
      </c>
      <c r="D82" s="25">
        <v>42442</v>
      </c>
      <c r="E82" s="1">
        <f t="shared" si="6"/>
        <v>2016</v>
      </c>
      <c r="F82" s="1">
        <f t="shared" si="7"/>
        <v>3</v>
      </c>
      <c r="G82" s="4">
        <f t="shared" si="8"/>
        <v>13</v>
      </c>
      <c r="H82" s="8">
        <v>0.875</v>
      </c>
      <c r="I82" s="22">
        <v>129.24870000000001</v>
      </c>
      <c r="J82" s="22">
        <v>31.750183333333332</v>
      </c>
      <c r="K82" s="27">
        <v>20.074000000000002</v>
      </c>
      <c r="L82" s="27">
        <v>20</v>
      </c>
      <c r="M82" s="27">
        <v>0</v>
      </c>
      <c r="N82" s="21">
        <v>18.5489</v>
      </c>
      <c r="O82" s="24">
        <v>34.818600000000004</v>
      </c>
      <c r="P82" s="31">
        <v>0.33470833529411781</v>
      </c>
      <c r="Q82" s="31">
        <v>1.8614192329411772</v>
      </c>
      <c r="R82" s="26" t="s">
        <v>280</v>
      </c>
      <c r="S82" s="26">
        <v>1</v>
      </c>
      <c r="T82" s="71" t="s">
        <v>626</v>
      </c>
    </row>
    <row r="83" spans="1:20">
      <c r="A83" s="26" t="s">
        <v>138</v>
      </c>
      <c r="B83" s="26" t="s">
        <v>182</v>
      </c>
      <c r="C83" s="26" t="s">
        <v>506</v>
      </c>
      <c r="D83" s="25">
        <v>42442</v>
      </c>
      <c r="E83" s="1">
        <f t="shared" si="6"/>
        <v>2016</v>
      </c>
      <c r="F83" s="1">
        <f t="shared" si="7"/>
        <v>3</v>
      </c>
      <c r="G83" s="4">
        <f t="shared" si="8"/>
        <v>13</v>
      </c>
      <c r="H83" s="8">
        <v>0.875</v>
      </c>
      <c r="I83" s="22">
        <v>129.24870000000001</v>
      </c>
      <c r="J83" s="22">
        <v>31.750183333333332</v>
      </c>
      <c r="K83" s="27">
        <v>29.855</v>
      </c>
      <c r="L83" s="27">
        <v>30</v>
      </c>
      <c r="M83" s="27">
        <v>0</v>
      </c>
      <c r="N83" s="21">
        <v>18.543500000000002</v>
      </c>
      <c r="O83" s="24">
        <v>34.82</v>
      </c>
      <c r="P83" s="31">
        <v>0.31946680235294123</v>
      </c>
      <c r="Q83" s="31">
        <v>1.9494437435294127</v>
      </c>
      <c r="R83" s="26" t="s">
        <v>280</v>
      </c>
      <c r="S83" s="26">
        <v>1</v>
      </c>
      <c r="T83" s="71" t="s">
        <v>626</v>
      </c>
    </row>
    <row r="84" spans="1:20">
      <c r="A84" s="26" t="s">
        <v>138</v>
      </c>
      <c r="B84" s="26" t="s">
        <v>182</v>
      </c>
      <c r="C84" s="26" t="s">
        <v>506</v>
      </c>
      <c r="D84" s="25">
        <v>42442</v>
      </c>
      <c r="E84" s="1">
        <f t="shared" si="6"/>
        <v>2016</v>
      </c>
      <c r="F84" s="1">
        <f t="shared" si="7"/>
        <v>3</v>
      </c>
      <c r="G84" s="4">
        <f t="shared" si="8"/>
        <v>13</v>
      </c>
      <c r="H84" s="8">
        <v>0.875</v>
      </c>
      <c r="I84" s="22">
        <v>129.24870000000001</v>
      </c>
      <c r="J84" s="22">
        <v>31.750183333333332</v>
      </c>
      <c r="K84" s="27">
        <v>50.44</v>
      </c>
      <c r="L84" s="27">
        <v>50</v>
      </c>
      <c r="M84" s="27">
        <v>0</v>
      </c>
      <c r="N84" s="21">
        <v>18.531300000000002</v>
      </c>
      <c r="O84" s="24">
        <v>34.819800000000001</v>
      </c>
      <c r="P84" s="31">
        <v>0.31156422941176487</v>
      </c>
      <c r="Q84" s="31">
        <v>1.9790542941176454</v>
      </c>
      <c r="R84" s="26" t="s">
        <v>280</v>
      </c>
      <c r="S84" s="26">
        <v>1</v>
      </c>
      <c r="T84" s="71" t="s">
        <v>626</v>
      </c>
    </row>
    <row r="85" spans="1:20">
      <c r="A85" s="26" t="s">
        <v>138</v>
      </c>
      <c r="B85" s="26" t="s">
        <v>182</v>
      </c>
      <c r="C85" s="26" t="s">
        <v>506</v>
      </c>
      <c r="D85" s="25">
        <v>42442</v>
      </c>
      <c r="E85" s="1">
        <f t="shared" si="6"/>
        <v>2016</v>
      </c>
      <c r="F85" s="1">
        <f t="shared" si="7"/>
        <v>3</v>
      </c>
      <c r="G85" s="4">
        <f t="shared" si="8"/>
        <v>13</v>
      </c>
      <c r="H85" s="8">
        <v>0.875</v>
      </c>
      <c r="I85" s="22">
        <v>129.24870000000001</v>
      </c>
      <c r="J85" s="22">
        <v>31.750183333333332</v>
      </c>
      <c r="K85" s="27">
        <v>74.688999999999993</v>
      </c>
      <c r="L85" s="27">
        <v>75</v>
      </c>
      <c r="M85" s="27">
        <v>0</v>
      </c>
      <c r="N85" s="21">
        <v>18.086400000000001</v>
      </c>
      <c r="O85" s="24">
        <v>34.773600000000002</v>
      </c>
      <c r="P85" s="31">
        <v>0.29734199647058857</v>
      </c>
      <c r="Q85" s="31">
        <v>1.8236219647058807</v>
      </c>
      <c r="R85" s="26" t="s">
        <v>280</v>
      </c>
      <c r="S85" s="26">
        <v>1</v>
      </c>
      <c r="T85" s="71" t="s">
        <v>626</v>
      </c>
    </row>
    <row r="86" spans="1:20">
      <c r="A86" s="26" t="s">
        <v>138</v>
      </c>
      <c r="B86" s="26" t="s">
        <v>182</v>
      </c>
      <c r="C86" s="26" t="s">
        <v>506</v>
      </c>
      <c r="D86" s="25">
        <v>42442</v>
      </c>
      <c r="E86" s="1">
        <f t="shared" si="6"/>
        <v>2016</v>
      </c>
      <c r="F86" s="1">
        <f t="shared" si="7"/>
        <v>3</v>
      </c>
      <c r="G86" s="4">
        <f t="shared" si="8"/>
        <v>13</v>
      </c>
      <c r="H86" s="8">
        <v>0.875</v>
      </c>
      <c r="I86" s="22">
        <v>129.24870000000001</v>
      </c>
      <c r="J86" s="22">
        <v>31.750183333333332</v>
      </c>
      <c r="K86" s="27">
        <v>99.641000000000005</v>
      </c>
      <c r="L86" s="27">
        <v>100</v>
      </c>
      <c r="M86" s="27">
        <v>0</v>
      </c>
      <c r="N86" s="21">
        <v>17.481100000000001</v>
      </c>
      <c r="O86" s="24">
        <v>34.731999999999999</v>
      </c>
      <c r="P86" s="31">
        <v>0.25682182352941219</v>
      </c>
      <c r="Q86" s="31">
        <v>1.610755775294118</v>
      </c>
      <c r="R86" s="26" t="s">
        <v>280</v>
      </c>
      <c r="S86" s="26">
        <v>1</v>
      </c>
      <c r="T86" s="71" t="s">
        <v>626</v>
      </c>
    </row>
    <row r="87" spans="1:20">
      <c r="A87" s="26" t="s">
        <v>138</v>
      </c>
      <c r="B87" s="26" t="s">
        <v>182</v>
      </c>
      <c r="C87" s="26" t="s">
        <v>506</v>
      </c>
      <c r="D87" s="25">
        <v>42442</v>
      </c>
      <c r="E87" s="1">
        <f t="shared" si="6"/>
        <v>2016</v>
      </c>
      <c r="F87" s="1">
        <f t="shared" si="7"/>
        <v>3</v>
      </c>
      <c r="G87" s="4">
        <f t="shared" si="8"/>
        <v>13</v>
      </c>
      <c r="H87" s="8">
        <v>0.875</v>
      </c>
      <c r="I87" s="22">
        <v>129.24870000000001</v>
      </c>
      <c r="J87" s="22">
        <v>31.750183333333332</v>
      </c>
      <c r="K87" s="27">
        <v>124.83199999999999</v>
      </c>
      <c r="L87" s="27">
        <v>125</v>
      </c>
      <c r="M87" s="27">
        <v>0</v>
      </c>
      <c r="N87" s="21">
        <v>17.2486</v>
      </c>
      <c r="O87" s="24">
        <v>34.718499999999999</v>
      </c>
      <c r="P87" s="31">
        <v>0.25625821058823517</v>
      </c>
      <c r="Q87" s="31">
        <v>1.5817563458823543</v>
      </c>
      <c r="R87" s="26" t="s">
        <v>280</v>
      </c>
      <c r="S87" s="26">
        <v>1</v>
      </c>
      <c r="T87" s="71" t="s">
        <v>626</v>
      </c>
    </row>
    <row r="88" spans="1:20">
      <c r="A88" s="26" t="s">
        <v>138</v>
      </c>
      <c r="B88" s="26" t="s">
        <v>182</v>
      </c>
      <c r="C88" s="26" t="s">
        <v>506</v>
      </c>
      <c r="D88" s="25">
        <v>42442</v>
      </c>
      <c r="E88" s="1">
        <f t="shared" si="6"/>
        <v>2016</v>
      </c>
      <c r="F88" s="1">
        <f t="shared" si="7"/>
        <v>3</v>
      </c>
      <c r="G88" s="4">
        <f t="shared" si="8"/>
        <v>13</v>
      </c>
      <c r="H88" s="8">
        <v>0.875</v>
      </c>
      <c r="I88" s="22">
        <v>129.24870000000001</v>
      </c>
      <c r="J88" s="22">
        <v>31.750183333333332</v>
      </c>
      <c r="K88" s="27">
        <v>149.58199999999999</v>
      </c>
      <c r="L88" s="27">
        <v>150</v>
      </c>
      <c r="M88" s="27">
        <v>0</v>
      </c>
      <c r="N88" s="21">
        <v>16.678899999999999</v>
      </c>
      <c r="O88" s="24">
        <v>34.692500000000003</v>
      </c>
      <c r="P88" s="31">
        <v>0.26201425764705899</v>
      </c>
      <c r="Q88" s="31">
        <v>1.5609897564705886</v>
      </c>
      <c r="R88" s="26" t="s">
        <v>280</v>
      </c>
      <c r="S88" s="26">
        <v>1</v>
      </c>
      <c r="T88" s="71" t="s">
        <v>626</v>
      </c>
    </row>
    <row r="89" spans="1:20">
      <c r="A89" s="26" t="s">
        <v>138</v>
      </c>
      <c r="B89" s="26" t="s">
        <v>182</v>
      </c>
      <c r="C89" s="26" t="s">
        <v>506</v>
      </c>
      <c r="D89" s="25">
        <v>42442</v>
      </c>
      <c r="E89" s="1">
        <f t="shared" si="6"/>
        <v>2016</v>
      </c>
      <c r="F89" s="1">
        <f t="shared" si="7"/>
        <v>3</v>
      </c>
      <c r="G89" s="4">
        <f t="shared" si="8"/>
        <v>13</v>
      </c>
      <c r="H89" s="8">
        <v>0.875</v>
      </c>
      <c r="I89" s="22">
        <v>129.24870000000001</v>
      </c>
      <c r="J89" s="22">
        <v>31.750183333333332</v>
      </c>
      <c r="K89" s="27">
        <v>199.298</v>
      </c>
      <c r="L89" s="27">
        <v>200</v>
      </c>
      <c r="M89" s="27">
        <v>0</v>
      </c>
      <c r="N89" s="21">
        <v>14.639099999999999</v>
      </c>
      <c r="O89" s="24">
        <v>34.566899999999997</v>
      </c>
      <c r="P89" s="31">
        <v>0.143763465882353</v>
      </c>
      <c r="Q89" s="31">
        <v>0.88555095882353108</v>
      </c>
      <c r="R89" s="26" t="s">
        <v>280</v>
      </c>
      <c r="S89" s="26">
        <v>1</v>
      </c>
      <c r="T89" s="71" t="s">
        <v>626</v>
      </c>
    </row>
    <row r="90" spans="1:20">
      <c r="A90" s="26" t="s">
        <v>138</v>
      </c>
      <c r="B90" s="26" t="s">
        <v>182</v>
      </c>
      <c r="C90" s="26" t="s">
        <v>506</v>
      </c>
      <c r="D90" s="25">
        <v>42442</v>
      </c>
      <c r="E90" s="1">
        <f t="shared" si="6"/>
        <v>2016</v>
      </c>
      <c r="F90" s="1">
        <f t="shared" si="7"/>
        <v>3</v>
      </c>
      <c r="G90" s="4">
        <f t="shared" si="8"/>
        <v>13</v>
      </c>
      <c r="H90" s="8">
        <v>0.875</v>
      </c>
      <c r="I90" s="22">
        <v>129.24870000000001</v>
      </c>
      <c r="J90" s="22">
        <v>31.750183333333332</v>
      </c>
      <c r="K90" s="27">
        <v>298.29199999999997</v>
      </c>
      <c r="L90" s="27">
        <v>300</v>
      </c>
      <c r="M90" s="27">
        <v>0</v>
      </c>
      <c r="N90" s="21">
        <v>11.428699999999999</v>
      </c>
      <c r="O90" s="24">
        <v>34.396000000000001</v>
      </c>
      <c r="P90" s="31">
        <v>-3.1716270588235673E-3</v>
      </c>
      <c r="Q90" s="31">
        <v>-0.11355145058823624</v>
      </c>
      <c r="R90" s="26" t="s">
        <v>280</v>
      </c>
      <c r="S90" s="26">
        <v>1</v>
      </c>
      <c r="T90" s="71" t="s">
        <v>626</v>
      </c>
    </row>
    <row r="91" spans="1:20">
      <c r="A91" s="26" t="s">
        <v>138</v>
      </c>
      <c r="B91" s="26" t="s">
        <v>182</v>
      </c>
      <c r="C91" s="26" t="s">
        <v>506</v>
      </c>
      <c r="D91" s="25">
        <v>42442</v>
      </c>
      <c r="E91" s="1">
        <f t="shared" si="6"/>
        <v>2016</v>
      </c>
      <c r="F91" s="1">
        <f t="shared" si="7"/>
        <v>3</v>
      </c>
      <c r="G91" s="4">
        <f t="shared" si="8"/>
        <v>13</v>
      </c>
      <c r="H91" s="8">
        <v>0.875</v>
      </c>
      <c r="I91" s="22">
        <v>129.24870000000001</v>
      </c>
      <c r="J91" s="22">
        <v>31.750183333333332</v>
      </c>
      <c r="K91" s="27">
        <v>496.70800000000003</v>
      </c>
      <c r="L91" s="27">
        <v>500</v>
      </c>
      <c r="M91" s="27">
        <v>0</v>
      </c>
      <c r="N91" s="21">
        <v>7.6375999999999999</v>
      </c>
      <c r="O91" s="24">
        <v>34.337400000000002</v>
      </c>
      <c r="P91" s="31">
        <v>-0.1003648800000001</v>
      </c>
      <c r="Q91" s="31">
        <v>-1.0405185000000001</v>
      </c>
      <c r="R91" s="26" t="s">
        <v>280</v>
      </c>
      <c r="S91" s="26">
        <v>1</v>
      </c>
      <c r="T91" s="71" t="s">
        <v>626</v>
      </c>
    </row>
    <row r="92" spans="1:20">
      <c r="A92" s="26"/>
      <c r="B92" s="26"/>
      <c r="C92" s="26"/>
      <c r="D92" s="25"/>
      <c r="I92" s="22"/>
      <c r="J92" s="22"/>
      <c r="K92" s="27"/>
      <c r="L92" s="27"/>
      <c r="M92" s="27"/>
      <c r="N92" s="21"/>
      <c r="O92" s="24"/>
      <c r="P92" s="31"/>
      <c r="Q92" s="31"/>
      <c r="R92" s="26"/>
      <c r="S92" s="26"/>
      <c r="T92" s="71"/>
    </row>
    <row r="93" spans="1:20">
      <c r="A93" s="26" t="s">
        <v>140</v>
      </c>
      <c r="B93" s="26" t="s">
        <v>213</v>
      </c>
      <c r="C93" s="26" t="s">
        <v>506</v>
      </c>
      <c r="D93" s="25">
        <v>42568</v>
      </c>
      <c r="E93" s="1">
        <f t="shared" ref="E93:E139" si="9">YEAR(D93)</f>
        <v>2016</v>
      </c>
      <c r="F93" s="1">
        <f t="shared" ref="F93:F139" si="10">MONTH(D93)</f>
        <v>7</v>
      </c>
      <c r="G93" s="4">
        <f t="shared" ref="G93:G139" si="11">DAY(D93)</f>
        <v>17</v>
      </c>
      <c r="H93" s="8">
        <v>0.50069444444444444</v>
      </c>
      <c r="I93" s="22">
        <v>127.24850000000001</v>
      </c>
      <c r="J93" s="22">
        <v>31.750133333333334</v>
      </c>
      <c r="K93" s="27">
        <v>0</v>
      </c>
      <c r="L93" s="27">
        <v>0</v>
      </c>
      <c r="M93" s="27">
        <v>0</v>
      </c>
      <c r="N93" s="21">
        <v>27.5</v>
      </c>
      <c r="O93" s="24">
        <v>29.625048222731387</v>
      </c>
      <c r="P93" s="31">
        <v>-0.95422917647058814</v>
      </c>
      <c r="Q93" s="31">
        <v>-6.1224372799999989</v>
      </c>
      <c r="R93" s="26" t="s">
        <v>280</v>
      </c>
      <c r="S93" s="26">
        <v>1</v>
      </c>
      <c r="T93" s="71" t="s">
        <v>626</v>
      </c>
    </row>
    <row r="94" spans="1:20">
      <c r="A94" s="26" t="s">
        <v>140</v>
      </c>
      <c r="B94" s="26" t="s">
        <v>213</v>
      </c>
      <c r="C94" s="26" t="s">
        <v>506</v>
      </c>
      <c r="D94" s="25">
        <v>42568</v>
      </c>
      <c r="E94" s="1">
        <f t="shared" si="9"/>
        <v>2016</v>
      </c>
      <c r="F94" s="1">
        <f t="shared" si="10"/>
        <v>7</v>
      </c>
      <c r="G94" s="4">
        <f t="shared" si="11"/>
        <v>17</v>
      </c>
      <c r="H94" s="8">
        <v>0.50069444444444444</v>
      </c>
      <c r="I94" s="22">
        <v>127.24850000000001</v>
      </c>
      <c r="J94" s="22">
        <v>31.750133333333334</v>
      </c>
      <c r="K94" s="27">
        <v>9</v>
      </c>
      <c r="L94" s="27">
        <v>10</v>
      </c>
      <c r="M94" s="27">
        <v>0</v>
      </c>
      <c r="N94" s="21">
        <v>27.64</v>
      </c>
      <c r="O94" s="24">
        <v>29.619499999999999</v>
      </c>
      <c r="P94" s="31">
        <v>-0.77262929411764691</v>
      </c>
      <c r="Q94" s="31">
        <v>-4.9557804799999987</v>
      </c>
      <c r="R94" s="26" t="s">
        <v>280</v>
      </c>
      <c r="S94" s="26">
        <v>1</v>
      </c>
      <c r="T94" s="71" t="s">
        <v>626</v>
      </c>
    </row>
    <row r="95" spans="1:20">
      <c r="A95" s="26" t="s">
        <v>140</v>
      </c>
      <c r="B95" s="26" t="s">
        <v>213</v>
      </c>
      <c r="C95" s="26" t="s">
        <v>506</v>
      </c>
      <c r="D95" s="25">
        <v>42568</v>
      </c>
      <c r="E95" s="1">
        <f t="shared" si="9"/>
        <v>2016</v>
      </c>
      <c r="F95" s="1">
        <f t="shared" si="10"/>
        <v>7</v>
      </c>
      <c r="G95" s="4">
        <f t="shared" si="11"/>
        <v>17</v>
      </c>
      <c r="H95" s="8">
        <v>0.50069444444444444</v>
      </c>
      <c r="I95" s="22">
        <v>127.24850000000001</v>
      </c>
      <c r="J95" s="22">
        <v>31.750133333333334</v>
      </c>
      <c r="K95" s="27">
        <v>20</v>
      </c>
      <c r="L95" s="27">
        <v>20</v>
      </c>
      <c r="M95" s="27">
        <v>0</v>
      </c>
      <c r="N95" s="21">
        <v>24.606000000000002</v>
      </c>
      <c r="O95" s="24">
        <v>32.615400000000001</v>
      </c>
      <c r="P95" s="31">
        <v>-0.17539776470588264</v>
      </c>
      <c r="Q95" s="31">
        <v>-0.852468</v>
      </c>
      <c r="R95" s="26" t="s">
        <v>280</v>
      </c>
      <c r="S95" s="26">
        <v>1</v>
      </c>
      <c r="T95" s="71" t="s">
        <v>626</v>
      </c>
    </row>
    <row r="96" spans="1:20">
      <c r="A96" s="26" t="s">
        <v>140</v>
      </c>
      <c r="B96" s="26" t="s">
        <v>213</v>
      </c>
      <c r="C96" s="26" t="s">
        <v>506</v>
      </c>
      <c r="D96" s="25">
        <v>42568</v>
      </c>
      <c r="E96" s="1">
        <f t="shared" si="9"/>
        <v>2016</v>
      </c>
      <c r="F96" s="1">
        <f t="shared" si="10"/>
        <v>7</v>
      </c>
      <c r="G96" s="4">
        <f t="shared" si="11"/>
        <v>17</v>
      </c>
      <c r="H96" s="8">
        <v>0.50069444444444444</v>
      </c>
      <c r="I96" s="22">
        <v>127.24850000000001</v>
      </c>
      <c r="J96" s="22">
        <v>31.750133333333334</v>
      </c>
      <c r="K96" s="27">
        <v>30</v>
      </c>
      <c r="L96" s="27">
        <v>30</v>
      </c>
      <c r="M96" s="27">
        <v>0</v>
      </c>
      <c r="N96" s="21">
        <v>20.616</v>
      </c>
      <c r="O96" s="24">
        <v>33.034300000000002</v>
      </c>
      <c r="P96" s="31">
        <v>-9.5710882352941562E-2</v>
      </c>
      <c r="Q96" s="31">
        <v>-0.45589306666666651</v>
      </c>
      <c r="R96" s="26" t="s">
        <v>280</v>
      </c>
      <c r="S96" s="26">
        <v>1</v>
      </c>
      <c r="T96" s="71" t="s">
        <v>626</v>
      </c>
    </row>
    <row r="97" spans="1:20">
      <c r="A97" s="26" t="s">
        <v>140</v>
      </c>
      <c r="B97" s="26" t="s">
        <v>213</v>
      </c>
      <c r="C97" s="26" t="s">
        <v>506</v>
      </c>
      <c r="D97" s="25">
        <v>42568</v>
      </c>
      <c r="E97" s="1">
        <f t="shared" si="9"/>
        <v>2016</v>
      </c>
      <c r="F97" s="1">
        <f t="shared" si="10"/>
        <v>7</v>
      </c>
      <c r="G97" s="4">
        <f t="shared" si="11"/>
        <v>17</v>
      </c>
      <c r="H97" s="8">
        <v>0.50069444444444444</v>
      </c>
      <c r="I97" s="22">
        <v>127.24850000000001</v>
      </c>
      <c r="J97" s="22">
        <v>31.750133333333334</v>
      </c>
      <c r="K97" s="27">
        <v>34</v>
      </c>
      <c r="L97" s="27">
        <v>34</v>
      </c>
      <c r="M97" s="27">
        <v>0</v>
      </c>
      <c r="N97" s="21">
        <v>19.88</v>
      </c>
      <c r="O97" s="24">
        <v>33.325099999999999</v>
      </c>
      <c r="P97" s="31">
        <v>-4.7557000000000293E-2</v>
      </c>
      <c r="Q97" s="31">
        <v>-0.25178896000000073</v>
      </c>
      <c r="R97" s="26" t="s">
        <v>280</v>
      </c>
      <c r="S97" s="26">
        <v>1</v>
      </c>
      <c r="T97" s="71" t="s">
        <v>626</v>
      </c>
    </row>
    <row r="98" spans="1:20">
      <c r="A98" s="26" t="s">
        <v>140</v>
      </c>
      <c r="B98" s="26" t="s">
        <v>213</v>
      </c>
      <c r="C98" s="26" t="s">
        <v>506</v>
      </c>
      <c r="D98" s="25">
        <v>42568</v>
      </c>
      <c r="E98" s="1">
        <f t="shared" si="9"/>
        <v>2016</v>
      </c>
      <c r="F98" s="1">
        <f t="shared" si="10"/>
        <v>7</v>
      </c>
      <c r="G98" s="4">
        <f t="shared" si="11"/>
        <v>17</v>
      </c>
      <c r="H98" s="8">
        <v>0.50069444444444444</v>
      </c>
      <c r="I98" s="22">
        <v>127.24850000000001</v>
      </c>
      <c r="J98" s="22">
        <v>31.750133333333334</v>
      </c>
      <c r="K98" s="27">
        <v>49</v>
      </c>
      <c r="L98" s="27">
        <v>50</v>
      </c>
      <c r="M98" s="27">
        <v>0</v>
      </c>
      <c r="N98" s="21">
        <v>18.831</v>
      </c>
      <c r="O98" s="24">
        <v>34.232100000000003</v>
      </c>
      <c r="P98" s="31">
        <v>0.18786288235294091</v>
      </c>
      <c r="Q98" s="31">
        <v>1.0937703999999986</v>
      </c>
      <c r="R98" s="26" t="s">
        <v>280</v>
      </c>
      <c r="S98" s="26">
        <v>1</v>
      </c>
      <c r="T98" s="71" t="s">
        <v>626</v>
      </c>
    </row>
    <row r="99" spans="1:20">
      <c r="A99" s="26" t="s">
        <v>140</v>
      </c>
      <c r="B99" s="26" t="s">
        <v>213</v>
      </c>
      <c r="C99" s="26" t="s">
        <v>506</v>
      </c>
      <c r="D99" s="25">
        <v>42568</v>
      </c>
      <c r="E99" s="1">
        <f t="shared" si="9"/>
        <v>2016</v>
      </c>
      <c r="F99" s="1">
        <f t="shared" si="10"/>
        <v>7</v>
      </c>
      <c r="G99" s="4">
        <f t="shared" si="11"/>
        <v>17</v>
      </c>
      <c r="H99" s="8">
        <v>0.50069444444444444</v>
      </c>
      <c r="I99" s="22">
        <v>127.24850000000001</v>
      </c>
      <c r="J99" s="22">
        <v>31.750133333333334</v>
      </c>
      <c r="K99" s="27">
        <v>74</v>
      </c>
      <c r="L99" s="27">
        <v>75</v>
      </c>
      <c r="M99" s="27">
        <v>0</v>
      </c>
      <c r="N99" s="21">
        <v>18.548999999999999</v>
      </c>
      <c r="O99" s="24">
        <v>34.548200000000001</v>
      </c>
      <c r="P99" s="31">
        <v>0.19641076470588281</v>
      </c>
      <c r="Q99" s="31">
        <v>1.3708784000000005</v>
      </c>
      <c r="R99" s="26" t="s">
        <v>280</v>
      </c>
      <c r="S99" s="26">
        <v>1</v>
      </c>
      <c r="T99" s="71" t="s">
        <v>626</v>
      </c>
    </row>
    <row r="100" spans="1:20">
      <c r="A100" s="26" t="s">
        <v>140</v>
      </c>
      <c r="B100" s="26" t="s">
        <v>213</v>
      </c>
      <c r="C100" s="26" t="s">
        <v>506</v>
      </c>
      <c r="D100" s="25">
        <v>42568</v>
      </c>
      <c r="E100" s="1">
        <f t="shared" si="9"/>
        <v>2016</v>
      </c>
      <c r="F100" s="1">
        <f t="shared" si="10"/>
        <v>7</v>
      </c>
      <c r="G100" s="4">
        <f t="shared" si="11"/>
        <v>17</v>
      </c>
      <c r="H100" s="8">
        <v>0.50069444444444444</v>
      </c>
      <c r="I100" s="22">
        <v>127.24850000000001</v>
      </c>
      <c r="J100" s="22">
        <v>31.750133333333334</v>
      </c>
      <c r="K100" s="27">
        <v>101</v>
      </c>
      <c r="L100" s="27">
        <v>100</v>
      </c>
      <c r="M100" s="27">
        <v>0</v>
      </c>
      <c r="N100" s="21">
        <v>15.941000000000001</v>
      </c>
      <c r="O100" s="24">
        <v>34.582799999999999</v>
      </c>
      <c r="P100" s="31">
        <v>0.23849264705882378</v>
      </c>
      <c r="Q100" s="31">
        <v>1.1390771199999996</v>
      </c>
      <c r="R100" s="26" t="s">
        <v>280</v>
      </c>
      <c r="S100" s="26">
        <v>1</v>
      </c>
      <c r="T100" s="71" t="s">
        <v>626</v>
      </c>
    </row>
    <row r="101" spans="1:20">
      <c r="A101" s="26" t="s">
        <v>140</v>
      </c>
      <c r="B101" s="26" t="s">
        <v>213</v>
      </c>
      <c r="C101" s="26" t="s">
        <v>506</v>
      </c>
      <c r="D101" s="25">
        <v>42568</v>
      </c>
      <c r="E101" s="1">
        <f t="shared" si="9"/>
        <v>2016</v>
      </c>
      <c r="F101" s="1">
        <f t="shared" si="10"/>
        <v>7</v>
      </c>
      <c r="G101" s="4">
        <f t="shared" si="11"/>
        <v>17</v>
      </c>
      <c r="H101" s="8">
        <v>0.50069444444444444</v>
      </c>
      <c r="I101" s="22">
        <v>127.24850000000001</v>
      </c>
      <c r="J101" s="22">
        <v>31.750133333333334</v>
      </c>
      <c r="K101" s="27">
        <v>120</v>
      </c>
      <c r="L101" s="27">
        <v>120</v>
      </c>
      <c r="M101" s="27">
        <v>0</v>
      </c>
      <c r="N101" s="21">
        <v>15.929</v>
      </c>
      <c r="O101" s="24">
        <v>34.583799999999997</v>
      </c>
      <c r="P101" s="31">
        <v>0.22820352941176436</v>
      </c>
      <c r="Q101" s="31">
        <v>1.0365384000000013</v>
      </c>
      <c r="R101" s="26" t="s">
        <v>280</v>
      </c>
      <c r="S101" s="26">
        <v>1</v>
      </c>
      <c r="T101" s="71" t="s">
        <v>626</v>
      </c>
    </row>
    <row r="102" spans="1:20">
      <c r="A102" s="26"/>
      <c r="B102" s="26"/>
      <c r="C102" s="26"/>
      <c r="D102" s="25"/>
      <c r="I102" s="22"/>
      <c r="J102" s="22"/>
      <c r="K102" s="27"/>
      <c r="L102" s="27"/>
      <c r="M102" s="27"/>
      <c r="N102" s="21"/>
      <c r="O102" s="24"/>
      <c r="P102" s="31"/>
      <c r="Q102" s="31"/>
      <c r="R102" s="26"/>
      <c r="S102" s="26"/>
      <c r="T102" s="71"/>
    </row>
    <row r="103" spans="1:20">
      <c r="A103" s="26" t="s">
        <v>140</v>
      </c>
      <c r="B103" s="26" t="s">
        <v>214</v>
      </c>
      <c r="C103" s="26" t="s">
        <v>506</v>
      </c>
      <c r="D103" s="25">
        <v>42569</v>
      </c>
      <c r="E103" s="1">
        <f t="shared" si="9"/>
        <v>2016</v>
      </c>
      <c r="F103" s="1">
        <f t="shared" si="10"/>
        <v>7</v>
      </c>
      <c r="G103" s="4">
        <f t="shared" si="11"/>
        <v>18</v>
      </c>
      <c r="H103" s="8">
        <v>0.50486111111111109</v>
      </c>
      <c r="I103" s="22">
        <v>128.74966666666666</v>
      </c>
      <c r="J103" s="22">
        <v>31.749500000000001</v>
      </c>
      <c r="K103" s="27">
        <v>0</v>
      </c>
      <c r="L103" s="27">
        <v>0</v>
      </c>
      <c r="M103" s="27">
        <v>0</v>
      </c>
      <c r="N103" s="21">
        <v>28.1</v>
      </c>
      <c r="O103" s="24">
        <v>33.253115754809336</v>
      </c>
      <c r="P103" s="31">
        <v>-0.10417769411764732</v>
      </c>
      <c r="Q103" s="31">
        <v>-0.74443785411764729</v>
      </c>
      <c r="R103" s="26" t="s">
        <v>280</v>
      </c>
      <c r="S103" s="26">
        <v>1</v>
      </c>
      <c r="T103" s="71" t="s">
        <v>626</v>
      </c>
    </row>
    <row r="104" spans="1:20">
      <c r="A104" s="26" t="s">
        <v>140</v>
      </c>
      <c r="B104" s="26" t="s">
        <v>214</v>
      </c>
      <c r="C104" s="26" t="s">
        <v>506</v>
      </c>
      <c r="D104" s="25">
        <v>42569</v>
      </c>
      <c r="E104" s="1">
        <f t="shared" si="9"/>
        <v>2016</v>
      </c>
      <c r="F104" s="1">
        <f t="shared" si="10"/>
        <v>7</v>
      </c>
      <c r="G104" s="4">
        <f t="shared" si="11"/>
        <v>18</v>
      </c>
      <c r="H104" s="8">
        <v>0.50486111111111109</v>
      </c>
      <c r="I104" s="22">
        <v>128.74966666666666</v>
      </c>
      <c r="J104" s="22">
        <v>31.749500000000001</v>
      </c>
      <c r="K104" s="27">
        <v>10</v>
      </c>
      <c r="L104" s="27">
        <v>10</v>
      </c>
      <c r="M104" s="27">
        <v>0</v>
      </c>
      <c r="N104" s="21">
        <v>27.585999999999999</v>
      </c>
      <c r="O104" s="24">
        <v>33.283000000000001</v>
      </c>
      <c r="P104" s="31">
        <v>-0.1218127764705883</v>
      </c>
      <c r="Q104" s="31">
        <v>-0.57816885647058847</v>
      </c>
      <c r="R104" s="26" t="s">
        <v>280</v>
      </c>
      <c r="S104" s="26">
        <v>1</v>
      </c>
      <c r="T104" s="71" t="s">
        <v>626</v>
      </c>
    </row>
    <row r="105" spans="1:20">
      <c r="A105" s="26" t="s">
        <v>140</v>
      </c>
      <c r="B105" s="26" t="s">
        <v>214</v>
      </c>
      <c r="C105" s="26" t="s">
        <v>506</v>
      </c>
      <c r="D105" s="25">
        <v>42569</v>
      </c>
      <c r="E105" s="1">
        <f t="shared" si="9"/>
        <v>2016</v>
      </c>
      <c r="F105" s="1">
        <f t="shared" si="10"/>
        <v>7</v>
      </c>
      <c r="G105" s="4">
        <f t="shared" si="11"/>
        <v>18</v>
      </c>
      <c r="H105" s="8">
        <v>0.50486111111111109</v>
      </c>
      <c r="I105" s="22">
        <v>128.74966666666666</v>
      </c>
      <c r="J105" s="22">
        <v>31.749500000000001</v>
      </c>
      <c r="K105" s="27">
        <v>20</v>
      </c>
      <c r="L105" s="27">
        <v>20</v>
      </c>
      <c r="M105" s="27">
        <v>0</v>
      </c>
      <c r="N105" s="21">
        <v>27.225000000000001</v>
      </c>
      <c r="O105" s="24">
        <v>33.553100000000001</v>
      </c>
      <c r="P105" s="31">
        <v>0.10737082117647057</v>
      </c>
      <c r="Q105" s="31">
        <v>0.48761646117647217</v>
      </c>
      <c r="R105" s="26" t="s">
        <v>280</v>
      </c>
      <c r="S105" s="26">
        <v>1</v>
      </c>
      <c r="T105" s="71" t="s">
        <v>626</v>
      </c>
    </row>
    <row r="106" spans="1:20">
      <c r="A106" s="26" t="s">
        <v>140</v>
      </c>
      <c r="B106" s="26" t="s">
        <v>214</v>
      </c>
      <c r="C106" s="26" t="s">
        <v>506</v>
      </c>
      <c r="D106" s="25">
        <v>42569</v>
      </c>
      <c r="E106" s="1">
        <f t="shared" si="9"/>
        <v>2016</v>
      </c>
      <c r="F106" s="1">
        <f t="shared" si="10"/>
        <v>7</v>
      </c>
      <c r="G106" s="4">
        <f t="shared" si="11"/>
        <v>18</v>
      </c>
      <c r="H106" s="8">
        <v>0.50486111111111109</v>
      </c>
      <c r="I106" s="22">
        <v>128.74966666666666</v>
      </c>
      <c r="J106" s="22">
        <v>31.749500000000001</v>
      </c>
      <c r="K106" s="27">
        <v>29</v>
      </c>
      <c r="L106" s="27">
        <v>30</v>
      </c>
      <c r="M106" s="27">
        <v>0</v>
      </c>
      <c r="N106" s="21">
        <v>24.827000000000002</v>
      </c>
      <c r="O106" s="24">
        <v>34.395200000000003</v>
      </c>
      <c r="P106" s="31">
        <v>0.25955191882352935</v>
      </c>
      <c r="Q106" s="31">
        <v>1.2534316988235297</v>
      </c>
      <c r="R106" s="26" t="s">
        <v>280</v>
      </c>
      <c r="S106" s="26">
        <v>1</v>
      </c>
      <c r="T106" s="71" t="s">
        <v>626</v>
      </c>
    </row>
    <row r="107" spans="1:20">
      <c r="A107" s="26" t="s">
        <v>140</v>
      </c>
      <c r="B107" s="26" t="s">
        <v>214</v>
      </c>
      <c r="C107" s="26" t="s">
        <v>506</v>
      </c>
      <c r="D107" s="25">
        <v>42569</v>
      </c>
      <c r="E107" s="1">
        <f t="shared" si="9"/>
        <v>2016</v>
      </c>
      <c r="F107" s="1">
        <f t="shared" si="10"/>
        <v>7</v>
      </c>
      <c r="G107" s="4">
        <f t="shared" si="11"/>
        <v>18</v>
      </c>
      <c r="H107" s="8">
        <v>0.50486111111111109</v>
      </c>
      <c r="I107" s="22">
        <v>128.74966666666666</v>
      </c>
      <c r="J107" s="22">
        <v>31.749500000000001</v>
      </c>
      <c r="K107" s="27">
        <v>50</v>
      </c>
      <c r="L107" s="27">
        <v>50</v>
      </c>
      <c r="M107" s="27">
        <v>0</v>
      </c>
      <c r="N107" s="21">
        <v>22.803999999999998</v>
      </c>
      <c r="O107" s="24">
        <v>34.578800000000001</v>
      </c>
      <c r="P107" s="31">
        <v>0.253621216470588</v>
      </c>
      <c r="Q107" s="31">
        <v>1.5053782964705889</v>
      </c>
      <c r="R107" s="26" t="s">
        <v>280</v>
      </c>
      <c r="S107" s="26">
        <v>1</v>
      </c>
      <c r="T107" s="71" t="s">
        <v>626</v>
      </c>
    </row>
    <row r="108" spans="1:20">
      <c r="A108" s="26" t="s">
        <v>140</v>
      </c>
      <c r="B108" s="26" t="s">
        <v>214</v>
      </c>
      <c r="C108" s="26" t="s">
        <v>506</v>
      </c>
      <c r="D108" s="25">
        <v>42569</v>
      </c>
      <c r="E108" s="1">
        <f t="shared" si="9"/>
        <v>2016</v>
      </c>
      <c r="F108" s="1">
        <f t="shared" si="10"/>
        <v>7</v>
      </c>
      <c r="G108" s="4">
        <f t="shared" si="11"/>
        <v>18</v>
      </c>
      <c r="H108" s="8">
        <v>0.50486111111111109</v>
      </c>
      <c r="I108" s="22">
        <v>128.74966666666666</v>
      </c>
      <c r="J108" s="22">
        <v>31.749500000000001</v>
      </c>
      <c r="K108" s="27">
        <v>59</v>
      </c>
      <c r="L108" s="27">
        <v>60</v>
      </c>
      <c r="M108" s="27">
        <v>0</v>
      </c>
      <c r="N108" s="21">
        <v>21.681999999999999</v>
      </c>
      <c r="O108" s="24">
        <v>34.644599999999997</v>
      </c>
      <c r="P108" s="31">
        <v>0.25220799411764672</v>
      </c>
      <c r="Q108" s="31">
        <v>1.5406688941176476</v>
      </c>
      <c r="R108" s="26" t="s">
        <v>280</v>
      </c>
      <c r="S108" s="26">
        <v>1</v>
      </c>
      <c r="T108" s="71" t="s">
        <v>626</v>
      </c>
    </row>
    <row r="109" spans="1:20">
      <c r="A109" s="26" t="s">
        <v>140</v>
      </c>
      <c r="B109" s="26" t="s">
        <v>214</v>
      </c>
      <c r="C109" s="26" t="s">
        <v>506</v>
      </c>
      <c r="D109" s="25">
        <v>42569</v>
      </c>
      <c r="E109" s="1">
        <f t="shared" si="9"/>
        <v>2016</v>
      </c>
      <c r="F109" s="1">
        <f t="shared" si="10"/>
        <v>7</v>
      </c>
      <c r="G109" s="4">
        <f t="shared" si="11"/>
        <v>18</v>
      </c>
      <c r="H109" s="8">
        <v>0.50486111111111109</v>
      </c>
      <c r="I109" s="22">
        <v>128.74966666666666</v>
      </c>
      <c r="J109" s="22">
        <v>31.749500000000001</v>
      </c>
      <c r="K109" s="27">
        <v>75</v>
      </c>
      <c r="L109" s="27">
        <v>75</v>
      </c>
      <c r="M109" s="27">
        <v>0</v>
      </c>
      <c r="N109" s="21">
        <v>20.356000000000002</v>
      </c>
      <c r="O109" s="24">
        <v>34.701500000000003</v>
      </c>
      <c r="P109" s="31">
        <v>0.18413174470588212</v>
      </c>
      <c r="Q109" s="31">
        <v>1.378906804705883</v>
      </c>
      <c r="R109" s="26" t="s">
        <v>280</v>
      </c>
      <c r="S109" s="26">
        <v>1</v>
      </c>
      <c r="T109" s="71" t="s">
        <v>626</v>
      </c>
    </row>
    <row r="110" spans="1:20">
      <c r="A110" s="26" t="s">
        <v>140</v>
      </c>
      <c r="B110" s="26" t="s">
        <v>214</v>
      </c>
      <c r="C110" s="26" t="s">
        <v>506</v>
      </c>
      <c r="D110" s="25">
        <v>42569</v>
      </c>
      <c r="E110" s="1">
        <f t="shared" si="9"/>
        <v>2016</v>
      </c>
      <c r="F110" s="1">
        <f t="shared" si="10"/>
        <v>7</v>
      </c>
      <c r="G110" s="4">
        <f t="shared" si="11"/>
        <v>18</v>
      </c>
      <c r="H110" s="8">
        <v>0.50486111111111109</v>
      </c>
      <c r="I110" s="22">
        <v>128.74966666666666</v>
      </c>
      <c r="J110" s="22">
        <v>31.749500000000001</v>
      </c>
      <c r="K110" s="27">
        <v>100</v>
      </c>
      <c r="L110" s="27">
        <v>100</v>
      </c>
      <c r="M110" s="27">
        <v>0</v>
      </c>
      <c r="N110" s="21">
        <v>19.012</v>
      </c>
      <c r="O110" s="24">
        <v>34.7136</v>
      </c>
      <c r="P110" s="31">
        <v>0.17943308235294086</v>
      </c>
      <c r="Q110" s="31">
        <v>1.3012080156862762</v>
      </c>
      <c r="R110" s="26" t="s">
        <v>280</v>
      </c>
      <c r="S110" s="26">
        <v>1</v>
      </c>
      <c r="T110" s="71" t="s">
        <v>626</v>
      </c>
    </row>
    <row r="111" spans="1:20">
      <c r="A111" s="26" t="s">
        <v>140</v>
      </c>
      <c r="B111" s="26" t="s">
        <v>214</v>
      </c>
      <c r="C111" s="26" t="s">
        <v>506</v>
      </c>
      <c r="D111" s="25">
        <v>42569</v>
      </c>
      <c r="E111" s="1">
        <f t="shared" si="9"/>
        <v>2016</v>
      </c>
      <c r="F111" s="1">
        <f t="shared" si="10"/>
        <v>7</v>
      </c>
      <c r="G111" s="4">
        <f t="shared" si="11"/>
        <v>18</v>
      </c>
      <c r="H111" s="8">
        <v>0.50486111111111109</v>
      </c>
      <c r="I111" s="22">
        <v>128.74966666666666</v>
      </c>
      <c r="J111" s="22">
        <v>31.749500000000001</v>
      </c>
      <c r="K111" s="27">
        <v>124</v>
      </c>
      <c r="L111" s="27">
        <v>125</v>
      </c>
      <c r="M111" s="27">
        <v>0</v>
      </c>
      <c r="N111" s="21">
        <v>17.698</v>
      </c>
      <c r="O111" s="24">
        <v>34.657899999999998</v>
      </c>
      <c r="P111" s="31">
        <v>0.20841018</v>
      </c>
      <c r="Q111" s="31">
        <v>1.1747288000000022</v>
      </c>
      <c r="R111" s="26" t="s">
        <v>280</v>
      </c>
      <c r="S111" s="26">
        <v>1</v>
      </c>
      <c r="T111" s="71" t="s">
        <v>626</v>
      </c>
    </row>
    <row r="112" spans="1:20">
      <c r="A112" s="26" t="s">
        <v>140</v>
      </c>
      <c r="B112" s="26" t="s">
        <v>214</v>
      </c>
      <c r="C112" s="26" t="s">
        <v>506</v>
      </c>
      <c r="D112" s="25">
        <v>42569</v>
      </c>
      <c r="E112" s="1">
        <f t="shared" si="9"/>
        <v>2016</v>
      </c>
      <c r="F112" s="1">
        <f t="shared" si="10"/>
        <v>7</v>
      </c>
      <c r="G112" s="4">
        <f t="shared" si="11"/>
        <v>18</v>
      </c>
      <c r="H112" s="8">
        <v>0.50486111111111109</v>
      </c>
      <c r="I112" s="22">
        <v>128.74966666666666</v>
      </c>
      <c r="J112" s="22">
        <v>31.749500000000001</v>
      </c>
      <c r="K112" s="27">
        <v>150</v>
      </c>
      <c r="L112" s="27">
        <v>150</v>
      </c>
      <c r="M112" s="27">
        <v>0</v>
      </c>
      <c r="N112" s="21">
        <v>16.384</v>
      </c>
      <c r="O112" s="24">
        <v>34.6068</v>
      </c>
      <c r="P112" s="31">
        <v>0.17291051764705845</v>
      </c>
      <c r="Q112" s="31">
        <v>0.91674595764705913</v>
      </c>
      <c r="R112" s="26" t="s">
        <v>280</v>
      </c>
      <c r="S112" s="26">
        <v>1</v>
      </c>
      <c r="T112" s="71" t="s">
        <v>626</v>
      </c>
    </row>
    <row r="113" spans="1:20">
      <c r="A113" s="26" t="s">
        <v>140</v>
      </c>
      <c r="B113" s="26" t="s">
        <v>214</v>
      </c>
      <c r="C113" s="26" t="s">
        <v>506</v>
      </c>
      <c r="D113" s="25">
        <v>42569</v>
      </c>
      <c r="E113" s="1">
        <f t="shared" si="9"/>
        <v>2016</v>
      </c>
      <c r="F113" s="1">
        <f t="shared" si="10"/>
        <v>7</v>
      </c>
      <c r="G113" s="4">
        <f t="shared" si="11"/>
        <v>18</v>
      </c>
      <c r="H113" s="8">
        <v>0.50486111111111109</v>
      </c>
      <c r="I113" s="22">
        <v>128.74966666666666</v>
      </c>
      <c r="J113" s="22">
        <v>31.749500000000001</v>
      </c>
      <c r="K113" s="27">
        <v>198</v>
      </c>
      <c r="L113" s="27">
        <v>200</v>
      </c>
      <c r="M113" s="27">
        <v>0</v>
      </c>
      <c r="N113" s="21">
        <v>14.891</v>
      </c>
      <c r="O113" s="24">
        <v>34.557299999999998</v>
      </c>
      <c r="P113" s="31">
        <v>0.18504973529411739</v>
      </c>
      <c r="Q113" s="31">
        <v>0.62527991529411864</v>
      </c>
      <c r="R113" s="26" t="s">
        <v>280</v>
      </c>
      <c r="S113" s="26">
        <v>1</v>
      </c>
      <c r="T113" s="71" t="s">
        <v>626</v>
      </c>
    </row>
    <row r="114" spans="1:20">
      <c r="A114" s="26" t="s">
        <v>140</v>
      </c>
      <c r="B114" s="26" t="s">
        <v>214</v>
      </c>
      <c r="C114" s="26" t="s">
        <v>506</v>
      </c>
      <c r="D114" s="25">
        <v>42569</v>
      </c>
      <c r="E114" s="1">
        <f t="shared" si="9"/>
        <v>2016</v>
      </c>
      <c r="F114" s="1">
        <f t="shared" si="10"/>
        <v>7</v>
      </c>
      <c r="G114" s="4">
        <f t="shared" si="11"/>
        <v>18</v>
      </c>
      <c r="H114" s="8">
        <v>0.50486111111111109</v>
      </c>
      <c r="I114" s="22">
        <v>128.74966666666666</v>
      </c>
      <c r="J114" s="22">
        <v>31.749500000000001</v>
      </c>
      <c r="K114" s="27">
        <v>298</v>
      </c>
      <c r="L114" s="27">
        <v>300</v>
      </c>
      <c r="M114" s="27">
        <v>0</v>
      </c>
      <c r="N114" s="21">
        <v>11.2</v>
      </c>
      <c r="O114" s="24">
        <v>34.389600000000002</v>
      </c>
      <c r="P114" s="31">
        <v>9.9188729411763266E-3</v>
      </c>
      <c r="Q114" s="31">
        <v>-0.34372852705882195</v>
      </c>
      <c r="R114" s="26" t="s">
        <v>280</v>
      </c>
      <c r="S114" s="26">
        <v>1</v>
      </c>
      <c r="T114" s="71" t="s">
        <v>626</v>
      </c>
    </row>
    <row r="115" spans="1:20">
      <c r="A115" s="26" t="s">
        <v>140</v>
      </c>
      <c r="B115" s="26" t="s">
        <v>214</v>
      </c>
      <c r="C115" s="26" t="s">
        <v>506</v>
      </c>
      <c r="D115" s="25">
        <v>42569</v>
      </c>
      <c r="E115" s="1">
        <f t="shared" si="9"/>
        <v>2016</v>
      </c>
      <c r="F115" s="1">
        <f t="shared" si="10"/>
        <v>7</v>
      </c>
      <c r="G115" s="4">
        <f t="shared" si="11"/>
        <v>18</v>
      </c>
      <c r="H115" s="8">
        <v>0.50486111111111109</v>
      </c>
      <c r="I115" s="22">
        <v>128.74966666666666</v>
      </c>
      <c r="J115" s="22">
        <v>31.749500000000001</v>
      </c>
      <c r="K115" s="27">
        <v>496</v>
      </c>
      <c r="L115" s="27">
        <v>500</v>
      </c>
      <c r="M115" s="27">
        <v>0</v>
      </c>
      <c r="N115" s="21">
        <v>7.327</v>
      </c>
      <c r="O115" s="24">
        <v>34.343400000000003</v>
      </c>
      <c r="P115" s="31">
        <v>-0.12147456941176493</v>
      </c>
      <c r="Q115" s="31">
        <v>-1.2278472094117623</v>
      </c>
      <c r="R115" s="26" t="s">
        <v>280</v>
      </c>
      <c r="S115" s="26">
        <v>1</v>
      </c>
      <c r="T115" s="71" t="s">
        <v>626</v>
      </c>
    </row>
    <row r="116" spans="1:20">
      <c r="A116" s="26"/>
      <c r="B116" s="26"/>
      <c r="C116" s="26"/>
      <c r="D116" s="25"/>
      <c r="I116" s="22"/>
      <c r="J116" s="22"/>
      <c r="K116" s="27"/>
      <c r="L116" s="27"/>
      <c r="M116" s="27"/>
      <c r="N116" s="21"/>
      <c r="O116" s="24"/>
      <c r="P116" s="31"/>
      <c r="Q116" s="31"/>
      <c r="R116" s="26"/>
      <c r="S116" s="26"/>
      <c r="T116" s="71"/>
    </row>
    <row r="117" spans="1:20">
      <c r="A117" s="26" t="s">
        <v>141</v>
      </c>
      <c r="B117" s="26" t="s">
        <v>215</v>
      </c>
      <c r="C117" s="26" t="s">
        <v>509</v>
      </c>
      <c r="D117" s="25">
        <v>42607</v>
      </c>
      <c r="E117" s="1">
        <f t="shared" si="9"/>
        <v>2016</v>
      </c>
      <c r="F117" s="1">
        <f t="shared" si="10"/>
        <v>8</v>
      </c>
      <c r="G117" s="4">
        <f t="shared" si="11"/>
        <v>25</v>
      </c>
      <c r="H117" s="8">
        <v>0.71752314814814822</v>
      </c>
      <c r="I117" s="22">
        <v>136.00183333333334</v>
      </c>
      <c r="J117" s="22">
        <v>39.597833333333334</v>
      </c>
      <c r="K117" s="27">
        <v>0</v>
      </c>
      <c r="L117" s="27">
        <v>0</v>
      </c>
      <c r="M117" s="27">
        <v>0</v>
      </c>
      <c r="N117" s="21">
        <v>27.5</v>
      </c>
      <c r="O117" s="24">
        <v>32.577734854957214</v>
      </c>
      <c r="P117" s="31">
        <v>-0.31289360705882374</v>
      </c>
      <c r="Q117" s="31">
        <v>-2.2894935376470587</v>
      </c>
      <c r="R117" s="26" t="s">
        <v>280</v>
      </c>
      <c r="S117" s="26">
        <v>1</v>
      </c>
      <c r="T117" s="71" t="s">
        <v>626</v>
      </c>
    </row>
    <row r="118" spans="1:20">
      <c r="A118" s="26" t="s">
        <v>141</v>
      </c>
      <c r="B118" s="26" t="s">
        <v>215</v>
      </c>
      <c r="C118" s="26" t="s">
        <v>508</v>
      </c>
      <c r="D118" s="25">
        <v>42607</v>
      </c>
      <c r="E118" s="1">
        <f t="shared" si="9"/>
        <v>2016</v>
      </c>
      <c r="F118" s="1">
        <f t="shared" si="10"/>
        <v>8</v>
      </c>
      <c r="G118" s="4">
        <f t="shared" si="11"/>
        <v>25</v>
      </c>
      <c r="H118" s="8">
        <v>0.71752314814814822</v>
      </c>
      <c r="I118" s="22">
        <v>136.00183333333334</v>
      </c>
      <c r="J118" s="22">
        <v>39.597833333333334</v>
      </c>
      <c r="K118" s="27">
        <v>9.8620000000000001</v>
      </c>
      <c r="L118" s="27">
        <v>10</v>
      </c>
      <c r="M118" s="27">
        <v>0</v>
      </c>
      <c r="N118" s="21">
        <v>26.664000000000001</v>
      </c>
      <c r="O118" s="24">
        <v>33.399700000000003</v>
      </c>
      <c r="P118" s="31">
        <v>-0.14649832823529452</v>
      </c>
      <c r="Q118" s="31">
        <v>-1.3611561505882337</v>
      </c>
      <c r="R118" s="26" t="s">
        <v>280</v>
      </c>
      <c r="S118" s="26">
        <v>1</v>
      </c>
      <c r="T118" s="71" t="s">
        <v>626</v>
      </c>
    </row>
    <row r="119" spans="1:20">
      <c r="A119" s="26" t="s">
        <v>141</v>
      </c>
      <c r="B119" s="26" t="s">
        <v>215</v>
      </c>
      <c r="C119" s="26" t="s">
        <v>508</v>
      </c>
      <c r="D119" s="25">
        <v>42607</v>
      </c>
      <c r="E119" s="1">
        <f t="shared" si="9"/>
        <v>2016</v>
      </c>
      <c r="F119" s="1">
        <f t="shared" si="10"/>
        <v>8</v>
      </c>
      <c r="G119" s="4">
        <f t="shared" si="11"/>
        <v>25</v>
      </c>
      <c r="H119" s="8">
        <v>0.71752314814814822</v>
      </c>
      <c r="I119" s="22">
        <v>136.00183333333334</v>
      </c>
      <c r="J119" s="22">
        <v>39.597833333333334</v>
      </c>
      <c r="K119" s="27">
        <v>19.722999999999999</v>
      </c>
      <c r="L119" s="27">
        <v>20</v>
      </c>
      <c r="M119" s="27">
        <v>0</v>
      </c>
      <c r="N119" s="21">
        <v>22.602799999999998</v>
      </c>
      <c r="O119" s="24">
        <v>33.598399999999998</v>
      </c>
      <c r="P119" s="31">
        <v>-9.8679549411764711E-2</v>
      </c>
      <c r="Q119" s="31">
        <v>-0.8517731635294119</v>
      </c>
      <c r="R119" s="26" t="s">
        <v>280</v>
      </c>
      <c r="S119" s="26">
        <v>1</v>
      </c>
      <c r="T119" s="71" t="s">
        <v>626</v>
      </c>
    </row>
    <row r="120" spans="1:20">
      <c r="A120" s="26" t="s">
        <v>141</v>
      </c>
      <c r="B120" s="26" t="s">
        <v>215</v>
      </c>
      <c r="C120" s="26" t="s">
        <v>508</v>
      </c>
      <c r="D120" s="25">
        <v>42607</v>
      </c>
      <c r="E120" s="1">
        <f t="shared" si="9"/>
        <v>2016</v>
      </c>
      <c r="F120" s="1">
        <f t="shared" si="10"/>
        <v>8</v>
      </c>
      <c r="G120" s="4">
        <f t="shared" si="11"/>
        <v>25</v>
      </c>
      <c r="H120" s="8">
        <v>0.71752314814814822</v>
      </c>
      <c r="I120" s="22">
        <v>136.00183333333334</v>
      </c>
      <c r="J120" s="22">
        <v>39.597833333333334</v>
      </c>
      <c r="K120" s="27">
        <v>49.601999999999997</v>
      </c>
      <c r="L120" s="27">
        <v>50</v>
      </c>
      <c r="M120" s="27">
        <v>0</v>
      </c>
      <c r="N120" s="21">
        <v>9.0289999999999999</v>
      </c>
      <c r="O120" s="24">
        <v>33.980499999999999</v>
      </c>
      <c r="P120" s="31">
        <v>-2.4670830588235493E-2</v>
      </c>
      <c r="Q120" s="31">
        <v>-0.45503357647059062</v>
      </c>
      <c r="R120" s="26" t="s">
        <v>280</v>
      </c>
      <c r="S120" s="26">
        <v>1</v>
      </c>
      <c r="T120" s="71" t="s">
        <v>626</v>
      </c>
    </row>
    <row r="121" spans="1:20">
      <c r="A121" s="26" t="s">
        <v>141</v>
      </c>
      <c r="B121" s="26" t="s">
        <v>215</v>
      </c>
      <c r="C121" s="26" t="s">
        <v>508</v>
      </c>
      <c r="D121" s="25">
        <v>42607</v>
      </c>
      <c r="E121" s="1">
        <f t="shared" si="9"/>
        <v>2016</v>
      </c>
      <c r="F121" s="1">
        <f t="shared" si="10"/>
        <v>8</v>
      </c>
      <c r="G121" s="4">
        <f t="shared" si="11"/>
        <v>25</v>
      </c>
      <c r="H121" s="8">
        <v>0.71752314814814822</v>
      </c>
      <c r="I121" s="22">
        <v>136.00183333333334</v>
      </c>
      <c r="J121" s="22">
        <v>39.597833333333334</v>
      </c>
      <c r="K121" s="27">
        <v>74.543000000000006</v>
      </c>
      <c r="L121" s="27">
        <v>75</v>
      </c>
      <c r="M121" s="27">
        <v>0</v>
      </c>
      <c r="N121" s="21">
        <v>6.2435</v>
      </c>
      <c r="O121" s="24">
        <v>34.046100000000003</v>
      </c>
      <c r="P121" s="31">
        <v>-4.2793117647059731E-3</v>
      </c>
      <c r="Q121" s="31">
        <v>-0.29069510941176446</v>
      </c>
      <c r="R121" s="26" t="s">
        <v>280</v>
      </c>
      <c r="S121" s="26">
        <v>1</v>
      </c>
      <c r="T121" s="71" t="s">
        <v>626</v>
      </c>
    </row>
    <row r="122" spans="1:20">
      <c r="A122" s="26" t="s">
        <v>141</v>
      </c>
      <c r="B122" s="26" t="s">
        <v>215</v>
      </c>
      <c r="C122" s="26" t="s">
        <v>508</v>
      </c>
      <c r="D122" s="25">
        <v>42607</v>
      </c>
      <c r="E122" s="1">
        <f t="shared" si="9"/>
        <v>2016</v>
      </c>
      <c r="F122" s="1">
        <f t="shared" si="10"/>
        <v>8</v>
      </c>
      <c r="G122" s="4">
        <f t="shared" si="11"/>
        <v>25</v>
      </c>
      <c r="H122" s="8">
        <v>0.71752314814814822</v>
      </c>
      <c r="I122" s="22">
        <v>136.00183333333334</v>
      </c>
      <c r="J122" s="22">
        <v>39.597833333333334</v>
      </c>
      <c r="K122" s="27">
        <v>99.655000000000001</v>
      </c>
      <c r="L122" s="27">
        <v>100</v>
      </c>
      <c r="M122" s="27">
        <v>0</v>
      </c>
      <c r="N122" s="21">
        <v>4.6445999999999996</v>
      </c>
      <c r="O122" s="24">
        <v>34.027500000000003</v>
      </c>
      <c r="P122" s="31">
        <v>-5.916129411769333E-4</v>
      </c>
      <c r="Q122" s="31">
        <v>-0.48898934235294078</v>
      </c>
      <c r="R122" s="26" t="s">
        <v>280</v>
      </c>
      <c r="S122" s="26">
        <v>1</v>
      </c>
      <c r="T122" s="71" t="s">
        <v>626</v>
      </c>
    </row>
    <row r="123" spans="1:20">
      <c r="A123" s="26" t="s">
        <v>141</v>
      </c>
      <c r="B123" s="26" t="s">
        <v>215</v>
      </c>
      <c r="C123" s="26" t="s">
        <v>508</v>
      </c>
      <c r="D123" s="25">
        <v>42607</v>
      </c>
      <c r="E123" s="1">
        <f t="shared" si="9"/>
        <v>2016</v>
      </c>
      <c r="F123" s="1">
        <f t="shared" si="10"/>
        <v>8</v>
      </c>
      <c r="G123" s="4">
        <f t="shared" si="11"/>
        <v>25</v>
      </c>
      <c r="H123" s="8">
        <v>0.71752314814814822</v>
      </c>
      <c r="I123" s="22">
        <v>136.00183333333334</v>
      </c>
      <c r="J123" s="22">
        <v>39.597833333333334</v>
      </c>
      <c r="K123" s="27">
        <v>124.075</v>
      </c>
      <c r="L123" s="27">
        <v>125</v>
      </c>
      <c r="M123" s="27">
        <v>0</v>
      </c>
      <c r="N123" s="21">
        <v>3.4967000000000001</v>
      </c>
      <c r="O123" s="24">
        <v>34.015300000000003</v>
      </c>
      <c r="P123" s="31">
        <v>-3.01781176470588E-2</v>
      </c>
      <c r="Q123" s="31">
        <v>-0.64543463411764623</v>
      </c>
      <c r="R123" s="26" t="s">
        <v>280</v>
      </c>
      <c r="S123" s="26">
        <v>1</v>
      </c>
      <c r="T123" s="71" t="s">
        <v>626</v>
      </c>
    </row>
    <row r="124" spans="1:20">
      <c r="A124" s="26" t="s">
        <v>141</v>
      </c>
      <c r="B124" s="26" t="s">
        <v>215</v>
      </c>
      <c r="C124" s="26" t="s">
        <v>508</v>
      </c>
      <c r="D124" s="25">
        <v>42607</v>
      </c>
      <c r="E124" s="1">
        <f t="shared" si="9"/>
        <v>2016</v>
      </c>
      <c r="F124" s="1">
        <f t="shared" si="10"/>
        <v>8</v>
      </c>
      <c r="G124" s="4">
        <f t="shared" si="11"/>
        <v>25</v>
      </c>
      <c r="H124" s="8">
        <v>0.71752314814814822</v>
      </c>
      <c r="I124" s="22">
        <v>136.00183333333334</v>
      </c>
      <c r="J124" s="22">
        <v>39.597833333333334</v>
      </c>
      <c r="K124" s="27">
        <v>149.39699999999999</v>
      </c>
      <c r="L124" s="27">
        <v>150</v>
      </c>
      <c r="M124" s="27">
        <v>0</v>
      </c>
      <c r="N124" s="21">
        <v>2.5634999999999999</v>
      </c>
      <c r="O124" s="24">
        <v>34.001199999999997</v>
      </c>
      <c r="P124" s="31">
        <v>-4.0650858823529479E-2</v>
      </c>
      <c r="Q124" s="31">
        <v>-0.69465751372548912</v>
      </c>
      <c r="R124" s="26" t="s">
        <v>280</v>
      </c>
      <c r="S124" s="26">
        <v>1</v>
      </c>
      <c r="T124" s="71" t="s">
        <v>626</v>
      </c>
    </row>
    <row r="125" spans="1:20">
      <c r="A125" s="26" t="s">
        <v>141</v>
      </c>
      <c r="B125" s="26" t="s">
        <v>215</v>
      </c>
      <c r="C125" s="26" t="s">
        <v>508</v>
      </c>
      <c r="D125" s="25">
        <v>42607</v>
      </c>
      <c r="E125" s="1">
        <f t="shared" si="9"/>
        <v>2016</v>
      </c>
      <c r="F125" s="1">
        <f t="shared" si="10"/>
        <v>8</v>
      </c>
      <c r="G125" s="4">
        <f t="shared" si="11"/>
        <v>25</v>
      </c>
      <c r="H125" s="8">
        <v>0.71752314814814822</v>
      </c>
      <c r="I125" s="22">
        <v>136.00183333333334</v>
      </c>
      <c r="J125" s="22">
        <v>39.597833333333334</v>
      </c>
      <c r="K125" s="27">
        <v>199.94800000000001</v>
      </c>
      <c r="L125" s="27">
        <v>200</v>
      </c>
      <c r="M125" s="27">
        <v>0</v>
      </c>
      <c r="N125" s="21">
        <v>1.7184999999999999</v>
      </c>
      <c r="O125" s="24">
        <v>34.025100000000002</v>
      </c>
      <c r="P125" s="31">
        <v>-2.816444000000029E-2</v>
      </c>
      <c r="Q125" s="31">
        <v>-0.68472613999999954</v>
      </c>
      <c r="R125" s="26" t="s">
        <v>280</v>
      </c>
      <c r="S125" s="26">
        <v>1</v>
      </c>
      <c r="T125" s="71" t="s">
        <v>626</v>
      </c>
    </row>
    <row r="126" spans="1:20">
      <c r="A126" s="26"/>
      <c r="B126" s="26"/>
      <c r="C126" s="26"/>
      <c r="D126" s="25"/>
      <c r="I126" s="22"/>
      <c r="J126" s="22"/>
      <c r="K126" s="27"/>
      <c r="L126" s="27"/>
      <c r="M126" s="27"/>
      <c r="N126" s="21"/>
      <c r="O126" s="24"/>
      <c r="P126" s="31"/>
      <c r="Q126" s="31"/>
      <c r="R126" s="26"/>
      <c r="S126" s="26"/>
      <c r="T126" s="71"/>
    </row>
    <row r="127" spans="1:20">
      <c r="A127" s="26" t="s">
        <v>141</v>
      </c>
      <c r="B127" s="26" t="s">
        <v>216</v>
      </c>
      <c r="C127" s="26" t="s">
        <v>508</v>
      </c>
      <c r="D127" s="25">
        <v>42607</v>
      </c>
      <c r="E127" s="1">
        <f t="shared" si="9"/>
        <v>2016</v>
      </c>
      <c r="F127" s="1">
        <f t="shared" si="10"/>
        <v>8</v>
      </c>
      <c r="G127" s="4">
        <f t="shared" si="11"/>
        <v>25</v>
      </c>
      <c r="H127" s="8">
        <v>0.84280092592592604</v>
      </c>
      <c r="I127" s="22">
        <v>135.78983333333332</v>
      </c>
      <c r="J127" s="22">
        <v>39.324833333333331</v>
      </c>
      <c r="K127" s="27">
        <v>0</v>
      </c>
      <c r="L127" s="27">
        <v>0</v>
      </c>
      <c r="M127" s="27">
        <v>0</v>
      </c>
      <c r="N127" s="21">
        <v>26.5</v>
      </c>
      <c r="O127" s="24">
        <v>33.274036154514022</v>
      </c>
      <c r="P127" s="31">
        <v>-0.13150492117647072</v>
      </c>
      <c r="Q127" s="31">
        <v>-0.93618015294117551</v>
      </c>
      <c r="R127" s="26" t="s">
        <v>280</v>
      </c>
      <c r="S127" s="26">
        <v>1</v>
      </c>
      <c r="T127" s="71" t="s">
        <v>626</v>
      </c>
    </row>
    <row r="128" spans="1:20">
      <c r="A128" s="26" t="s">
        <v>141</v>
      </c>
      <c r="B128" s="26" t="s">
        <v>216</v>
      </c>
      <c r="C128" s="26" t="s">
        <v>508</v>
      </c>
      <c r="D128" s="25">
        <v>42607</v>
      </c>
      <c r="E128" s="1">
        <f t="shared" si="9"/>
        <v>2016</v>
      </c>
      <c r="F128" s="1">
        <f t="shared" si="10"/>
        <v>8</v>
      </c>
      <c r="G128" s="4">
        <f t="shared" si="11"/>
        <v>25</v>
      </c>
      <c r="H128" s="8">
        <v>0.84280092592592604</v>
      </c>
      <c r="I128" s="22">
        <v>135.78983333333332</v>
      </c>
      <c r="J128" s="22">
        <v>39.324833333333331</v>
      </c>
      <c r="K128" s="27">
        <v>9.8320000000000007</v>
      </c>
      <c r="L128" s="27">
        <v>10</v>
      </c>
      <c r="M128" s="27">
        <v>0</v>
      </c>
      <c r="N128" s="21">
        <v>26.6401</v>
      </c>
      <c r="O128" s="24">
        <v>33.270000000000003</v>
      </c>
      <c r="P128" s="31">
        <v>-0.15606936235294167</v>
      </c>
      <c r="Q128" s="31">
        <v>-1.4030399658823516</v>
      </c>
      <c r="R128" s="26" t="s">
        <v>280</v>
      </c>
      <c r="S128" s="26">
        <v>1</v>
      </c>
      <c r="T128" s="71" t="s">
        <v>626</v>
      </c>
    </row>
    <row r="129" spans="1:20">
      <c r="A129" s="26" t="s">
        <v>141</v>
      </c>
      <c r="B129" s="26" t="s">
        <v>216</v>
      </c>
      <c r="C129" s="26" t="s">
        <v>508</v>
      </c>
      <c r="D129" s="25">
        <v>42607</v>
      </c>
      <c r="E129" s="1">
        <f t="shared" si="9"/>
        <v>2016</v>
      </c>
      <c r="F129" s="1">
        <f t="shared" si="10"/>
        <v>8</v>
      </c>
      <c r="G129" s="4">
        <f t="shared" si="11"/>
        <v>25</v>
      </c>
      <c r="H129" s="8">
        <v>0.84280092592592604</v>
      </c>
      <c r="I129" s="22">
        <v>135.78983333333332</v>
      </c>
      <c r="J129" s="22">
        <v>39.324833333333331</v>
      </c>
      <c r="K129" s="27">
        <v>19.649000000000001</v>
      </c>
      <c r="L129" s="27">
        <v>20</v>
      </c>
      <c r="M129" s="27">
        <v>0</v>
      </c>
      <c r="N129" s="21">
        <v>25.1099</v>
      </c>
      <c r="O129" s="24">
        <v>33.481000000000002</v>
      </c>
      <c r="P129" s="31">
        <v>-1.6070243529411776E-2</v>
      </c>
      <c r="Q129" s="31">
        <v>-0.11878895882352936</v>
      </c>
      <c r="R129" s="26" t="s">
        <v>280</v>
      </c>
      <c r="S129" s="26">
        <v>1</v>
      </c>
      <c r="T129" s="71" t="s">
        <v>626</v>
      </c>
    </row>
    <row r="130" spans="1:20">
      <c r="A130" s="26" t="s">
        <v>141</v>
      </c>
      <c r="B130" s="26" t="s">
        <v>216</v>
      </c>
      <c r="C130" s="26" t="s">
        <v>508</v>
      </c>
      <c r="D130" s="25">
        <v>42607</v>
      </c>
      <c r="E130" s="1">
        <f t="shared" si="9"/>
        <v>2016</v>
      </c>
      <c r="F130" s="1">
        <f t="shared" si="10"/>
        <v>8</v>
      </c>
      <c r="G130" s="4">
        <f t="shared" si="11"/>
        <v>25</v>
      </c>
      <c r="H130" s="8">
        <v>0.84280092592592604</v>
      </c>
      <c r="I130" s="22">
        <v>135.78983333333332</v>
      </c>
      <c r="J130" s="22">
        <v>39.324833333333331</v>
      </c>
      <c r="K130" s="27">
        <v>29.753</v>
      </c>
      <c r="L130" s="27">
        <v>30</v>
      </c>
      <c r="M130" s="27">
        <v>0</v>
      </c>
      <c r="N130" s="21">
        <v>18.506399999999999</v>
      </c>
      <c r="O130" s="24">
        <v>33.612499999999997</v>
      </c>
      <c r="P130" s="31">
        <v>0.17837095529411728</v>
      </c>
      <c r="Q130" s="31">
        <v>1.0506448282352938</v>
      </c>
      <c r="R130" s="26" t="s">
        <v>280</v>
      </c>
      <c r="S130" s="26">
        <v>1</v>
      </c>
      <c r="T130" s="71" t="s">
        <v>626</v>
      </c>
    </row>
    <row r="131" spans="1:20">
      <c r="A131" s="26" t="s">
        <v>141</v>
      </c>
      <c r="B131" s="26" t="s">
        <v>216</v>
      </c>
      <c r="C131" s="26" t="s">
        <v>508</v>
      </c>
      <c r="D131" s="25">
        <v>42607</v>
      </c>
      <c r="E131" s="1">
        <f t="shared" si="9"/>
        <v>2016</v>
      </c>
      <c r="F131" s="1">
        <f t="shared" si="10"/>
        <v>8</v>
      </c>
      <c r="G131" s="4">
        <f t="shared" si="11"/>
        <v>25</v>
      </c>
      <c r="H131" s="8">
        <v>0.84280092592592604</v>
      </c>
      <c r="I131" s="22">
        <v>135.78983333333332</v>
      </c>
      <c r="J131" s="22">
        <v>39.324833333333331</v>
      </c>
      <c r="K131" s="27">
        <v>50.146999999999998</v>
      </c>
      <c r="L131" s="27">
        <v>50</v>
      </c>
      <c r="M131" s="27">
        <v>0</v>
      </c>
      <c r="N131" s="21">
        <v>16.080300000000001</v>
      </c>
      <c r="O131" s="24">
        <v>34.348399999999998</v>
      </c>
      <c r="P131" s="31">
        <v>0.25691651411764727</v>
      </c>
      <c r="Q131" s="31">
        <v>1.4539058752941152</v>
      </c>
      <c r="R131" s="26" t="s">
        <v>280</v>
      </c>
      <c r="S131" s="26">
        <v>1</v>
      </c>
      <c r="T131" s="71" t="s">
        <v>626</v>
      </c>
    </row>
    <row r="132" spans="1:20">
      <c r="A132" s="26" t="s">
        <v>141</v>
      </c>
      <c r="B132" s="26" t="s">
        <v>216</v>
      </c>
      <c r="C132" s="26" t="s">
        <v>508</v>
      </c>
      <c r="D132" s="25">
        <v>42607</v>
      </c>
      <c r="E132" s="1">
        <f t="shared" si="9"/>
        <v>2016</v>
      </c>
      <c r="F132" s="1">
        <f t="shared" si="10"/>
        <v>8</v>
      </c>
      <c r="G132" s="4">
        <f t="shared" si="11"/>
        <v>25</v>
      </c>
      <c r="H132" s="8">
        <v>0.84280092592592604</v>
      </c>
      <c r="I132" s="22">
        <v>135.78983333333332</v>
      </c>
      <c r="J132" s="22">
        <v>39.324833333333331</v>
      </c>
      <c r="K132" s="27">
        <v>74.509</v>
      </c>
      <c r="L132" s="27">
        <v>75</v>
      </c>
      <c r="M132" s="27">
        <v>0</v>
      </c>
      <c r="N132" s="21">
        <v>11.9437</v>
      </c>
      <c r="O132" s="24">
        <v>34.114199999999997</v>
      </c>
      <c r="P132" s="31">
        <v>0.12611952941176474</v>
      </c>
      <c r="Q132" s="31">
        <v>0.18531151999999906</v>
      </c>
      <c r="R132" s="26" t="s">
        <v>280</v>
      </c>
      <c r="S132" s="26">
        <v>1</v>
      </c>
      <c r="T132" s="71" t="s">
        <v>626</v>
      </c>
    </row>
    <row r="133" spans="1:20">
      <c r="A133" s="26" t="s">
        <v>141</v>
      </c>
      <c r="B133" s="26" t="s">
        <v>216</v>
      </c>
      <c r="C133" s="26" t="s">
        <v>508</v>
      </c>
      <c r="D133" s="25">
        <v>42607</v>
      </c>
      <c r="E133" s="1">
        <f t="shared" si="9"/>
        <v>2016</v>
      </c>
      <c r="F133" s="1">
        <f t="shared" si="10"/>
        <v>8</v>
      </c>
      <c r="G133" s="4">
        <f t="shared" si="11"/>
        <v>25</v>
      </c>
      <c r="H133" s="8">
        <v>0.84280092592592604</v>
      </c>
      <c r="I133" s="22">
        <v>135.78983333333332</v>
      </c>
      <c r="J133" s="22">
        <v>39.324833333333331</v>
      </c>
      <c r="K133" s="27">
        <v>99.727000000000004</v>
      </c>
      <c r="L133" s="27">
        <v>100</v>
      </c>
      <c r="M133" s="27">
        <v>0</v>
      </c>
      <c r="N133" s="21">
        <v>8.0280000000000005</v>
      </c>
      <c r="O133" s="24">
        <v>34.053100000000001</v>
      </c>
      <c r="P133" s="31">
        <v>4.8502235294117346E-2</v>
      </c>
      <c r="Q133" s="31">
        <v>-0.13846625999999951</v>
      </c>
      <c r="R133" s="26" t="s">
        <v>280</v>
      </c>
      <c r="S133" s="26">
        <v>1</v>
      </c>
      <c r="T133" s="71" t="s">
        <v>626</v>
      </c>
    </row>
    <row r="134" spans="1:20">
      <c r="A134" s="26" t="s">
        <v>141</v>
      </c>
      <c r="B134" s="26" t="s">
        <v>216</v>
      </c>
      <c r="C134" s="26" t="s">
        <v>508</v>
      </c>
      <c r="D134" s="25">
        <v>42607</v>
      </c>
      <c r="E134" s="1">
        <f t="shared" si="9"/>
        <v>2016</v>
      </c>
      <c r="F134" s="1">
        <f t="shared" si="10"/>
        <v>8</v>
      </c>
      <c r="G134" s="4">
        <f t="shared" si="11"/>
        <v>25</v>
      </c>
      <c r="H134" s="8">
        <v>0.84280092592592604</v>
      </c>
      <c r="I134" s="22">
        <v>135.78983333333332</v>
      </c>
      <c r="J134" s="22">
        <v>39.324833333333331</v>
      </c>
      <c r="K134" s="27">
        <v>124.70399999999999</v>
      </c>
      <c r="L134" s="27">
        <v>125</v>
      </c>
      <c r="M134" s="27">
        <v>0</v>
      </c>
      <c r="N134" s="21">
        <v>5.0716999999999999</v>
      </c>
      <c r="O134" s="24">
        <v>34.0244</v>
      </c>
      <c r="P134" s="31">
        <v>1.0363941176470437E-2</v>
      </c>
      <c r="Q134" s="31">
        <v>-0.64272964000000066</v>
      </c>
      <c r="R134" s="26" t="s">
        <v>280</v>
      </c>
      <c r="S134" s="26">
        <v>1</v>
      </c>
      <c r="T134" s="71" t="s">
        <v>626</v>
      </c>
    </row>
    <row r="135" spans="1:20">
      <c r="A135" s="26" t="s">
        <v>141</v>
      </c>
      <c r="B135" s="26" t="s">
        <v>216</v>
      </c>
      <c r="C135" s="26" t="s">
        <v>508</v>
      </c>
      <c r="D135" s="25">
        <v>42607</v>
      </c>
      <c r="E135" s="1">
        <f t="shared" si="9"/>
        <v>2016</v>
      </c>
      <c r="F135" s="1">
        <f t="shared" si="10"/>
        <v>8</v>
      </c>
      <c r="G135" s="4">
        <f t="shared" si="11"/>
        <v>25</v>
      </c>
      <c r="H135" s="8">
        <v>0.84280092592592604</v>
      </c>
      <c r="I135" s="22">
        <v>135.78983333333332</v>
      </c>
      <c r="J135" s="22">
        <v>39.324833333333331</v>
      </c>
      <c r="K135" s="27">
        <v>148.66399999999999</v>
      </c>
      <c r="L135" s="27">
        <v>150</v>
      </c>
      <c r="M135" s="27">
        <v>0</v>
      </c>
      <c r="N135" s="21">
        <v>3.0871</v>
      </c>
      <c r="O135" s="24">
        <v>33.948900000000002</v>
      </c>
      <c r="P135" s="31">
        <v>-4.5478852941176484E-2</v>
      </c>
      <c r="Q135" s="31">
        <v>-0.96689978000000032</v>
      </c>
      <c r="R135" s="26" t="s">
        <v>280</v>
      </c>
      <c r="S135" s="26">
        <v>1</v>
      </c>
      <c r="T135" s="71" t="s">
        <v>626</v>
      </c>
    </row>
    <row r="136" spans="1:20">
      <c r="A136" s="26" t="s">
        <v>141</v>
      </c>
      <c r="B136" s="26" t="s">
        <v>216</v>
      </c>
      <c r="C136" s="26" t="s">
        <v>508</v>
      </c>
      <c r="D136" s="25">
        <v>42607</v>
      </c>
      <c r="E136" s="1">
        <f t="shared" si="9"/>
        <v>2016</v>
      </c>
      <c r="F136" s="1">
        <f t="shared" si="10"/>
        <v>8</v>
      </c>
      <c r="G136" s="4">
        <f t="shared" si="11"/>
        <v>25</v>
      </c>
      <c r="H136" s="8">
        <v>0.84280092592592604</v>
      </c>
      <c r="I136" s="22">
        <v>135.78983333333332</v>
      </c>
      <c r="J136" s="22">
        <v>39.324833333333331</v>
      </c>
      <c r="K136" s="27">
        <v>198.98400000000001</v>
      </c>
      <c r="L136" s="27">
        <v>200</v>
      </c>
      <c r="M136" s="27">
        <v>0</v>
      </c>
      <c r="N136" s="21">
        <v>2.165</v>
      </c>
      <c r="O136" s="24">
        <v>33.966700000000003</v>
      </c>
      <c r="P136" s="31">
        <v>-1.4031470588238282E-3</v>
      </c>
      <c r="Q136" s="31">
        <v>-0.9642340400000009</v>
      </c>
      <c r="R136" s="26" t="s">
        <v>280</v>
      </c>
      <c r="S136" s="26">
        <v>1</v>
      </c>
      <c r="T136" s="71" t="s">
        <v>626</v>
      </c>
    </row>
    <row r="137" spans="1:20">
      <c r="A137" s="26"/>
      <c r="B137" s="26"/>
      <c r="C137" s="26"/>
      <c r="D137" s="25"/>
      <c r="I137" s="22"/>
      <c r="J137" s="22"/>
      <c r="K137" s="27"/>
      <c r="L137" s="27"/>
      <c r="M137" s="27"/>
      <c r="N137" s="21"/>
      <c r="O137" s="24"/>
      <c r="P137" s="31"/>
      <c r="Q137" s="31"/>
      <c r="R137" s="26"/>
      <c r="S137" s="26"/>
      <c r="T137" s="71"/>
    </row>
    <row r="138" spans="1:20">
      <c r="A138" s="26" t="s">
        <v>141</v>
      </c>
      <c r="B138" s="26" t="s">
        <v>217</v>
      </c>
      <c r="C138" s="26" t="s">
        <v>508</v>
      </c>
      <c r="D138" s="25">
        <v>42608</v>
      </c>
      <c r="E138" s="1">
        <f t="shared" si="9"/>
        <v>2016</v>
      </c>
      <c r="F138" s="1">
        <f t="shared" si="10"/>
        <v>8</v>
      </c>
      <c r="G138" s="4">
        <f t="shared" si="11"/>
        <v>26</v>
      </c>
      <c r="H138" s="8">
        <v>8.50462962962963E-2</v>
      </c>
      <c r="I138" s="22">
        <v>136.06283333333334</v>
      </c>
      <c r="J138" s="22">
        <v>39.172333333333334</v>
      </c>
      <c r="K138" s="27">
        <v>0</v>
      </c>
      <c r="L138" s="27">
        <v>0</v>
      </c>
      <c r="M138" s="27">
        <v>0</v>
      </c>
      <c r="N138" s="21">
        <v>26.8</v>
      </c>
      <c r="O138" s="24">
        <v>32.832276460665803</v>
      </c>
      <c r="P138" s="31">
        <v>-0.2180109411764708</v>
      </c>
      <c r="Q138" s="31">
        <v>-1.8543834800000001</v>
      </c>
      <c r="R138" s="26" t="s">
        <v>280</v>
      </c>
      <c r="S138" s="26">
        <v>1</v>
      </c>
      <c r="T138" s="71" t="s">
        <v>626</v>
      </c>
    </row>
    <row r="139" spans="1:20">
      <c r="A139" s="26" t="s">
        <v>141</v>
      </c>
      <c r="B139" s="26" t="s">
        <v>217</v>
      </c>
      <c r="C139" s="26" t="s">
        <v>508</v>
      </c>
      <c r="D139" s="25">
        <v>42608</v>
      </c>
      <c r="E139" s="1">
        <f t="shared" si="9"/>
        <v>2016</v>
      </c>
      <c r="F139" s="1">
        <f t="shared" si="10"/>
        <v>8</v>
      </c>
      <c r="G139" s="4">
        <f t="shared" si="11"/>
        <v>26</v>
      </c>
      <c r="H139" s="8">
        <v>8.50462962962963E-2</v>
      </c>
      <c r="I139" s="22">
        <v>136.06283333333334</v>
      </c>
      <c r="J139" s="22">
        <v>39.172333333333334</v>
      </c>
      <c r="K139" s="27">
        <v>9.9540000000000006</v>
      </c>
      <c r="L139" s="27">
        <v>10</v>
      </c>
      <c r="M139" s="27">
        <v>0</v>
      </c>
      <c r="N139" s="21">
        <v>27.035699999999999</v>
      </c>
      <c r="O139" s="24">
        <v>33.040700000000001</v>
      </c>
      <c r="P139" s="31">
        <v>-8.4897352941175619E-3</v>
      </c>
      <c r="Q139" s="31">
        <v>-0.52122498000000128</v>
      </c>
      <c r="R139" s="26" t="s">
        <v>280</v>
      </c>
      <c r="S139" s="26">
        <v>1</v>
      </c>
      <c r="T139" s="71" t="s">
        <v>626</v>
      </c>
    </row>
    <row r="140" spans="1:20">
      <c r="A140" s="26" t="s">
        <v>141</v>
      </c>
      <c r="B140" s="26" t="s">
        <v>217</v>
      </c>
      <c r="C140" s="26" t="s">
        <v>508</v>
      </c>
      <c r="D140" s="25">
        <v>42608</v>
      </c>
      <c r="E140" s="1">
        <f t="shared" ref="E140:E210" si="12">YEAR(D140)</f>
        <v>2016</v>
      </c>
      <c r="F140" s="1">
        <f t="shared" ref="F140:F210" si="13">MONTH(D140)</f>
        <v>8</v>
      </c>
      <c r="G140" s="4">
        <f t="shared" ref="G140:G210" si="14">DAY(D140)</f>
        <v>26</v>
      </c>
      <c r="H140" s="8">
        <v>8.50462962962963E-2</v>
      </c>
      <c r="I140" s="22">
        <v>136.06283333333334</v>
      </c>
      <c r="J140" s="22">
        <v>39.172333333333334</v>
      </c>
      <c r="K140" s="27">
        <v>20.574000000000002</v>
      </c>
      <c r="L140" s="27">
        <v>20</v>
      </c>
      <c r="M140" s="27">
        <v>0</v>
      </c>
      <c r="N140" s="21">
        <v>26.3658</v>
      </c>
      <c r="O140" s="24">
        <v>33.505499999999998</v>
      </c>
      <c r="P140" s="31">
        <v>3.5131088235294206E-2</v>
      </c>
      <c r="Q140" s="31">
        <v>-0.39187312000000141</v>
      </c>
      <c r="R140" s="26" t="s">
        <v>280</v>
      </c>
      <c r="S140" s="26">
        <v>1</v>
      </c>
      <c r="T140" s="71" t="s">
        <v>626</v>
      </c>
    </row>
    <row r="141" spans="1:20">
      <c r="A141" s="26" t="s">
        <v>141</v>
      </c>
      <c r="B141" s="26" t="s">
        <v>217</v>
      </c>
      <c r="C141" s="26" t="s">
        <v>508</v>
      </c>
      <c r="D141" s="25">
        <v>42608</v>
      </c>
      <c r="E141" s="1">
        <f t="shared" si="12"/>
        <v>2016</v>
      </c>
      <c r="F141" s="1">
        <f t="shared" si="13"/>
        <v>8</v>
      </c>
      <c r="G141" s="4">
        <f t="shared" si="14"/>
        <v>26</v>
      </c>
      <c r="H141" s="8">
        <v>8.50462962962963E-2</v>
      </c>
      <c r="I141" s="22">
        <v>136.06283333333334</v>
      </c>
      <c r="J141" s="22">
        <v>39.172333333333334</v>
      </c>
      <c r="K141" s="27">
        <v>30.312000000000001</v>
      </c>
      <c r="L141" s="27">
        <v>30</v>
      </c>
      <c r="M141" s="27">
        <v>0</v>
      </c>
      <c r="N141" s="21">
        <v>19.2745</v>
      </c>
      <c r="O141" s="24">
        <v>33.877400000000002</v>
      </c>
      <c r="P141" s="31">
        <v>6.0756127450980246E-2</v>
      </c>
      <c r="Q141" s="31">
        <v>-0.28634366666666722</v>
      </c>
      <c r="R141" s="26" t="s">
        <v>280</v>
      </c>
      <c r="S141" s="26">
        <v>1</v>
      </c>
      <c r="T141" s="71" t="s">
        <v>626</v>
      </c>
    </row>
    <row r="142" spans="1:20">
      <c r="A142" s="26" t="s">
        <v>141</v>
      </c>
      <c r="B142" s="26" t="s">
        <v>217</v>
      </c>
      <c r="C142" s="26" t="s">
        <v>508</v>
      </c>
      <c r="D142" s="25">
        <v>42608</v>
      </c>
      <c r="E142" s="1">
        <f t="shared" si="12"/>
        <v>2016</v>
      </c>
      <c r="F142" s="1">
        <f t="shared" si="13"/>
        <v>8</v>
      </c>
      <c r="G142" s="4">
        <f t="shared" si="14"/>
        <v>26</v>
      </c>
      <c r="H142" s="8">
        <v>8.50462962962963E-2</v>
      </c>
      <c r="I142" s="22">
        <v>136.06283333333334</v>
      </c>
      <c r="J142" s="22">
        <v>39.172333333333334</v>
      </c>
      <c r="K142" s="27">
        <v>50.344000000000001</v>
      </c>
      <c r="L142" s="27">
        <v>50</v>
      </c>
      <c r="M142" s="27">
        <v>0</v>
      </c>
      <c r="N142" s="21">
        <v>10.0219</v>
      </c>
      <c r="O142" s="24">
        <v>34.020400000000002</v>
      </c>
      <c r="P142" s="31">
        <v>9.7899999999984111E-4</v>
      </c>
      <c r="Q142" s="31">
        <v>-0.67002173999999926</v>
      </c>
      <c r="R142" s="26" t="s">
        <v>280</v>
      </c>
      <c r="S142" s="26">
        <v>1</v>
      </c>
      <c r="T142" s="71" t="s">
        <v>626</v>
      </c>
    </row>
    <row r="143" spans="1:20">
      <c r="A143" s="26" t="s">
        <v>141</v>
      </c>
      <c r="B143" s="26" t="s">
        <v>217</v>
      </c>
      <c r="C143" s="26" t="s">
        <v>508</v>
      </c>
      <c r="D143" s="25">
        <v>42608</v>
      </c>
      <c r="E143" s="1">
        <f t="shared" si="12"/>
        <v>2016</v>
      </c>
      <c r="F143" s="1">
        <f t="shared" si="13"/>
        <v>8</v>
      </c>
      <c r="G143" s="4">
        <f t="shared" si="14"/>
        <v>26</v>
      </c>
      <c r="H143" s="8">
        <v>8.50462962962963E-2</v>
      </c>
      <c r="I143" s="22">
        <v>136.06283333333334</v>
      </c>
      <c r="J143" s="22">
        <v>39.172333333333334</v>
      </c>
      <c r="K143" s="27">
        <v>74.924999999999997</v>
      </c>
      <c r="L143" s="27">
        <v>75</v>
      </c>
      <c r="M143" s="27">
        <v>0</v>
      </c>
      <c r="N143" s="21">
        <v>6.4603999999999999</v>
      </c>
      <c r="O143" s="24">
        <v>34.033299999999997</v>
      </c>
      <c r="P143" s="31">
        <v>-2.1489794117647287E-2</v>
      </c>
      <c r="Q143" s="31">
        <v>-0.65833171999999962</v>
      </c>
      <c r="R143" s="26" t="s">
        <v>280</v>
      </c>
      <c r="S143" s="26">
        <v>1</v>
      </c>
      <c r="T143" s="71" t="s">
        <v>626</v>
      </c>
    </row>
    <row r="144" spans="1:20">
      <c r="A144" s="26" t="s">
        <v>141</v>
      </c>
      <c r="B144" s="26" t="s">
        <v>217</v>
      </c>
      <c r="C144" s="26" t="s">
        <v>508</v>
      </c>
      <c r="D144" s="25">
        <v>42608</v>
      </c>
      <c r="E144" s="1">
        <f t="shared" si="12"/>
        <v>2016</v>
      </c>
      <c r="F144" s="1">
        <f t="shared" si="13"/>
        <v>8</v>
      </c>
      <c r="G144" s="4">
        <f t="shared" si="14"/>
        <v>26</v>
      </c>
      <c r="H144" s="8">
        <v>8.50462962962963E-2</v>
      </c>
      <c r="I144" s="22">
        <v>136.06283333333334</v>
      </c>
      <c r="J144" s="22">
        <v>39.172333333333334</v>
      </c>
      <c r="K144" s="27">
        <v>99.924999999999997</v>
      </c>
      <c r="L144" s="27">
        <v>100</v>
      </c>
      <c r="M144" s="27">
        <v>0</v>
      </c>
      <c r="N144" s="21">
        <v>4.3117999999999999</v>
      </c>
      <c r="O144" s="24">
        <v>34.0032</v>
      </c>
      <c r="P144" s="31">
        <v>-3.3376588235294324E-2</v>
      </c>
      <c r="Q144" s="31">
        <v>-0.86087026000000222</v>
      </c>
      <c r="R144" s="26" t="s">
        <v>280</v>
      </c>
      <c r="S144" s="26">
        <v>1</v>
      </c>
      <c r="T144" s="71" t="s">
        <v>626</v>
      </c>
    </row>
    <row r="145" spans="1:20">
      <c r="A145" s="26" t="s">
        <v>141</v>
      </c>
      <c r="B145" s="26" t="s">
        <v>217</v>
      </c>
      <c r="C145" s="26" t="s">
        <v>508</v>
      </c>
      <c r="D145" s="25">
        <v>42608</v>
      </c>
      <c r="E145" s="1">
        <f t="shared" si="12"/>
        <v>2016</v>
      </c>
      <c r="F145" s="1">
        <f t="shared" si="13"/>
        <v>8</v>
      </c>
      <c r="G145" s="4">
        <f t="shared" si="14"/>
        <v>26</v>
      </c>
      <c r="H145" s="8">
        <v>8.50462962962963E-2</v>
      </c>
      <c r="I145" s="22">
        <v>136.06283333333334</v>
      </c>
      <c r="J145" s="22">
        <v>39.172333333333334</v>
      </c>
      <c r="K145" s="27">
        <v>149.53299999999999</v>
      </c>
      <c r="L145" s="27">
        <v>150</v>
      </c>
      <c r="M145" s="27">
        <v>0</v>
      </c>
      <c r="N145" s="21">
        <v>2.2158000000000002</v>
      </c>
      <c r="O145" s="24">
        <v>34.0304</v>
      </c>
      <c r="P145" s="31">
        <v>3.1659617647058713E-2</v>
      </c>
      <c r="Q145" s="31">
        <v>-0.58355252000000135</v>
      </c>
      <c r="R145" s="26" t="s">
        <v>280</v>
      </c>
      <c r="S145" s="26">
        <v>1</v>
      </c>
      <c r="T145" s="71" t="s">
        <v>626</v>
      </c>
    </row>
    <row r="146" spans="1:20">
      <c r="A146" s="26" t="s">
        <v>141</v>
      </c>
      <c r="B146" s="26" t="s">
        <v>217</v>
      </c>
      <c r="C146" s="26" t="s">
        <v>508</v>
      </c>
      <c r="D146" s="25">
        <v>42608</v>
      </c>
      <c r="E146" s="1">
        <f t="shared" si="12"/>
        <v>2016</v>
      </c>
      <c r="F146" s="1">
        <f t="shared" si="13"/>
        <v>8</v>
      </c>
      <c r="G146" s="4">
        <f t="shared" si="14"/>
        <v>26</v>
      </c>
      <c r="H146" s="6">
        <v>8.50462962962963E-2</v>
      </c>
      <c r="I146" s="22">
        <v>136.06283333333334</v>
      </c>
      <c r="J146" s="22">
        <v>39.172333333333334</v>
      </c>
      <c r="K146" s="27">
        <v>199.12100000000001</v>
      </c>
      <c r="L146" s="27">
        <v>200</v>
      </c>
      <c r="M146" s="27">
        <v>0</v>
      </c>
      <c r="N146" s="21">
        <v>1.4518</v>
      </c>
      <c r="O146" s="24">
        <v>34.033700000000003</v>
      </c>
      <c r="P146" s="31">
        <v>-1.7981764705881087E-3</v>
      </c>
      <c r="Q146" s="31">
        <v>-0.80374726000000152</v>
      </c>
      <c r="R146" s="26" t="s">
        <v>280</v>
      </c>
      <c r="S146" s="26">
        <v>1</v>
      </c>
      <c r="T146" s="71" t="s">
        <v>626</v>
      </c>
    </row>
    <row r="147" spans="1:20">
      <c r="A147" s="26"/>
      <c r="B147" s="26"/>
      <c r="C147" s="26"/>
      <c r="D147" s="25"/>
      <c r="H147" s="6"/>
      <c r="I147" s="22"/>
      <c r="J147" s="22"/>
      <c r="K147" s="27"/>
      <c r="L147" s="27"/>
      <c r="M147" s="27"/>
      <c r="N147" s="21"/>
      <c r="O147" s="24"/>
      <c r="P147" s="31"/>
      <c r="Q147" s="31"/>
      <c r="R147" s="26"/>
      <c r="S147" s="26"/>
      <c r="T147" s="71"/>
    </row>
    <row r="148" spans="1:20">
      <c r="A148" s="26" t="s">
        <v>141</v>
      </c>
      <c r="B148" s="26" t="s">
        <v>218</v>
      </c>
      <c r="C148" s="26" t="s">
        <v>508</v>
      </c>
      <c r="D148" s="25">
        <v>42608</v>
      </c>
      <c r="E148" s="1">
        <f t="shared" si="12"/>
        <v>2016</v>
      </c>
      <c r="F148" s="1">
        <f t="shared" si="13"/>
        <v>8</v>
      </c>
      <c r="G148" s="4">
        <f t="shared" si="14"/>
        <v>26</v>
      </c>
      <c r="H148" s="6">
        <v>0.7154166666666667</v>
      </c>
      <c r="I148" s="22">
        <v>135.60249999999999</v>
      </c>
      <c r="J148" s="22">
        <v>40.166833333333336</v>
      </c>
      <c r="K148" s="27">
        <v>0</v>
      </c>
      <c r="L148" s="27">
        <v>0</v>
      </c>
      <c r="M148" s="27">
        <v>0</v>
      </c>
      <c r="N148" s="21">
        <v>25.6</v>
      </c>
      <c r="O148" s="24">
        <v>33.316941647368076</v>
      </c>
      <c r="P148" s="31">
        <v>-0.1471809705882352</v>
      </c>
      <c r="Q148" s="31">
        <v>-1.6336694400000003</v>
      </c>
      <c r="R148" s="26" t="s">
        <v>280</v>
      </c>
      <c r="S148" s="26">
        <v>1</v>
      </c>
      <c r="T148" s="71" t="s">
        <v>626</v>
      </c>
    </row>
    <row r="149" spans="1:20">
      <c r="A149" s="26" t="s">
        <v>141</v>
      </c>
      <c r="B149" s="26" t="s">
        <v>218</v>
      </c>
      <c r="C149" s="26" t="s">
        <v>508</v>
      </c>
      <c r="D149" s="25">
        <v>42608</v>
      </c>
      <c r="E149" s="1">
        <f t="shared" si="12"/>
        <v>2016</v>
      </c>
      <c r="F149" s="1">
        <f t="shared" si="13"/>
        <v>8</v>
      </c>
      <c r="G149" s="4">
        <f t="shared" si="14"/>
        <v>26</v>
      </c>
      <c r="H149" s="6">
        <v>0.7154166666666667</v>
      </c>
      <c r="I149" s="22">
        <v>135.60249999999999</v>
      </c>
      <c r="J149" s="22">
        <v>40.166833333333336</v>
      </c>
      <c r="K149" s="27">
        <v>10.221</v>
      </c>
      <c r="L149" s="27">
        <v>10</v>
      </c>
      <c r="M149" s="27">
        <v>0</v>
      </c>
      <c r="N149" s="21">
        <v>25.7927</v>
      </c>
      <c r="O149" s="24">
        <v>33.237499999999997</v>
      </c>
      <c r="P149" s="31">
        <v>-0.18206897058823546</v>
      </c>
      <c r="Q149" s="31">
        <v>-1.5473804447058832</v>
      </c>
      <c r="R149" s="26" t="s">
        <v>280</v>
      </c>
      <c r="S149" s="26">
        <v>1</v>
      </c>
      <c r="T149" s="71" t="s">
        <v>626</v>
      </c>
    </row>
    <row r="150" spans="1:20">
      <c r="A150" s="26" t="s">
        <v>141</v>
      </c>
      <c r="B150" s="26" t="s">
        <v>218</v>
      </c>
      <c r="C150" s="26" t="s">
        <v>508</v>
      </c>
      <c r="D150" s="25">
        <v>42608</v>
      </c>
      <c r="E150" s="1">
        <f t="shared" si="12"/>
        <v>2016</v>
      </c>
      <c r="F150" s="1">
        <f t="shared" si="13"/>
        <v>8</v>
      </c>
      <c r="G150" s="4">
        <f t="shared" si="14"/>
        <v>26</v>
      </c>
      <c r="H150" s="6">
        <v>0.7154166666666667</v>
      </c>
      <c r="I150" s="22">
        <v>135.60249999999999</v>
      </c>
      <c r="J150" s="22">
        <v>40.166833333333336</v>
      </c>
      <c r="K150" s="27">
        <v>19.827999999999999</v>
      </c>
      <c r="L150" s="27">
        <v>20</v>
      </c>
      <c r="M150" s="27">
        <v>0</v>
      </c>
      <c r="N150" s="21">
        <v>21.0776</v>
      </c>
      <c r="O150" s="24">
        <v>33.798400000000001</v>
      </c>
      <c r="P150" s="31">
        <v>-5.8831764705882694E-2</v>
      </c>
      <c r="Q150" s="31">
        <v>-0.81018843764706006</v>
      </c>
      <c r="R150" s="26" t="s">
        <v>280</v>
      </c>
      <c r="S150" s="26">
        <v>1</v>
      </c>
      <c r="T150" s="71" t="s">
        <v>626</v>
      </c>
    </row>
    <row r="151" spans="1:20">
      <c r="A151" s="26" t="s">
        <v>141</v>
      </c>
      <c r="B151" s="26" t="s">
        <v>218</v>
      </c>
      <c r="C151" s="26" t="s">
        <v>508</v>
      </c>
      <c r="D151" s="25">
        <v>42608</v>
      </c>
      <c r="E151" s="1">
        <f t="shared" si="12"/>
        <v>2016</v>
      </c>
      <c r="F151" s="1">
        <f t="shared" si="13"/>
        <v>8</v>
      </c>
      <c r="G151" s="4">
        <f t="shared" si="14"/>
        <v>26</v>
      </c>
      <c r="H151" s="6">
        <v>0.7154166666666667</v>
      </c>
      <c r="I151" s="22">
        <v>135.60249999999999</v>
      </c>
      <c r="J151" s="22">
        <v>40.166833333333336</v>
      </c>
      <c r="K151" s="27">
        <v>29.538</v>
      </c>
      <c r="L151" s="27">
        <v>30</v>
      </c>
      <c r="M151" s="27">
        <v>0</v>
      </c>
      <c r="N151" s="21">
        <v>14.518700000000001</v>
      </c>
      <c r="O151" s="24">
        <v>33.882100000000001</v>
      </c>
      <c r="P151" s="31">
        <v>3.0294117647033936E-4</v>
      </c>
      <c r="Q151" s="31">
        <v>-0.80687747058823511</v>
      </c>
      <c r="R151" s="26" t="s">
        <v>280</v>
      </c>
      <c r="S151" s="26">
        <v>1</v>
      </c>
      <c r="T151" s="71" t="s">
        <v>626</v>
      </c>
    </row>
    <row r="152" spans="1:20">
      <c r="A152" s="26" t="s">
        <v>141</v>
      </c>
      <c r="B152" s="26" t="s">
        <v>218</v>
      </c>
      <c r="C152" s="26" t="s">
        <v>508</v>
      </c>
      <c r="D152" s="25">
        <v>42608</v>
      </c>
      <c r="E152" s="1">
        <f t="shared" si="12"/>
        <v>2016</v>
      </c>
      <c r="F152" s="1">
        <f t="shared" si="13"/>
        <v>8</v>
      </c>
      <c r="G152" s="4">
        <f t="shared" si="14"/>
        <v>26</v>
      </c>
      <c r="H152" s="6">
        <v>0.7154166666666667</v>
      </c>
      <c r="I152" s="22">
        <v>135.60249999999999</v>
      </c>
      <c r="J152" s="22">
        <v>40.166833333333336</v>
      </c>
      <c r="K152" s="27">
        <v>50.506</v>
      </c>
      <c r="L152" s="27">
        <v>50</v>
      </c>
      <c r="M152" s="27">
        <v>0</v>
      </c>
      <c r="N152" s="21">
        <v>7.97</v>
      </c>
      <c r="O152" s="24">
        <v>34.043500000000002</v>
      </c>
      <c r="P152" s="31">
        <v>5.923414705882335E-2</v>
      </c>
      <c r="Q152" s="31">
        <v>-0.3032643835294131</v>
      </c>
      <c r="R152" s="26" t="s">
        <v>280</v>
      </c>
      <c r="S152" s="26">
        <v>1</v>
      </c>
      <c r="T152" s="71" t="s">
        <v>626</v>
      </c>
    </row>
    <row r="153" spans="1:20">
      <c r="A153" s="26" t="s">
        <v>141</v>
      </c>
      <c r="B153" s="26" t="s">
        <v>218</v>
      </c>
      <c r="C153" s="26" t="s">
        <v>508</v>
      </c>
      <c r="D153" s="25">
        <v>42608</v>
      </c>
      <c r="E153" s="1">
        <f t="shared" si="12"/>
        <v>2016</v>
      </c>
      <c r="F153" s="1">
        <f t="shared" si="13"/>
        <v>8</v>
      </c>
      <c r="G153" s="4">
        <f t="shared" si="14"/>
        <v>26</v>
      </c>
      <c r="H153" s="6">
        <v>0.7154166666666667</v>
      </c>
      <c r="I153" s="22">
        <v>135.60249999999999</v>
      </c>
      <c r="J153" s="22">
        <v>40.166833333333336</v>
      </c>
      <c r="K153" s="27">
        <v>74.313999999999993</v>
      </c>
      <c r="L153" s="27">
        <v>75</v>
      </c>
      <c r="M153" s="27">
        <v>0</v>
      </c>
      <c r="N153" s="21">
        <v>4.4757999999999996</v>
      </c>
      <c r="O153" s="24">
        <v>33.985999999999997</v>
      </c>
      <c r="P153" s="31">
        <v>3.5544352941176527E-2</v>
      </c>
      <c r="Q153" s="31">
        <v>-0.63257293647058788</v>
      </c>
      <c r="R153" s="26" t="s">
        <v>280</v>
      </c>
      <c r="S153" s="26">
        <v>1</v>
      </c>
      <c r="T153" s="71" t="s">
        <v>626</v>
      </c>
    </row>
    <row r="154" spans="1:20">
      <c r="A154" s="26" t="s">
        <v>141</v>
      </c>
      <c r="B154" s="26" t="s">
        <v>218</v>
      </c>
      <c r="C154" s="26" t="s">
        <v>508</v>
      </c>
      <c r="D154" s="25">
        <v>42608</v>
      </c>
      <c r="E154" s="1">
        <f t="shared" si="12"/>
        <v>2016</v>
      </c>
      <c r="F154" s="1">
        <f t="shared" si="13"/>
        <v>8</v>
      </c>
      <c r="G154" s="4">
        <f t="shared" si="14"/>
        <v>26</v>
      </c>
      <c r="H154" s="6">
        <v>0.7154166666666667</v>
      </c>
      <c r="I154" s="22">
        <v>135.60249999999999</v>
      </c>
      <c r="J154" s="22">
        <v>40.166833333333336</v>
      </c>
      <c r="K154" s="27">
        <v>99.204999999999998</v>
      </c>
      <c r="L154" s="27">
        <v>100</v>
      </c>
      <c r="M154" s="27">
        <v>0</v>
      </c>
      <c r="N154" s="21">
        <v>3.3815</v>
      </c>
      <c r="O154" s="24">
        <v>33.984999999999999</v>
      </c>
      <c r="P154" s="31">
        <v>-6.6639411764706225E-3</v>
      </c>
      <c r="Q154" s="31">
        <v>-0.71124012941176673</v>
      </c>
      <c r="R154" s="26" t="s">
        <v>280</v>
      </c>
      <c r="S154" s="26">
        <v>1</v>
      </c>
      <c r="T154" s="71" t="s">
        <v>626</v>
      </c>
    </row>
    <row r="155" spans="1:20">
      <c r="A155" s="26" t="s">
        <v>141</v>
      </c>
      <c r="B155" s="26" t="s">
        <v>218</v>
      </c>
      <c r="C155" s="26" t="s">
        <v>508</v>
      </c>
      <c r="D155" s="25">
        <v>42608</v>
      </c>
      <c r="E155" s="1">
        <f t="shared" si="12"/>
        <v>2016</v>
      </c>
      <c r="F155" s="1">
        <f t="shared" si="13"/>
        <v>8</v>
      </c>
      <c r="G155" s="4">
        <f t="shared" si="14"/>
        <v>26</v>
      </c>
      <c r="H155" s="6">
        <v>0.7154166666666667</v>
      </c>
      <c r="I155" s="22">
        <v>135.60249999999999</v>
      </c>
      <c r="J155" s="22">
        <v>40.166833333333336</v>
      </c>
      <c r="K155" s="27">
        <v>124.43</v>
      </c>
      <c r="L155" s="27">
        <v>125</v>
      </c>
      <c r="M155" s="27">
        <v>0</v>
      </c>
      <c r="N155" s="21">
        <v>2.4228000000000001</v>
      </c>
      <c r="O155" s="24">
        <v>33.983400000000003</v>
      </c>
      <c r="P155" s="31">
        <v>-7.7652352941175451E-3</v>
      </c>
      <c r="Q155" s="31">
        <v>-0.76225440235294073</v>
      </c>
      <c r="R155" s="26" t="s">
        <v>280</v>
      </c>
      <c r="S155" s="26">
        <v>1</v>
      </c>
      <c r="T155" s="71" t="s">
        <v>626</v>
      </c>
    </row>
    <row r="156" spans="1:20">
      <c r="A156" s="26" t="s">
        <v>141</v>
      </c>
      <c r="B156" s="26" t="s">
        <v>218</v>
      </c>
      <c r="C156" s="26" t="s">
        <v>508</v>
      </c>
      <c r="D156" s="25">
        <v>42608</v>
      </c>
      <c r="E156" s="1">
        <f t="shared" si="12"/>
        <v>2016</v>
      </c>
      <c r="F156" s="1">
        <f t="shared" si="13"/>
        <v>8</v>
      </c>
      <c r="G156" s="4">
        <f t="shared" si="14"/>
        <v>26</v>
      </c>
      <c r="H156" s="6">
        <v>0.7154166666666667</v>
      </c>
      <c r="I156" s="22">
        <v>135.60249999999999</v>
      </c>
      <c r="J156" s="22">
        <v>40.166833333333336</v>
      </c>
      <c r="K156" s="27">
        <v>149.80500000000001</v>
      </c>
      <c r="L156" s="27">
        <v>150</v>
      </c>
      <c r="M156" s="27">
        <v>0</v>
      </c>
      <c r="N156" s="21">
        <v>2.0973000000000002</v>
      </c>
      <c r="O156" s="24">
        <v>34.013199999999998</v>
      </c>
      <c r="P156" s="31">
        <v>-1.3594911764706064E-2</v>
      </c>
      <c r="Q156" s="31">
        <v>-0.76470013411764803</v>
      </c>
      <c r="R156" s="26" t="s">
        <v>280</v>
      </c>
      <c r="S156" s="26">
        <v>1</v>
      </c>
      <c r="T156" s="71" t="s">
        <v>626</v>
      </c>
    </row>
    <row r="157" spans="1:20">
      <c r="A157" s="26" t="s">
        <v>141</v>
      </c>
      <c r="B157" s="26" t="s">
        <v>218</v>
      </c>
      <c r="C157" s="26" t="s">
        <v>508</v>
      </c>
      <c r="D157" s="25">
        <v>42608</v>
      </c>
      <c r="E157" s="1">
        <f t="shared" si="12"/>
        <v>2016</v>
      </c>
      <c r="F157" s="1">
        <f t="shared" si="13"/>
        <v>8</v>
      </c>
      <c r="G157" s="4">
        <f t="shared" si="14"/>
        <v>26</v>
      </c>
      <c r="H157" s="6">
        <v>0.7154166666666667</v>
      </c>
      <c r="I157" s="22">
        <v>135.60249999999999</v>
      </c>
      <c r="J157" s="22">
        <v>40.166833333333336</v>
      </c>
      <c r="K157" s="27">
        <v>200.227</v>
      </c>
      <c r="L157" s="27">
        <v>200</v>
      </c>
      <c r="M157" s="27">
        <v>0</v>
      </c>
      <c r="N157" s="21">
        <v>1.4492</v>
      </c>
      <c r="O157" s="24">
        <v>34.035400000000003</v>
      </c>
      <c r="P157" s="31">
        <v>-4.6442205882352594E-2</v>
      </c>
      <c r="Q157" s="31">
        <v>-0.74386911372548958</v>
      </c>
      <c r="R157" s="26" t="s">
        <v>280</v>
      </c>
      <c r="S157" s="26">
        <v>1</v>
      </c>
      <c r="T157" s="71" t="s">
        <v>626</v>
      </c>
    </row>
    <row r="158" spans="1:20">
      <c r="A158" s="26"/>
      <c r="B158" s="26"/>
      <c r="C158" s="26"/>
      <c r="D158" s="25"/>
      <c r="H158" s="6"/>
      <c r="I158" s="22"/>
      <c r="J158" s="22"/>
      <c r="K158" s="27"/>
      <c r="L158" s="27"/>
      <c r="M158" s="27"/>
      <c r="N158" s="21"/>
      <c r="O158" s="24"/>
      <c r="P158" s="31"/>
      <c r="Q158" s="31"/>
      <c r="R158" s="26"/>
      <c r="S158" s="26"/>
      <c r="T158" s="71"/>
    </row>
    <row r="159" spans="1:20">
      <c r="A159" s="26" t="s">
        <v>141</v>
      </c>
      <c r="B159" s="26" t="s">
        <v>219</v>
      </c>
      <c r="C159" s="26" t="s">
        <v>508</v>
      </c>
      <c r="D159" s="25">
        <v>42609</v>
      </c>
      <c r="E159" s="1">
        <f t="shared" si="12"/>
        <v>2016</v>
      </c>
      <c r="F159" s="1">
        <f t="shared" si="13"/>
        <v>8</v>
      </c>
      <c r="G159" s="4">
        <f t="shared" si="14"/>
        <v>27</v>
      </c>
      <c r="H159" s="6">
        <v>4.0856481481481481E-3</v>
      </c>
      <c r="I159" s="22">
        <v>135.63216666666668</v>
      </c>
      <c r="J159" s="22">
        <v>39.911666666666669</v>
      </c>
      <c r="K159" s="27">
        <v>0</v>
      </c>
      <c r="L159" s="27">
        <v>0</v>
      </c>
      <c r="M159" s="27">
        <v>0</v>
      </c>
      <c r="N159" s="21">
        <v>25.4</v>
      </c>
      <c r="O159" s="24">
        <v>33.146245197654679</v>
      </c>
      <c r="P159" s="31">
        <v>-0.20281400000000005</v>
      </c>
      <c r="Q159" s="31">
        <v>-1.7839819199999996</v>
      </c>
      <c r="R159" s="26" t="s">
        <v>280</v>
      </c>
      <c r="S159" s="26">
        <v>1</v>
      </c>
      <c r="T159" s="71" t="s">
        <v>626</v>
      </c>
    </row>
    <row r="160" spans="1:20">
      <c r="A160" s="26" t="s">
        <v>141</v>
      </c>
      <c r="B160" s="26" t="s">
        <v>219</v>
      </c>
      <c r="C160" s="26" t="s">
        <v>508</v>
      </c>
      <c r="D160" s="25">
        <v>42609</v>
      </c>
      <c r="E160" s="1">
        <f t="shared" si="12"/>
        <v>2016</v>
      </c>
      <c r="F160" s="1">
        <f t="shared" si="13"/>
        <v>8</v>
      </c>
      <c r="G160" s="4">
        <f t="shared" si="14"/>
        <v>27</v>
      </c>
      <c r="H160" s="6">
        <v>4.0856481481481481E-3</v>
      </c>
      <c r="I160" s="22">
        <v>135.63216666666668</v>
      </c>
      <c r="J160" s="22">
        <v>39.911666666666669</v>
      </c>
      <c r="K160" s="27">
        <v>10.516</v>
      </c>
      <c r="L160" s="27">
        <v>10</v>
      </c>
      <c r="M160" s="27">
        <v>0</v>
      </c>
      <c r="N160" s="21">
        <v>25.704499999999999</v>
      </c>
      <c r="O160" s="24">
        <v>32.974400000000003</v>
      </c>
      <c r="P160" s="31">
        <v>-0.23281229411764714</v>
      </c>
      <c r="Q160" s="31">
        <v>-1.8873602329411767</v>
      </c>
      <c r="R160" s="26" t="s">
        <v>280</v>
      </c>
      <c r="S160" s="26">
        <v>1</v>
      </c>
      <c r="T160" s="71" t="s">
        <v>626</v>
      </c>
    </row>
    <row r="161" spans="1:20">
      <c r="A161" s="26" t="s">
        <v>141</v>
      </c>
      <c r="B161" s="26" t="s">
        <v>219</v>
      </c>
      <c r="C161" s="26" t="s">
        <v>508</v>
      </c>
      <c r="D161" s="25">
        <v>42609</v>
      </c>
      <c r="E161" s="1">
        <f t="shared" si="12"/>
        <v>2016</v>
      </c>
      <c r="F161" s="1">
        <f t="shared" si="13"/>
        <v>8</v>
      </c>
      <c r="G161" s="4">
        <f t="shared" si="14"/>
        <v>27</v>
      </c>
      <c r="H161" s="6">
        <v>4.0856481481481481E-3</v>
      </c>
      <c r="I161" s="22">
        <v>135.63216666666668</v>
      </c>
      <c r="J161" s="22">
        <v>39.911666666666669</v>
      </c>
      <c r="K161" s="27">
        <v>19.802</v>
      </c>
      <c r="L161" s="27">
        <v>20</v>
      </c>
      <c r="M161" s="27">
        <v>0</v>
      </c>
      <c r="N161" s="21">
        <v>23.212499999999999</v>
      </c>
      <c r="O161" s="24">
        <v>33.709099999999999</v>
      </c>
      <c r="P161" s="31">
        <v>-6.0328088235293897E-2</v>
      </c>
      <c r="Q161" s="31">
        <v>-0.86814766588235415</v>
      </c>
      <c r="R161" s="26" t="s">
        <v>280</v>
      </c>
      <c r="S161" s="26">
        <v>1</v>
      </c>
      <c r="T161" s="71" t="s">
        <v>626</v>
      </c>
    </row>
    <row r="162" spans="1:20">
      <c r="A162" s="26" t="s">
        <v>141</v>
      </c>
      <c r="B162" s="26" t="s">
        <v>219</v>
      </c>
      <c r="C162" s="26" t="s">
        <v>508</v>
      </c>
      <c r="D162" s="25">
        <v>42609</v>
      </c>
      <c r="E162" s="1">
        <f t="shared" si="12"/>
        <v>2016</v>
      </c>
      <c r="F162" s="1">
        <f t="shared" si="13"/>
        <v>8</v>
      </c>
      <c r="G162" s="4">
        <f t="shared" si="14"/>
        <v>27</v>
      </c>
      <c r="H162" s="6">
        <v>4.0856481481481481E-3</v>
      </c>
      <c r="I162" s="22">
        <v>135.63216666666668</v>
      </c>
      <c r="J162" s="22">
        <v>39.911666666666669</v>
      </c>
      <c r="K162" s="27">
        <v>30.053999999999998</v>
      </c>
      <c r="L162" s="27">
        <v>30</v>
      </c>
      <c r="M162" s="27">
        <v>0</v>
      </c>
      <c r="N162" s="21">
        <v>16.9252</v>
      </c>
      <c r="O162" s="24">
        <v>33.935400000000001</v>
      </c>
      <c r="P162" s="31">
        <v>4.1541617647058882E-2</v>
      </c>
      <c r="Q162" s="31">
        <v>-0.16900293882352813</v>
      </c>
      <c r="R162" s="26" t="s">
        <v>280</v>
      </c>
      <c r="S162" s="26">
        <v>1</v>
      </c>
      <c r="T162" s="71" t="s">
        <v>626</v>
      </c>
    </row>
    <row r="163" spans="1:20">
      <c r="A163" s="26" t="s">
        <v>141</v>
      </c>
      <c r="B163" s="26" t="s">
        <v>219</v>
      </c>
      <c r="C163" s="26" t="s">
        <v>508</v>
      </c>
      <c r="D163" s="25">
        <v>42609</v>
      </c>
      <c r="E163" s="1">
        <f t="shared" si="12"/>
        <v>2016</v>
      </c>
      <c r="F163" s="1">
        <f t="shared" si="13"/>
        <v>8</v>
      </c>
      <c r="G163" s="4">
        <f t="shared" si="14"/>
        <v>27</v>
      </c>
      <c r="H163" s="6">
        <v>4.0856481481481481E-3</v>
      </c>
      <c r="I163" s="22">
        <v>135.63216666666668</v>
      </c>
      <c r="J163" s="22">
        <v>39.911666666666669</v>
      </c>
      <c r="K163" s="27">
        <v>49.646999999999998</v>
      </c>
      <c r="L163" s="27">
        <v>50</v>
      </c>
      <c r="M163" s="27">
        <v>0</v>
      </c>
      <c r="N163" s="21">
        <v>11.0589</v>
      </c>
      <c r="O163" s="24">
        <v>34.136899999999997</v>
      </c>
      <c r="P163" s="31">
        <v>6.5063823529411868E-2</v>
      </c>
      <c r="Q163" s="31">
        <v>4.1999108235293292E-2</v>
      </c>
      <c r="R163" s="26" t="s">
        <v>280</v>
      </c>
      <c r="S163" s="26">
        <v>1</v>
      </c>
      <c r="T163" s="71" t="s">
        <v>626</v>
      </c>
    </row>
    <row r="164" spans="1:20">
      <c r="A164" s="26" t="s">
        <v>141</v>
      </c>
      <c r="B164" s="26" t="s">
        <v>219</v>
      </c>
      <c r="C164" s="26" t="s">
        <v>508</v>
      </c>
      <c r="D164" s="25">
        <v>42609</v>
      </c>
      <c r="E164" s="1">
        <f t="shared" si="12"/>
        <v>2016</v>
      </c>
      <c r="F164" s="1">
        <f t="shared" si="13"/>
        <v>8</v>
      </c>
      <c r="G164" s="4">
        <f t="shared" si="14"/>
        <v>27</v>
      </c>
      <c r="H164" s="6">
        <v>4.0856481481481481E-3</v>
      </c>
      <c r="I164" s="22">
        <v>135.63216666666668</v>
      </c>
      <c r="J164" s="22">
        <v>39.911666666666669</v>
      </c>
      <c r="K164" s="27">
        <v>74.484999999999999</v>
      </c>
      <c r="L164" s="27">
        <v>75</v>
      </c>
      <c r="M164" s="27">
        <v>0</v>
      </c>
      <c r="N164" s="21">
        <v>7.5019</v>
      </c>
      <c r="O164" s="24">
        <v>34.079700000000003</v>
      </c>
      <c r="P164" s="31">
        <v>6.6201029411764756E-2</v>
      </c>
      <c r="Q164" s="31">
        <v>-0.10276052470588048</v>
      </c>
      <c r="R164" s="26" t="s">
        <v>280</v>
      </c>
      <c r="S164" s="26">
        <v>1</v>
      </c>
      <c r="T164" s="71" t="s">
        <v>626</v>
      </c>
    </row>
    <row r="165" spans="1:20">
      <c r="A165" s="26" t="s">
        <v>141</v>
      </c>
      <c r="B165" s="26" t="s">
        <v>219</v>
      </c>
      <c r="C165" s="26" t="s">
        <v>508</v>
      </c>
      <c r="D165" s="25">
        <v>42609</v>
      </c>
      <c r="E165" s="1">
        <f t="shared" si="12"/>
        <v>2016</v>
      </c>
      <c r="F165" s="1">
        <f t="shared" si="13"/>
        <v>8</v>
      </c>
      <c r="G165" s="4">
        <f t="shared" si="14"/>
        <v>27</v>
      </c>
      <c r="H165" s="6">
        <v>4.0856481481481481E-3</v>
      </c>
      <c r="I165" s="22">
        <v>135.63216666666668</v>
      </c>
      <c r="J165" s="22">
        <v>39.911666666666669</v>
      </c>
      <c r="K165" s="27">
        <v>99.087000000000003</v>
      </c>
      <c r="L165" s="27">
        <v>100</v>
      </c>
      <c r="M165" s="27">
        <v>0</v>
      </c>
      <c r="N165" s="21">
        <v>4.0963000000000003</v>
      </c>
      <c r="O165" s="24">
        <v>33.932099999999998</v>
      </c>
      <c r="P165" s="31">
        <v>-2.348035294117623E-2</v>
      </c>
      <c r="Q165" s="31">
        <v>-0.7498152776470608</v>
      </c>
      <c r="R165" s="26" t="s">
        <v>280</v>
      </c>
      <c r="S165" s="26">
        <v>1</v>
      </c>
      <c r="T165" s="71" t="s">
        <v>626</v>
      </c>
    </row>
    <row r="166" spans="1:20">
      <c r="A166" s="26" t="s">
        <v>141</v>
      </c>
      <c r="B166" s="26" t="s">
        <v>219</v>
      </c>
      <c r="C166" s="26" t="s">
        <v>508</v>
      </c>
      <c r="D166" s="25">
        <v>42609</v>
      </c>
      <c r="E166" s="1">
        <f t="shared" si="12"/>
        <v>2016</v>
      </c>
      <c r="F166" s="1">
        <f t="shared" si="13"/>
        <v>8</v>
      </c>
      <c r="G166" s="4">
        <f t="shared" si="14"/>
        <v>27</v>
      </c>
      <c r="H166" s="6">
        <v>4.0856481481481481E-3</v>
      </c>
      <c r="I166" s="22">
        <v>135.63216666666668</v>
      </c>
      <c r="J166" s="22">
        <v>39.911666666666669</v>
      </c>
      <c r="K166" s="27">
        <v>149.80099999999999</v>
      </c>
      <c r="L166" s="27">
        <v>150</v>
      </c>
      <c r="M166" s="27">
        <v>0</v>
      </c>
      <c r="N166" s="21">
        <v>2.1505999999999998</v>
      </c>
      <c r="O166" s="24">
        <v>34.005899999999997</v>
      </c>
      <c r="P166" s="31">
        <v>-3.0818323529411495E-2</v>
      </c>
      <c r="Q166" s="31">
        <v>-0.92395830117646849</v>
      </c>
      <c r="R166" s="26" t="s">
        <v>280</v>
      </c>
      <c r="S166" s="26">
        <v>1</v>
      </c>
      <c r="T166" s="71" t="s">
        <v>626</v>
      </c>
    </row>
    <row r="167" spans="1:20">
      <c r="A167" s="26" t="s">
        <v>141</v>
      </c>
      <c r="B167" s="26" t="s">
        <v>219</v>
      </c>
      <c r="C167" s="26" t="s">
        <v>508</v>
      </c>
      <c r="D167" s="25">
        <v>42609</v>
      </c>
      <c r="E167" s="1">
        <f t="shared" si="12"/>
        <v>2016</v>
      </c>
      <c r="F167" s="1">
        <f t="shared" si="13"/>
        <v>8</v>
      </c>
      <c r="G167" s="4">
        <f t="shared" si="14"/>
        <v>27</v>
      </c>
      <c r="H167" s="6">
        <v>4.0856481481481481E-3</v>
      </c>
      <c r="I167" s="22">
        <v>135.63216666666668</v>
      </c>
      <c r="J167" s="22">
        <v>39.911666666666669</v>
      </c>
      <c r="K167" s="27">
        <v>198.86799999999999</v>
      </c>
      <c r="L167" s="27">
        <v>200</v>
      </c>
      <c r="M167" s="27">
        <v>0</v>
      </c>
      <c r="N167" s="21">
        <v>1.4632000000000001</v>
      </c>
      <c r="O167" s="24">
        <v>34.011899999999997</v>
      </c>
      <c r="P167" s="31">
        <v>-1.1294294117647041E-2</v>
      </c>
      <c r="Q167" s="31">
        <v>-0.84432204470588168</v>
      </c>
      <c r="R167" s="26" t="s">
        <v>280</v>
      </c>
      <c r="S167" s="26">
        <v>1</v>
      </c>
      <c r="T167" s="71" t="s">
        <v>626</v>
      </c>
    </row>
    <row r="168" spans="1:20">
      <c r="A168" s="26"/>
      <c r="B168" s="26"/>
      <c r="C168" s="26"/>
      <c r="D168" s="25"/>
      <c r="H168" s="6"/>
      <c r="I168" s="22"/>
      <c r="J168" s="22"/>
      <c r="K168" s="27"/>
      <c r="L168" s="27"/>
      <c r="M168" s="27"/>
      <c r="N168" s="21"/>
      <c r="O168" s="24"/>
      <c r="P168" s="31"/>
      <c r="Q168" s="31"/>
      <c r="R168" s="26"/>
      <c r="S168" s="26"/>
      <c r="T168" s="71"/>
    </row>
    <row r="169" spans="1:20">
      <c r="A169" s="26" t="s">
        <v>141</v>
      </c>
      <c r="B169" s="26" t="s">
        <v>220</v>
      </c>
      <c r="C169" s="26" t="s">
        <v>508</v>
      </c>
      <c r="D169" s="25">
        <v>42609</v>
      </c>
      <c r="E169" s="1">
        <f t="shared" si="12"/>
        <v>2016</v>
      </c>
      <c r="F169" s="1">
        <f t="shared" si="13"/>
        <v>8</v>
      </c>
      <c r="G169" s="4">
        <f t="shared" si="14"/>
        <v>27</v>
      </c>
      <c r="H169" s="6">
        <v>0.57893518518518516</v>
      </c>
      <c r="I169" s="22">
        <v>135.999</v>
      </c>
      <c r="J169" s="22">
        <v>38.493000000000002</v>
      </c>
      <c r="K169" s="27">
        <v>0</v>
      </c>
      <c r="L169" s="27">
        <v>0</v>
      </c>
      <c r="M169" s="27">
        <v>0</v>
      </c>
      <c r="N169" s="21">
        <v>25.9</v>
      </c>
      <c r="O169" s="24">
        <v>33.263529399628936</v>
      </c>
      <c r="P169" s="31">
        <v>-9.2502764705882257E-2</v>
      </c>
      <c r="Q169" s="31">
        <v>-1.203602348235294</v>
      </c>
      <c r="R169" s="26" t="s">
        <v>280</v>
      </c>
      <c r="S169" s="26">
        <v>1</v>
      </c>
      <c r="T169" s="71" t="s">
        <v>626</v>
      </c>
    </row>
    <row r="170" spans="1:20">
      <c r="A170" s="26" t="s">
        <v>141</v>
      </c>
      <c r="B170" s="26" t="s">
        <v>220</v>
      </c>
      <c r="C170" s="26" t="s">
        <v>508</v>
      </c>
      <c r="D170" s="25">
        <v>42609</v>
      </c>
      <c r="E170" s="1">
        <f t="shared" si="12"/>
        <v>2016</v>
      </c>
      <c r="F170" s="1">
        <f t="shared" si="13"/>
        <v>8</v>
      </c>
      <c r="G170" s="4">
        <f t="shared" si="14"/>
        <v>27</v>
      </c>
      <c r="H170" s="6">
        <v>0.57893518518518516</v>
      </c>
      <c r="I170" s="22">
        <v>135.999</v>
      </c>
      <c r="J170" s="22">
        <v>38.493000000000002</v>
      </c>
      <c r="K170" s="27">
        <v>10.042999999999999</v>
      </c>
      <c r="L170" s="27">
        <v>10</v>
      </c>
      <c r="M170" s="27">
        <v>0</v>
      </c>
      <c r="N170" s="21">
        <v>26.692499999999999</v>
      </c>
      <c r="O170" s="24">
        <v>33.243299999999998</v>
      </c>
      <c r="P170" s="31">
        <v>-5.588473529411786E-2</v>
      </c>
      <c r="Q170" s="31">
        <v>-0.95569513176470533</v>
      </c>
      <c r="R170" s="26" t="s">
        <v>280</v>
      </c>
      <c r="S170" s="26">
        <v>1</v>
      </c>
      <c r="T170" s="71" t="s">
        <v>626</v>
      </c>
    </row>
    <row r="171" spans="1:20">
      <c r="A171" s="26" t="s">
        <v>141</v>
      </c>
      <c r="B171" s="26" t="s">
        <v>220</v>
      </c>
      <c r="C171" s="26" t="s">
        <v>508</v>
      </c>
      <c r="D171" s="25">
        <v>42609</v>
      </c>
      <c r="E171" s="1">
        <f t="shared" si="12"/>
        <v>2016</v>
      </c>
      <c r="F171" s="1">
        <f t="shared" si="13"/>
        <v>8</v>
      </c>
      <c r="G171" s="4">
        <f t="shared" si="14"/>
        <v>27</v>
      </c>
      <c r="H171" s="6">
        <v>0.57893518518518516</v>
      </c>
      <c r="I171" s="22">
        <v>135.999</v>
      </c>
      <c r="J171" s="22">
        <v>38.493000000000002</v>
      </c>
      <c r="K171" s="27">
        <v>20.568999999999999</v>
      </c>
      <c r="L171" s="27">
        <v>20</v>
      </c>
      <c r="M171" s="27">
        <v>0</v>
      </c>
      <c r="N171" s="21">
        <v>23.182300000000001</v>
      </c>
      <c r="O171" s="24">
        <v>34.105499999999999</v>
      </c>
      <c r="P171" s="31">
        <v>0.16469729411764722</v>
      </c>
      <c r="Q171" s="31">
        <v>0.6240630047058815</v>
      </c>
      <c r="R171" s="26" t="s">
        <v>280</v>
      </c>
      <c r="S171" s="26">
        <v>1</v>
      </c>
      <c r="T171" s="71" t="s">
        <v>626</v>
      </c>
    </row>
    <row r="172" spans="1:20">
      <c r="A172" s="26" t="s">
        <v>141</v>
      </c>
      <c r="B172" s="26" t="s">
        <v>220</v>
      </c>
      <c r="C172" s="26" t="s">
        <v>508</v>
      </c>
      <c r="D172" s="25">
        <v>42609</v>
      </c>
      <c r="E172" s="1">
        <f t="shared" si="12"/>
        <v>2016</v>
      </c>
      <c r="F172" s="1">
        <f t="shared" si="13"/>
        <v>8</v>
      </c>
      <c r="G172" s="4">
        <f t="shared" si="14"/>
        <v>27</v>
      </c>
      <c r="H172" s="6">
        <v>0.57893518518518516</v>
      </c>
      <c r="I172" s="22">
        <v>135.999</v>
      </c>
      <c r="J172" s="22">
        <v>38.493000000000002</v>
      </c>
      <c r="K172" s="27">
        <v>30.227</v>
      </c>
      <c r="L172" s="27">
        <v>30</v>
      </c>
      <c r="M172" s="27">
        <v>0</v>
      </c>
      <c r="N172" s="21">
        <v>17.568899999999999</v>
      </c>
      <c r="O172" s="24">
        <v>34.340899999999998</v>
      </c>
      <c r="P172" s="31">
        <v>0.20477482352941179</v>
      </c>
      <c r="Q172" s="31">
        <v>0.99415298117646955</v>
      </c>
      <c r="R172" s="26" t="s">
        <v>280</v>
      </c>
      <c r="S172" s="26">
        <v>1</v>
      </c>
      <c r="T172" s="71" t="s">
        <v>626</v>
      </c>
    </row>
    <row r="173" spans="1:20">
      <c r="A173" s="26" t="s">
        <v>141</v>
      </c>
      <c r="B173" s="26" t="s">
        <v>220</v>
      </c>
      <c r="C173" s="26" t="s">
        <v>508</v>
      </c>
      <c r="D173" s="25">
        <v>42609</v>
      </c>
      <c r="E173" s="1">
        <f t="shared" si="12"/>
        <v>2016</v>
      </c>
      <c r="F173" s="1">
        <f t="shared" si="13"/>
        <v>8</v>
      </c>
      <c r="G173" s="4">
        <f t="shared" si="14"/>
        <v>27</v>
      </c>
      <c r="H173" s="6">
        <v>0.57893518518518516</v>
      </c>
      <c r="I173" s="22">
        <v>135.999</v>
      </c>
      <c r="J173" s="22">
        <v>38.493000000000002</v>
      </c>
      <c r="K173" s="27">
        <v>50.494999999999997</v>
      </c>
      <c r="L173" s="27">
        <v>50</v>
      </c>
      <c r="M173" s="27">
        <v>0</v>
      </c>
      <c r="N173" s="21">
        <v>14.292299999999999</v>
      </c>
      <c r="O173" s="24">
        <v>34.403399999999998</v>
      </c>
      <c r="P173" s="31">
        <v>0.13777544117647067</v>
      </c>
      <c r="Q173" s="31">
        <v>0.89241284705882329</v>
      </c>
      <c r="R173" s="26" t="s">
        <v>280</v>
      </c>
      <c r="S173" s="26">
        <v>1</v>
      </c>
      <c r="T173" s="71" t="s">
        <v>626</v>
      </c>
    </row>
    <row r="174" spans="1:20">
      <c r="A174" s="26" t="s">
        <v>141</v>
      </c>
      <c r="B174" s="26" t="s">
        <v>220</v>
      </c>
      <c r="C174" s="26" t="s">
        <v>508</v>
      </c>
      <c r="D174" s="25">
        <v>42609</v>
      </c>
      <c r="E174" s="1">
        <f t="shared" si="12"/>
        <v>2016</v>
      </c>
      <c r="F174" s="1">
        <f t="shared" si="13"/>
        <v>8</v>
      </c>
      <c r="G174" s="4">
        <f t="shared" si="14"/>
        <v>27</v>
      </c>
      <c r="H174" s="6">
        <v>0.57893518518518516</v>
      </c>
      <c r="I174" s="22">
        <v>135.999</v>
      </c>
      <c r="J174" s="22">
        <v>38.493000000000002</v>
      </c>
      <c r="K174" s="27">
        <v>75.091999999999999</v>
      </c>
      <c r="L174" s="27">
        <v>75</v>
      </c>
      <c r="M174" s="27">
        <v>0</v>
      </c>
      <c r="N174" s="21">
        <v>10.562200000000001</v>
      </c>
      <c r="O174" s="24">
        <v>34.199100000000001</v>
      </c>
      <c r="P174" s="31">
        <v>0.1380499423529411</v>
      </c>
      <c r="Q174" s="31">
        <v>0.57166667058823428</v>
      </c>
      <c r="R174" s="26" t="s">
        <v>280</v>
      </c>
      <c r="S174" s="26">
        <v>1</v>
      </c>
      <c r="T174" s="71" t="s">
        <v>626</v>
      </c>
    </row>
    <row r="175" spans="1:20">
      <c r="A175" s="26" t="s">
        <v>141</v>
      </c>
      <c r="B175" s="26" t="s">
        <v>220</v>
      </c>
      <c r="C175" s="26" t="s">
        <v>508</v>
      </c>
      <c r="D175" s="25">
        <v>42609</v>
      </c>
      <c r="E175" s="1">
        <f t="shared" si="12"/>
        <v>2016</v>
      </c>
      <c r="F175" s="1">
        <f t="shared" si="13"/>
        <v>8</v>
      </c>
      <c r="G175" s="4">
        <f t="shared" si="14"/>
        <v>27</v>
      </c>
      <c r="H175" s="6">
        <v>0.57893518518518516</v>
      </c>
      <c r="I175" s="22">
        <v>135.999</v>
      </c>
      <c r="J175" s="22">
        <v>38.493000000000002</v>
      </c>
      <c r="K175" s="27">
        <v>99.98</v>
      </c>
      <c r="L175" s="27">
        <v>100</v>
      </c>
      <c r="M175" s="27">
        <v>0</v>
      </c>
      <c r="N175" s="21">
        <v>7.0903999999999998</v>
      </c>
      <c r="O175" s="24">
        <v>34.071100000000001</v>
      </c>
      <c r="P175" s="31">
        <v>6.4068518823529264E-2</v>
      </c>
      <c r="Q175" s="31">
        <v>-0.22070427529411774</v>
      </c>
      <c r="R175" s="26" t="s">
        <v>280</v>
      </c>
      <c r="S175" s="26">
        <v>1</v>
      </c>
      <c r="T175" s="71" t="s">
        <v>626</v>
      </c>
    </row>
    <row r="176" spans="1:20">
      <c r="A176" s="26" t="s">
        <v>141</v>
      </c>
      <c r="B176" s="26" t="s">
        <v>220</v>
      </c>
      <c r="C176" s="26" t="s">
        <v>508</v>
      </c>
      <c r="D176" s="25">
        <v>42609</v>
      </c>
      <c r="E176" s="1">
        <f t="shared" si="12"/>
        <v>2016</v>
      </c>
      <c r="F176" s="1">
        <f t="shared" si="13"/>
        <v>8</v>
      </c>
      <c r="G176" s="4">
        <f t="shared" si="14"/>
        <v>27</v>
      </c>
      <c r="H176" s="6">
        <v>0.57893518518518516</v>
      </c>
      <c r="I176" s="22">
        <v>135.999</v>
      </c>
      <c r="J176" s="22">
        <v>38.493000000000002</v>
      </c>
      <c r="K176" s="27">
        <v>125.372</v>
      </c>
      <c r="L176" s="27">
        <v>125</v>
      </c>
      <c r="M176" s="27">
        <v>0</v>
      </c>
      <c r="N176" s="21">
        <v>4.9832999999999998</v>
      </c>
      <c r="O176" s="24">
        <v>34.021000000000001</v>
      </c>
      <c r="P176" s="31">
        <v>9.1677095294117494E-2</v>
      </c>
      <c r="Q176" s="31">
        <v>-0.29017690117647099</v>
      </c>
      <c r="R176" s="26" t="s">
        <v>280</v>
      </c>
      <c r="S176" s="26">
        <v>1</v>
      </c>
      <c r="T176" s="71" t="s">
        <v>626</v>
      </c>
    </row>
    <row r="177" spans="1:20">
      <c r="A177" s="26" t="s">
        <v>141</v>
      </c>
      <c r="B177" s="26" t="s">
        <v>220</v>
      </c>
      <c r="C177" s="26" t="s">
        <v>508</v>
      </c>
      <c r="D177" s="25">
        <v>42609</v>
      </c>
      <c r="E177" s="1">
        <f t="shared" si="12"/>
        <v>2016</v>
      </c>
      <c r="F177" s="1">
        <f t="shared" si="13"/>
        <v>8</v>
      </c>
      <c r="G177" s="4">
        <f t="shared" si="14"/>
        <v>27</v>
      </c>
      <c r="H177" s="6">
        <v>0.57893518518518516</v>
      </c>
      <c r="I177" s="22">
        <v>135.999</v>
      </c>
      <c r="J177" s="22">
        <v>38.493000000000002</v>
      </c>
      <c r="K177" s="27">
        <v>150.887</v>
      </c>
      <c r="L177" s="27">
        <v>150</v>
      </c>
      <c r="M177" s="27">
        <v>0</v>
      </c>
      <c r="N177" s="21">
        <v>2.9411999999999998</v>
      </c>
      <c r="O177" s="24">
        <v>34.005499999999998</v>
      </c>
      <c r="P177" s="31">
        <v>2.1962451764705904E-2</v>
      </c>
      <c r="Q177" s="31">
        <v>-0.72619780705882508</v>
      </c>
      <c r="R177" s="26" t="s">
        <v>280</v>
      </c>
      <c r="S177" s="26">
        <v>1</v>
      </c>
      <c r="T177" s="71" t="s">
        <v>626</v>
      </c>
    </row>
    <row r="178" spans="1:20">
      <c r="A178" s="26" t="s">
        <v>141</v>
      </c>
      <c r="B178" s="26" t="s">
        <v>220</v>
      </c>
      <c r="C178" s="26" t="s">
        <v>508</v>
      </c>
      <c r="D178" s="25">
        <v>42609</v>
      </c>
      <c r="E178" s="1">
        <f t="shared" si="12"/>
        <v>2016</v>
      </c>
      <c r="F178" s="1">
        <f t="shared" si="13"/>
        <v>8</v>
      </c>
      <c r="G178" s="4">
        <f t="shared" si="14"/>
        <v>27</v>
      </c>
      <c r="H178" s="6">
        <v>0.57893518518518516</v>
      </c>
      <c r="I178" s="22">
        <v>135.999</v>
      </c>
      <c r="J178" s="22">
        <v>38.493000000000002</v>
      </c>
      <c r="K178" s="27">
        <v>198.857</v>
      </c>
      <c r="L178" s="27">
        <v>200</v>
      </c>
      <c r="M178" s="27">
        <v>0</v>
      </c>
      <c r="N178" s="21">
        <v>1.7749999999999999</v>
      </c>
      <c r="O178" s="24">
        <v>34.033799999999999</v>
      </c>
      <c r="P178" s="31">
        <v>3.5754788235293988E-2</v>
      </c>
      <c r="Q178" s="31">
        <v>-0.67662559294117752</v>
      </c>
      <c r="R178" s="26" t="s">
        <v>280</v>
      </c>
      <c r="S178" s="26">
        <v>1</v>
      </c>
      <c r="T178" s="71" t="s">
        <v>626</v>
      </c>
    </row>
    <row r="179" spans="1:20">
      <c r="A179" s="26"/>
      <c r="B179" s="26"/>
      <c r="C179" s="26"/>
      <c r="D179" s="25"/>
      <c r="H179" s="6"/>
      <c r="I179" s="22"/>
      <c r="J179" s="22"/>
      <c r="K179" s="27"/>
      <c r="L179" s="27"/>
      <c r="M179" s="27"/>
      <c r="N179" s="21"/>
      <c r="O179" s="24"/>
      <c r="P179" s="31"/>
      <c r="Q179" s="31"/>
      <c r="R179" s="26"/>
      <c r="S179" s="26"/>
      <c r="T179" s="71"/>
    </row>
    <row r="180" spans="1:20">
      <c r="A180" s="26" t="s">
        <v>141</v>
      </c>
      <c r="B180" s="26" t="s">
        <v>293</v>
      </c>
      <c r="C180" s="26" t="s">
        <v>508</v>
      </c>
      <c r="D180" s="25">
        <v>42609</v>
      </c>
      <c r="E180" s="1">
        <f t="shared" si="12"/>
        <v>2016</v>
      </c>
      <c r="F180" s="1">
        <f t="shared" si="13"/>
        <v>8</v>
      </c>
      <c r="G180" s="4">
        <f t="shared" si="14"/>
        <v>27</v>
      </c>
      <c r="H180" s="6">
        <v>0.86368055555555545</v>
      </c>
      <c r="I180" s="22">
        <v>135.79666666666665</v>
      </c>
      <c r="J180" s="22">
        <v>38.629666666666665</v>
      </c>
      <c r="K180" s="27">
        <v>0</v>
      </c>
      <c r="L180" s="27">
        <v>0</v>
      </c>
      <c r="M180" s="27">
        <v>0</v>
      </c>
      <c r="N180" s="21">
        <v>25.9</v>
      </c>
      <c r="O180" s="24">
        <v>33.560791388204535</v>
      </c>
      <c r="P180" s="31">
        <v>-4.2696595294117623E-2</v>
      </c>
      <c r="Q180" s="31">
        <v>-0.86886933882353024</v>
      </c>
      <c r="R180" s="26" t="s">
        <v>280</v>
      </c>
      <c r="S180" s="26"/>
      <c r="T180" s="71" t="s">
        <v>626</v>
      </c>
    </row>
    <row r="181" spans="1:20">
      <c r="A181" s="26" t="s">
        <v>141</v>
      </c>
      <c r="B181" s="26" t="s">
        <v>293</v>
      </c>
      <c r="C181" s="26" t="s">
        <v>508</v>
      </c>
      <c r="D181" s="25">
        <v>42609</v>
      </c>
      <c r="E181" s="1">
        <f t="shared" si="12"/>
        <v>2016</v>
      </c>
      <c r="F181" s="1">
        <f t="shared" si="13"/>
        <v>8</v>
      </c>
      <c r="G181" s="4">
        <f t="shared" si="14"/>
        <v>27</v>
      </c>
      <c r="H181" s="6">
        <v>0.86368055555555545</v>
      </c>
      <c r="I181" s="22">
        <v>135.79666666666665</v>
      </c>
      <c r="J181" s="22">
        <v>38.629666666666665</v>
      </c>
      <c r="K181" s="27">
        <v>20.677</v>
      </c>
      <c r="L181" s="27">
        <v>20</v>
      </c>
      <c r="M181" s="27">
        <v>0</v>
      </c>
      <c r="N181" s="21">
        <v>25.921099999999999</v>
      </c>
      <c r="O181" s="24">
        <v>33.5852</v>
      </c>
      <c r="P181" s="31">
        <v>-4.3126858823529179E-2</v>
      </c>
      <c r="Q181" s="31">
        <v>-0.95187424470588322</v>
      </c>
      <c r="R181" s="26" t="s">
        <v>280</v>
      </c>
      <c r="S181" s="26"/>
      <c r="T181" s="71" t="s">
        <v>626</v>
      </c>
    </row>
    <row r="182" spans="1:20">
      <c r="A182" s="26" t="s">
        <v>141</v>
      </c>
      <c r="B182" s="26" t="s">
        <v>293</v>
      </c>
      <c r="C182" s="26" t="s">
        <v>508</v>
      </c>
      <c r="D182" s="25">
        <v>42609</v>
      </c>
      <c r="E182" s="1">
        <f t="shared" si="12"/>
        <v>2016</v>
      </c>
      <c r="F182" s="1">
        <f t="shared" si="13"/>
        <v>8</v>
      </c>
      <c r="G182" s="4">
        <f t="shared" si="14"/>
        <v>27</v>
      </c>
      <c r="H182" s="6">
        <v>0.86368055555555545</v>
      </c>
      <c r="I182" s="22">
        <v>135.79666666666665</v>
      </c>
      <c r="J182" s="22">
        <v>38.629666666666665</v>
      </c>
      <c r="K182" s="27">
        <v>49.579000000000001</v>
      </c>
      <c r="L182" s="27">
        <v>50</v>
      </c>
      <c r="M182" s="27">
        <v>0</v>
      </c>
      <c r="N182" s="21">
        <v>11.8393</v>
      </c>
      <c r="O182" s="24">
        <v>34.229799999999997</v>
      </c>
      <c r="P182" s="31">
        <v>0.12155650705882382</v>
      </c>
      <c r="Q182" s="31">
        <v>0.47373357176470599</v>
      </c>
      <c r="R182" s="26" t="s">
        <v>280</v>
      </c>
      <c r="S182" s="26"/>
      <c r="T182" s="71" t="s">
        <v>626</v>
      </c>
    </row>
    <row r="183" spans="1:20">
      <c r="A183" s="26"/>
      <c r="B183" s="26"/>
      <c r="C183" s="26"/>
      <c r="D183" s="25"/>
      <c r="H183" s="6"/>
      <c r="I183" s="22"/>
      <c r="J183" s="22"/>
      <c r="K183" s="27"/>
      <c r="L183" s="27"/>
      <c r="M183" s="27"/>
      <c r="N183" s="21"/>
      <c r="O183" s="24"/>
      <c r="P183" s="31"/>
      <c r="Q183" s="31"/>
      <c r="R183" s="26"/>
      <c r="S183" s="26"/>
      <c r="T183" s="71"/>
    </row>
    <row r="184" spans="1:20">
      <c r="A184" s="26" t="s">
        <v>141</v>
      </c>
      <c r="B184" s="26" t="s">
        <v>221</v>
      </c>
      <c r="C184" s="26" t="s">
        <v>508</v>
      </c>
      <c r="D184" s="25">
        <v>42610</v>
      </c>
      <c r="E184" s="1">
        <f t="shared" si="12"/>
        <v>2016</v>
      </c>
      <c r="F184" s="1">
        <f t="shared" si="13"/>
        <v>8</v>
      </c>
      <c r="G184" s="4">
        <f t="shared" si="14"/>
        <v>28</v>
      </c>
      <c r="H184" s="6">
        <v>0.5722800925925926</v>
      </c>
      <c r="I184" s="22">
        <v>135.601</v>
      </c>
      <c r="J184" s="22">
        <v>37.741500000000002</v>
      </c>
      <c r="K184" s="27">
        <v>0</v>
      </c>
      <c r="L184" s="27">
        <v>0</v>
      </c>
      <c r="M184" s="27">
        <v>0</v>
      </c>
      <c r="N184" s="21">
        <v>26.1</v>
      </c>
      <c r="O184" s="24">
        <v>33.762596338205817</v>
      </c>
      <c r="P184" s="31">
        <v>-6.4241643137254778E-2</v>
      </c>
      <c r="Q184" s="31">
        <v>-0.53260429411765031</v>
      </c>
      <c r="R184" s="26" t="s">
        <v>280</v>
      </c>
      <c r="S184" s="26">
        <v>1</v>
      </c>
      <c r="T184" s="71" t="s">
        <v>626</v>
      </c>
    </row>
    <row r="185" spans="1:20">
      <c r="A185" s="26" t="s">
        <v>141</v>
      </c>
      <c r="B185" s="26" t="s">
        <v>221</v>
      </c>
      <c r="C185" s="26" t="s">
        <v>508</v>
      </c>
      <c r="D185" s="25">
        <v>42610</v>
      </c>
      <c r="E185" s="1">
        <f t="shared" si="12"/>
        <v>2016</v>
      </c>
      <c r="F185" s="1">
        <f t="shared" si="13"/>
        <v>8</v>
      </c>
      <c r="G185" s="4">
        <f t="shared" si="14"/>
        <v>28</v>
      </c>
      <c r="H185" s="6">
        <v>0.5722800925925926</v>
      </c>
      <c r="I185" s="22">
        <v>135.601</v>
      </c>
      <c r="J185" s="22">
        <v>37.741500000000002</v>
      </c>
      <c r="K185" s="27">
        <v>9.9280000000000008</v>
      </c>
      <c r="L185" s="27">
        <v>10</v>
      </c>
      <c r="M185" s="27">
        <v>0</v>
      </c>
      <c r="N185" s="21">
        <v>26.427700000000002</v>
      </c>
      <c r="O185" s="24">
        <v>33.706800000000001</v>
      </c>
      <c r="P185" s="31">
        <v>-1.2793279999999907E-2</v>
      </c>
      <c r="Q185" s="31">
        <v>-0.40183840000000348</v>
      </c>
      <c r="R185" s="26" t="s">
        <v>280</v>
      </c>
      <c r="S185" s="26">
        <v>1</v>
      </c>
      <c r="T185" s="71" t="s">
        <v>626</v>
      </c>
    </row>
    <row r="186" spans="1:20">
      <c r="A186" s="26" t="s">
        <v>141</v>
      </c>
      <c r="B186" s="26" t="s">
        <v>221</v>
      </c>
      <c r="C186" s="26" t="s">
        <v>508</v>
      </c>
      <c r="D186" s="25">
        <v>42610</v>
      </c>
      <c r="E186" s="1">
        <f t="shared" si="12"/>
        <v>2016</v>
      </c>
      <c r="F186" s="1">
        <f t="shared" si="13"/>
        <v>8</v>
      </c>
      <c r="G186" s="4">
        <f t="shared" si="14"/>
        <v>28</v>
      </c>
      <c r="H186" s="6">
        <v>0.5722800925925926</v>
      </c>
      <c r="I186" s="22">
        <v>135.601</v>
      </c>
      <c r="J186" s="22">
        <v>37.741500000000002</v>
      </c>
      <c r="K186" s="27">
        <v>19.920999999999999</v>
      </c>
      <c r="L186" s="27">
        <v>20</v>
      </c>
      <c r="M186" s="27">
        <v>0</v>
      </c>
      <c r="N186" s="21">
        <v>23.520499999999998</v>
      </c>
      <c r="O186" s="24">
        <v>34.034700000000001</v>
      </c>
      <c r="P186" s="31">
        <v>0.14708547647058823</v>
      </c>
      <c r="Q186" s="31">
        <v>0.55420045411764463</v>
      </c>
      <c r="R186" s="26" t="s">
        <v>280</v>
      </c>
      <c r="S186" s="26">
        <v>1</v>
      </c>
      <c r="T186" s="71" t="s">
        <v>626</v>
      </c>
    </row>
    <row r="187" spans="1:20">
      <c r="A187" s="26" t="s">
        <v>141</v>
      </c>
      <c r="B187" s="26" t="s">
        <v>221</v>
      </c>
      <c r="C187" s="26" t="s">
        <v>508</v>
      </c>
      <c r="D187" s="25">
        <v>42610</v>
      </c>
      <c r="E187" s="1">
        <f t="shared" si="12"/>
        <v>2016</v>
      </c>
      <c r="F187" s="1">
        <f t="shared" si="13"/>
        <v>8</v>
      </c>
      <c r="G187" s="4">
        <f t="shared" si="14"/>
        <v>28</v>
      </c>
      <c r="H187" s="6">
        <v>0.5722800925925926</v>
      </c>
      <c r="I187" s="22">
        <v>135.601</v>
      </c>
      <c r="J187" s="22">
        <v>37.741500000000002</v>
      </c>
      <c r="K187" s="27">
        <v>30.585999999999999</v>
      </c>
      <c r="L187" s="27">
        <v>30</v>
      </c>
      <c r="M187" s="27">
        <v>0</v>
      </c>
      <c r="N187" s="21">
        <v>17.941400000000002</v>
      </c>
      <c r="O187" s="24">
        <v>34.309800000000003</v>
      </c>
      <c r="P187" s="31">
        <v>0.1834307929411767</v>
      </c>
      <c r="Q187" s="31">
        <v>1.0195470682352923</v>
      </c>
      <c r="R187" s="26" t="s">
        <v>280</v>
      </c>
      <c r="S187" s="26">
        <v>1</v>
      </c>
      <c r="T187" s="71" t="s">
        <v>626</v>
      </c>
    </row>
    <row r="188" spans="1:20">
      <c r="A188" s="26" t="s">
        <v>141</v>
      </c>
      <c r="B188" s="26" t="s">
        <v>221</v>
      </c>
      <c r="C188" s="26" t="s">
        <v>508</v>
      </c>
      <c r="D188" s="25">
        <v>42610</v>
      </c>
      <c r="E188" s="1">
        <f t="shared" si="12"/>
        <v>2016</v>
      </c>
      <c r="F188" s="1">
        <f t="shared" si="13"/>
        <v>8</v>
      </c>
      <c r="G188" s="4">
        <f t="shared" si="14"/>
        <v>28</v>
      </c>
      <c r="H188" s="6">
        <v>0.5722800925925926</v>
      </c>
      <c r="I188" s="22">
        <v>135.601</v>
      </c>
      <c r="J188" s="22">
        <v>37.741500000000002</v>
      </c>
      <c r="K188" s="27">
        <v>48.811999999999998</v>
      </c>
      <c r="L188" s="27">
        <v>50</v>
      </c>
      <c r="M188" s="27">
        <v>0</v>
      </c>
      <c r="N188" s="21">
        <v>14.434900000000001</v>
      </c>
      <c r="O188" s="24">
        <v>34.3628</v>
      </c>
      <c r="P188" s="31">
        <v>0.19864538941176457</v>
      </c>
      <c r="Q188" s="31">
        <v>0.9704709223529413</v>
      </c>
      <c r="R188" s="26" t="s">
        <v>280</v>
      </c>
      <c r="S188" s="26">
        <v>1</v>
      </c>
      <c r="T188" s="71" t="s">
        <v>626</v>
      </c>
    </row>
    <row r="189" spans="1:20">
      <c r="A189" s="26" t="s">
        <v>141</v>
      </c>
      <c r="B189" s="26" t="s">
        <v>221</v>
      </c>
      <c r="C189" s="26" t="s">
        <v>508</v>
      </c>
      <c r="D189" s="25">
        <v>42610</v>
      </c>
      <c r="E189" s="1">
        <f t="shared" si="12"/>
        <v>2016</v>
      </c>
      <c r="F189" s="1">
        <f t="shared" si="13"/>
        <v>8</v>
      </c>
      <c r="G189" s="4">
        <f t="shared" si="14"/>
        <v>28</v>
      </c>
      <c r="H189" s="6">
        <v>0.5722800925925926</v>
      </c>
      <c r="I189" s="22">
        <v>135.601</v>
      </c>
      <c r="J189" s="22">
        <v>37.741500000000002</v>
      </c>
      <c r="K189" s="27">
        <v>74.894000000000005</v>
      </c>
      <c r="L189" s="27">
        <v>75</v>
      </c>
      <c r="M189" s="27">
        <v>0</v>
      </c>
      <c r="N189" s="21">
        <v>9.8571000000000009</v>
      </c>
      <c r="O189" s="24">
        <v>34.1554</v>
      </c>
      <c r="P189" s="31">
        <v>9.8656925882353086E-2</v>
      </c>
      <c r="Q189" s="31">
        <v>0.26733457647058678</v>
      </c>
      <c r="R189" s="26" t="s">
        <v>280</v>
      </c>
      <c r="S189" s="26">
        <v>1</v>
      </c>
      <c r="T189" s="71" t="s">
        <v>626</v>
      </c>
    </row>
    <row r="190" spans="1:20">
      <c r="A190" s="26" t="s">
        <v>141</v>
      </c>
      <c r="B190" s="26" t="s">
        <v>221</v>
      </c>
      <c r="C190" s="26" t="s">
        <v>508</v>
      </c>
      <c r="D190" s="25">
        <v>42610</v>
      </c>
      <c r="E190" s="1">
        <f t="shared" si="12"/>
        <v>2016</v>
      </c>
      <c r="F190" s="1">
        <f t="shared" si="13"/>
        <v>8</v>
      </c>
      <c r="G190" s="4">
        <f t="shared" si="14"/>
        <v>28</v>
      </c>
      <c r="H190" s="6">
        <v>0.5722800925925926</v>
      </c>
      <c r="I190" s="22">
        <v>135.601</v>
      </c>
      <c r="J190" s="22">
        <v>37.741500000000002</v>
      </c>
      <c r="K190" s="27">
        <v>99.043999999999997</v>
      </c>
      <c r="L190" s="27">
        <v>100</v>
      </c>
      <c r="M190" s="27">
        <v>0</v>
      </c>
      <c r="N190" s="21">
        <v>7.0198</v>
      </c>
      <c r="O190" s="24">
        <v>34.078099999999999</v>
      </c>
      <c r="P190" s="31">
        <v>7.039100235294149E-2</v>
      </c>
      <c r="Q190" s="31">
        <v>-0.17692336941176556</v>
      </c>
      <c r="R190" s="26" t="s">
        <v>280</v>
      </c>
      <c r="S190" s="26">
        <v>1</v>
      </c>
      <c r="T190" s="71" t="s">
        <v>626</v>
      </c>
    </row>
    <row r="191" spans="1:20">
      <c r="A191" s="26" t="s">
        <v>141</v>
      </c>
      <c r="B191" s="26" t="s">
        <v>221</v>
      </c>
      <c r="C191" s="26" t="s">
        <v>508</v>
      </c>
      <c r="D191" s="25">
        <v>42610</v>
      </c>
      <c r="E191" s="1">
        <f t="shared" si="12"/>
        <v>2016</v>
      </c>
      <c r="F191" s="1">
        <f t="shared" si="13"/>
        <v>8</v>
      </c>
      <c r="G191" s="4">
        <f t="shared" si="14"/>
        <v>28</v>
      </c>
      <c r="H191" s="6">
        <v>0.5722800925925926</v>
      </c>
      <c r="I191" s="22">
        <v>135.601</v>
      </c>
      <c r="J191" s="22">
        <v>37.741500000000002</v>
      </c>
      <c r="K191" s="27">
        <v>121.652</v>
      </c>
      <c r="L191" s="27">
        <v>125</v>
      </c>
      <c r="M191" s="27">
        <v>0</v>
      </c>
      <c r="N191" s="21">
        <v>5.4626999999999999</v>
      </c>
      <c r="O191" s="24">
        <v>34.033200000000001</v>
      </c>
      <c r="P191" s="31">
        <v>-1.2427747058823435E-2</v>
      </c>
      <c r="Q191" s="31">
        <v>-0.4400864964705864</v>
      </c>
      <c r="R191" s="26" t="s">
        <v>280</v>
      </c>
      <c r="S191" s="26">
        <v>1</v>
      </c>
      <c r="T191" s="71" t="s">
        <v>626</v>
      </c>
    </row>
    <row r="192" spans="1:20">
      <c r="A192" s="26" t="s">
        <v>141</v>
      </c>
      <c r="B192" s="26" t="s">
        <v>221</v>
      </c>
      <c r="C192" s="26" t="s">
        <v>508</v>
      </c>
      <c r="D192" s="25">
        <v>42610</v>
      </c>
      <c r="E192" s="1">
        <f t="shared" si="12"/>
        <v>2016</v>
      </c>
      <c r="F192" s="1">
        <f t="shared" si="13"/>
        <v>8</v>
      </c>
      <c r="G192" s="4">
        <f t="shared" si="14"/>
        <v>28</v>
      </c>
      <c r="H192" s="6">
        <v>0.5722800925925926</v>
      </c>
      <c r="I192" s="22">
        <v>135.601</v>
      </c>
      <c r="J192" s="22">
        <v>37.741500000000002</v>
      </c>
      <c r="K192" s="27">
        <v>149.39599999999999</v>
      </c>
      <c r="L192" s="27">
        <v>150</v>
      </c>
      <c r="M192" s="27">
        <v>0</v>
      </c>
      <c r="N192" s="21">
        <v>3.5863</v>
      </c>
      <c r="O192" s="24">
        <v>34.006100000000004</v>
      </c>
      <c r="P192" s="31">
        <v>-1.1627136470588217E-2</v>
      </c>
      <c r="Q192" s="31">
        <v>-0.57009681176470473</v>
      </c>
      <c r="R192" s="26" t="s">
        <v>280</v>
      </c>
      <c r="S192" s="26">
        <v>1</v>
      </c>
      <c r="T192" s="71" t="s">
        <v>626</v>
      </c>
    </row>
    <row r="193" spans="1:20">
      <c r="A193" s="26" t="s">
        <v>141</v>
      </c>
      <c r="B193" s="26" t="s">
        <v>221</v>
      </c>
      <c r="C193" s="26" t="s">
        <v>508</v>
      </c>
      <c r="D193" s="25">
        <v>42610</v>
      </c>
      <c r="E193" s="1">
        <f t="shared" si="12"/>
        <v>2016</v>
      </c>
      <c r="F193" s="1">
        <f t="shared" si="13"/>
        <v>8</v>
      </c>
      <c r="G193" s="4">
        <f t="shared" si="14"/>
        <v>28</v>
      </c>
      <c r="H193" s="6">
        <v>0.5722800925925926</v>
      </c>
      <c r="I193" s="22">
        <v>135.601</v>
      </c>
      <c r="J193" s="22">
        <v>37.741500000000002</v>
      </c>
      <c r="K193" s="27">
        <v>199.66800000000001</v>
      </c>
      <c r="L193" s="27">
        <v>200</v>
      </c>
      <c r="M193" s="27">
        <v>0</v>
      </c>
      <c r="N193" s="21">
        <v>1.7327999999999999</v>
      </c>
      <c r="O193" s="24">
        <v>34.031199999999998</v>
      </c>
      <c r="P193" s="31">
        <v>-1.4889325882353033E-2</v>
      </c>
      <c r="Q193" s="31">
        <v>-0.64336572705882311</v>
      </c>
      <c r="R193" s="26" t="s">
        <v>280</v>
      </c>
      <c r="S193" s="26">
        <v>1</v>
      </c>
      <c r="T193" s="71" t="s">
        <v>626</v>
      </c>
    </row>
    <row r="194" spans="1:20">
      <c r="A194" s="26"/>
      <c r="B194" s="26"/>
      <c r="C194" s="26"/>
      <c r="D194" s="25"/>
      <c r="H194" s="6"/>
      <c r="I194" s="22"/>
      <c r="J194" s="22"/>
      <c r="K194" s="27"/>
      <c r="L194" s="27"/>
      <c r="M194" s="27"/>
      <c r="N194" s="21"/>
      <c r="O194" s="24"/>
      <c r="P194" s="31"/>
      <c r="Q194" s="31"/>
      <c r="R194" s="26"/>
      <c r="S194" s="26"/>
      <c r="T194" s="71"/>
    </row>
    <row r="195" spans="1:20">
      <c r="A195" s="26" t="s">
        <v>141</v>
      </c>
      <c r="B195" s="26" t="s">
        <v>222</v>
      </c>
      <c r="C195" s="26" t="s">
        <v>508</v>
      </c>
      <c r="D195" s="25">
        <v>42610</v>
      </c>
      <c r="E195" s="1">
        <f t="shared" si="12"/>
        <v>2016</v>
      </c>
      <c r="F195" s="1">
        <f t="shared" si="13"/>
        <v>8</v>
      </c>
      <c r="G195" s="4">
        <f t="shared" si="14"/>
        <v>28</v>
      </c>
      <c r="H195" s="6">
        <v>0.75143518518518515</v>
      </c>
      <c r="I195" s="22">
        <v>135.59966666666668</v>
      </c>
      <c r="J195" s="22">
        <v>38.015500000000003</v>
      </c>
      <c r="K195" s="27">
        <v>0</v>
      </c>
      <c r="L195" s="27">
        <v>0</v>
      </c>
      <c r="M195" s="27">
        <v>0</v>
      </c>
      <c r="N195" s="21">
        <v>25.3</v>
      </c>
      <c r="O195" s="24">
        <v>33.18348334942506</v>
      </c>
      <c r="P195" s="31">
        <v>-0.17010023529411789</v>
      </c>
      <c r="Q195" s="31">
        <v>-1.4673820623529421</v>
      </c>
      <c r="R195" s="26" t="s">
        <v>280</v>
      </c>
      <c r="S195" s="26">
        <v>1</v>
      </c>
      <c r="T195" s="71" t="s">
        <v>626</v>
      </c>
    </row>
    <row r="196" spans="1:20">
      <c r="A196" s="26" t="s">
        <v>141</v>
      </c>
      <c r="B196" s="26" t="s">
        <v>222</v>
      </c>
      <c r="C196" s="26" t="s">
        <v>508</v>
      </c>
      <c r="D196" s="25">
        <v>42610</v>
      </c>
      <c r="E196" s="1">
        <f t="shared" si="12"/>
        <v>2016</v>
      </c>
      <c r="F196" s="1">
        <f t="shared" si="13"/>
        <v>8</v>
      </c>
      <c r="G196" s="4">
        <f t="shared" si="14"/>
        <v>28</v>
      </c>
      <c r="H196" s="6">
        <v>0.75143518518518515</v>
      </c>
      <c r="I196" s="22">
        <v>135.59966666666668</v>
      </c>
      <c r="J196" s="22">
        <v>38.015500000000003</v>
      </c>
      <c r="K196" s="27">
        <v>10</v>
      </c>
      <c r="L196" s="27">
        <v>10</v>
      </c>
      <c r="M196" s="27">
        <v>0</v>
      </c>
      <c r="N196" s="21">
        <v>25.6691</v>
      </c>
      <c r="O196" s="24">
        <v>33.429499999999997</v>
      </c>
      <c r="P196" s="31">
        <v>-0.12399940470588233</v>
      </c>
      <c r="Q196" s="31">
        <v>-1.2483349376470585</v>
      </c>
      <c r="R196" s="26" t="s">
        <v>280</v>
      </c>
      <c r="S196" s="26">
        <v>1</v>
      </c>
      <c r="T196" s="71" t="s">
        <v>626</v>
      </c>
    </row>
    <row r="197" spans="1:20">
      <c r="A197" s="26" t="s">
        <v>141</v>
      </c>
      <c r="B197" s="26" t="s">
        <v>222</v>
      </c>
      <c r="C197" s="26" t="s">
        <v>508</v>
      </c>
      <c r="D197" s="25">
        <v>42610</v>
      </c>
      <c r="E197" s="1">
        <f t="shared" si="12"/>
        <v>2016</v>
      </c>
      <c r="F197" s="1">
        <f t="shared" si="13"/>
        <v>8</v>
      </c>
      <c r="G197" s="4">
        <f t="shared" si="14"/>
        <v>28</v>
      </c>
      <c r="H197" s="6">
        <v>0.75143518518518515</v>
      </c>
      <c r="I197" s="22">
        <v>135.59966666666668</v>
      </c>
      <c r="J197" s="22">
        <v>38.015500000000003</v>
      </c>
      <c r="K197" s="27">
        <v>19.917999999999999</v>
      </c>
      <c r="L197" s="27">
        <v>20</v>
      </c>
      <c r="M197" s="27">
        <v>0</v>
      </c>
      <c r="N197" s="21">
        <v>19.5092</v>
      </c>
      <c r="O197" s="24">
        <v>33.441499999999998</v>
      </c>
      <c r="P197" s="31">
        <v>-1.5128314117646813E-2</v>
      </c>
      <c r="Q197" s="31">
        <v>-0.39671903294117783</v>
      </c>
      <c r="R197" s="26" t="s">
        <v>280</v>
      </c>
      <c r="S197" s="26">
        <v>1</v>
      </c>
      <c r="T197" s="71" t="s">
        <v>626</v>
      </c>
    </row>
    <row r="198" spans="1:20">
      <c r="A198" s="26" t="s">
        <v>141</v>
      </c>
      <c r="B198" s="26" t="s">
        <v>222</v>
      </c>
      <c r="C198" s="26" t="s">
        <v>508</v>
      </c>
      <c r="D198" s="25">
        <v>42610</v>
      </c>
      <c r="E198" s="1">
        <f t="shared" si="12"/>
        <v>2016</v>
      </c>
      <c r="F198" s="1">
        <f t="shared" si="13"/>
        <v>8</v>
      </c>
      <c r="G198" s="4">
        <f t="shared" si="14"/>
        <v>28</v>
      </c>
      <c r="H198" s="6">
        <v>0.75143518518518515</v>
      </c>
      <c r="I198" s="22">
        <v>135.59966666666668</v>
      </c>
      <c r="J198" s="22">
        <v>38.015500000000003</v>
      </c>
      <c r="K198" s="27">
        <v>30</v>
      </c>
      <c r="L198" s="27">
        <v>30</v>
      </c>
      <c r="M198" s="27">
        <v>0</v>
      </c>
      <c r="N198" s="21">
        <v>16.418500000000002</v>
      </c>
      <c r="O198" s="24">
        <v>33.941600000000001</v>
      </c>
      <c r="P198" s="31">
        <v>0.12157295647058808</v>
      </c>
      <c r="Q198" s="31">
        <v>0.53687841176470741</v>
      </c>
      <c r="R198" s="26" t="s">
        <v>280</v>
      </c>
      <c r="S198" s="26">
        <v>1</v>
      </c>
      <c r="T198" s="71" t="s">
        <v>626</v>
      </c>
    </row>
    <row r="199" spans="1:20">
      <c r="A199" s="26" t="s">
        <v>141</v>
      </c>
      <c r="B199" s="26" t="s">
        <v>222</v>
      </c>
      <c r="C199" s="26" t="s">
        <v>508</v>
      </c>
      <c r="D199" s="25">
        <v>42610</v>
      </c>
      <c r="E199" s="1">
        <f t="shared" si="12"/>
        <v>2016</v>
      </c>
      <c r="F199" s="1">
        <f t="shared" si="13"/>
        <v>8</v>
      </c>
      <c r="G199" s="4">
        <f t="shared" si="14"/>
        <v>28</v>
      </c>
      <c r="H199" s="6">
        <v>0.75143518518518515</v>
      </c>
      <c r="I199" s="22">
        <v>135.59966666666668</v>
      </c>
      <c r="J199" s="22">
        <v>38.015500000000003</v>
      </c>
      <c r="K199" s="27">
        <v>50.393000000000001</v>
      </c>
      <c r="L199" s="27">
        <v>50</v>
      </c>
      <c r="M199" s="27">
        <v>0</v>
      </c>
      <c r="N199" s="21">
        <v>13.646599999999999</v>
      </c>
      <c r="O199" s="24">
        <v>34.256700000000002</v>
      </c>
      <c r="P199" s="31">
        <v>0.1219314388235293</v>
      </c>
      <c r="Q199" s="31">
        <v>0.45668083058823505</v>
      </c>
      <c r="R199" s="26" t="s">
        <v>280</v>
      </c>
      <c r="S199" s="26">
        <v>1</v>
      </c>
      <c r="T199" s="71" t="s">
        <v>626</v>
      </c>
    </row>
    <row r="200" spans="1:20">
      <c r="A200" s="26" t="s">
        <v>141</v>
      </c>
      <c r="B200" s="26" t="s">
        <v>222</v>
      </c>
      <c r="C200" s="26" t="s">
        <v>508</v>
      </c>
      <c r="D200" s="25">
        <v>42610</v>
      </c>
      <c r="E200" s="1">
        <f t="shared" si="12"/>
        <v>2016</v>
      </c>
      <c r="F200" s="1">
        <f t="shared" si="13"/>
        <v>8</v>
      </c>
      <c r="G200" s="4">
        <f t="shared" si="14"/>
        <v>28</v>
      </c>
      <c r="H200" s="6">
        <v>0.75143518518518515</v>
      </c>
      <c r="I200" s="22">
        <v>135.59966666666668</v>
      </c>
      <c r="J200" s="22">
        <v>38.015500000000003</v>
      </c>
      <c r="K200" s="27">
        <v>76</v>
      </c>
      <c r="L200" s="27">
        <v>75</v>
      </c>
      <c r="M200" s="27">
        <v>0</v>
      </c>
      <c r="N200" s="21">
        <v>9.5655000000000001</v>
      </c>
      <c r="O200" s="24">
        <v>34.133400000000002</v>
      </c>
      <c r="P200" s="31">
        <v>6.9983362745097866E-2</v>
      </c>
      <c r="Q200" s="31">
        <v>2.1180035294117161E-2</v>
      </c>
      <c r="R200" s="26" t="s">
        <v>280</v>
      </c>
      <c r="S200" s="26">
        <v>1</v>
      </c>
      <c r="T200" s="71" t="s">
        <v>626</v>
      </c>
    </row>
    <row r="201" spans="1:20">
      <c r="A201" s="26" t="s">
        <v>141</v>
      </c>
      <c r="B201" s="26" t="s">
        <v>222</v>
      </c>
      <c r="C201" s="26" t="s">
        <v>508</v>
      </c>
      <c r="D201" s="25">
        <v>42610</v>
      </c>
      <c r="E201" s="1">
        <f t="shared" si="12"/>
        <v>2016</v>
      </c>
      <c r="F201" s="1">
        <f t="shared" si="13"/>
        <v>8</v>
      </c>
      <c r="G201" s="4">
        <f t="shared" si="14"/>
        <v>28</v>
      </c>
      <c r="H201" s="6">
        <v>0.75143518518518515</v>
      </c>
      <c r="I201" s="22">
        <v>135.59966666666668</v>
      </c>
      <c r="J201" s="22">
        <v>38.015500000000003</v>
      </c>
      <c r="K201" s="27">
        <v>100</v>
      </c>
      <c r="L201" s="27">
        <v>100</v>
      </c>
      <c r="M201" s="27">
        <v>0</v>
      </c>
      <c r="N201" s="21">
        <v>5.6501000000000001</v>
      </c>
      <c r="O201" s="24">
        <v>34.013199999999998</v>
      </c>
      <c r="P201" s="31">
        <v>0.14790946000000016</v>
      </c>
      <c r="Q201" s="31">
        <v>-0.19309452000000071</v>
      </c>
      <c r="R201" s="26" t="s">
        <v>280</v>
      </c>
      <c r="S201" s="26">
        <v>1</v>
      </c>
      <c r="T201" s="71" t="s">
        <v>626</v>
      </c>
    </row>
    <row r="202" spans="1:20">
      <c r="A202" s="26" t="s">
        <v>141</v>
      </c>
      <c r="B202" s="26" t="s">
        <v>222</v>
      </c>
      <c r="C202" s="26" t="s">
        <v>508</v>
      </c>
      <c r="D202" s="25">
        <v>42610</v>
      </c>
      <c r="E202" s="1">
        <f t="shared" si="12"/>
        <v>2016</v>
      </c>
      <c r="F202" s="1">
        <f t="shared" si="13"/>
        <v>8</v>
      </c>
      <c r="G202" s="4">
        <f t="shared" si="14"/>
        <v>28</v>
      </c>
      <c r="H202" s="6">
        <v>0.75143518518518515</v>
      </c>
      <c r="I202" s="22">
        <v>135.59966666666668</v>
      </c>
      <c r="J202" s="22">
        <v>38.015500000000003</v>
      </c>
      <c r="K202" s="27">
        <v>150</v>
      </c>
      <c r="L202" s="27">
        <v>150</v>
      </c>
      <c r="M202" s="27">
        <v>0</v>
      </c>
      <c r="N202" s="21">
        <v>2.6046999999999998</v>
      </c>
      <c r="O202" s="24">
        <v>33.9955</v>
      </c>
      <c r="P202" s="31">
        <v>-4.3866649411764547E-2</v>
      </c>
      <c r="Q202" s="31">
        <v>-0.76920963529411601</v>
      </c>
      <c r="R202" s="26" t="s">
        <v>280</v>
      </c>
      <c r="S202" s="26">
        <v>1</v>
      </c>
      <c r="T202" s="71" t="s">
        <v>626</v>
      </c>
    </row>
    <row r="203" spans="1:20">
      <c r="A203" s="26" t="s">
        <v>141</v>
      </c>
      <c r="B203" s="26" t="s">
        <v>222</v>
      </c>
      <c r="C203" s="26" t="s">
        <v>508</v>
      </c>
      <c r="D203" s="25">
        <v>42610</v>
      </c>
      <c r="E203" s="1">
        <f t="shared" si="12"/>
        <v>2016</v>
      </c>
      <c r="F203" s="1">
        <f t="shared" si="13"/>
        <v>8</v>
      </c>
      <c r="G203" s="4">
        <f t="shared" si="14"/>
        <v>28</v>
      </c>
      <c r="H203" s="6">
        <v>0.75143518518518515</v>
      </c>
      <c r="I203" s="22">
        <v>135.59966666666668</v>
      </c>
      <c r="J203" s="22">
        <v>38.015500000000003</v>
      </c>
      <c r="K203" s="27">
        <v>198</v>
      </c>
      <c r="L203" s="27">
        <v>200</v>
      </c>
      <c r="M203" s="27">
        <v>0</v>
      </c>
      <c r="N203" s="21">
        <v>1.5035000000000001</v>
      </c>
      <c r="O203" s="24">
        <v>34.016100000000002</v>
      </c>
      <c r="P203" s="31">
        <v>-3.1893338823529183E-2</v>
      </c>
      <c r="Q203" s="31">
        <v>-0.86419681058823361</v>
      </c>
      <c r="R203" s="26" t="s">
        <v>280</v>
      </c>
      <c r="S203" s="26">
        <v>1</v>
      </c>
      <c r="T203" s="71" t="s">
        <v>626</v>
      </c>
    </row>
    <row r="204" spans="1:20">
      <c r="A204" s="26"/>
      <c r="B204" s="26"/>
      <c r="C204" s="26"/>
      <c r="D204" s="25"/>
      <c r="H204" s="6"/>
      <c r="I204" s="22"/>
      <c r="J204" s="22"/>
      <c r="K204" s="27"/>
      <c r="L204" s="27"/>
      <c r="M204" s="27"/>
      <c r="N204" s="21"/>
      <c r="O204" s="24"/>
      <c r="P204" s="31"/>
      <c r="Q204" s="31"/>
      <c r="R204" s="26"/>
      <c r="S204" s="26"/>
      <c r="T204" s="71"/>
    </row>
    <row r="205" spans="1:20">
      <c r="A205" s="26" t="s">
        <v>141</v>
      </c>
      <c r="B205" s="26" t="s">
        <v>223</v>
      </c>
      <c r="C205" s="26" t="s">
        <v>508</v>
      </c>
      <c r="D205" s="25">
        <v>42610</v>
      </c>
      <c r="E205" s="1">
        <f t="shared" si="12"/>
        <v>2016</v>
      </c>
      <c r="F205" s="1">
        <f t="shared" si="13"/>
        <v>8</v>
      </c>
      <c r="G205" s="4">
        <f t="shared" si="14"/>
        <v>28</v>
      </c>
      <c r="H205" s="6">
        <v>0.98950231481481488</v>
      </c>
      <c r="I205" s="22">
        <v>135.71016666666668</v>
      </c>
      <c r="J205" s="22">
        <v>37.832500000000003</v>
      </c>
      <c r="K205" s="27">
        <v>0</v>
      </c>
      <c r="L205" s="27">
        <v>0</v>
      </c>
      <c r="M205" s="27">
        <v>0</v>
      </c>
      <c r="N205" s="21">
        <v>26.2</v>
      </c>
      <c r="O205" s="24">
        <v>33.579983193700983</v>
      </c>
      <c r="P205" s="31">
        <v>-3.94214682352938E-2</v>
      </c>
      <c r="Q205" s="31">
        <v>-0.65786758588235195</v>
      </c>
      <c r="R205" s="26" t="s">
        <v>280</v>
      </c>
      <c r="S205" s="26">
        <v>1</v>
      </c>
      <c r="T205" s="71" t="s">
        <v>626</v>
      </c>
    </row>
    <row r="206" spans="1:20">
      <c r="A206" s="26" t="s">
        <v>141</v>
      </c>
      <c r="B206" s="26" t="s">
        <v>223</v>
      </c>
      <c r="C206" s="26" t="s">
        <v>508</v>
      </c>
      <c r="D206" s="25">
        <v>42610</v>
      </c>
      <c r="E206" s="1">
        <f t="shared" si="12"/>
        <v>2016</v>
      </c>
      <c r="F206" s="1">
        <f t="shared" si="13"/>
        <v>8</v>
      </c>
      <c r="G206" s="4">
        <f t="shared" si="14"/>
        <v>28</v>
      </c>
      <c r="H206" s="6">
        <v>0.98950231481481488</v>
      </c>
      <c r="I206" s="22">
        <v>135.71016666666668</v>
      </c>
      <c r="J206" s="22">
        <v>37.832500000000003</v>
      </c>
      <c r="K206" s="27">
        <v>10.45</v>
      </c>
      <c r="L206" s="27">
        <v>10</v>
      </c>
      <c r="M206" s="27">
        <v>0</v>
      </c>
      <c r="N206" s="21">
        <v>26.4742</v>
      </c>
      <c r="O206" s="24">
        <v>33.5991</v>
      </c>
      <c r="P206" s="31">
        <v>-6.4825917647059139E-2</v>
      </c>
      <c r="Q206" s="31">
        <v>-0.65639438117647053</v>
      </c>
      <c r="R206" s="26" t="s">
        <v>280</v>
      </c>
      <c r="S206" s="26">
        <v>1</v>
      </c>
      <c r="T206" s="71" t="s">
        <v>626</v>
      </c>
    </row>
    <row r="207" spans="1:20">
      <c r="A207" s="26" t="s">
        <v>141</v>
      </c>
      <c r="B207" s="26" t="s">
        <v>223</v>
      </c>
      <c r="C207" s="26" t="s">
        <v>508</v>
      </c>
      <c r="D207" s="25">
        <v>42610</v>
      </c>
      <c r="E207" s="1">
        <f t="shared" si="12"/>
        <v>2016</v>
      </c>
      <c r="F207" s="1">
        <f t="shared" si="13"/>
        <v>8</v>
      </c>
      <c r="G207" s="4">
        <f t="shared" si="14"/>
        <v>28</v>
      </c>
      <c r="H207" s="6">
        <v>0.98950231481481488</v>
      </c>
      <c r="I207" s="22">
        <v>135.71016666666668</v>
      </c>
      <c r="J207" s="22">
        <v>37.832500000000003</v>
      </c>
      <c r="K207" s="27">
        <v>19.727</v>
      </c>
      <c r="L207" s="27">
        <v>20</v>
      </c>
      <c r="M207" s="27">
        <v>0</v>
      </c>
      <c r="N207" s="21">
        <v>24.4238</v>
      </c>
      <c r="O207" s="24">
        <v>33.987400000000001</v>
      </c>
      <c r="P207" s="31">
        <v>2.109035294117656E-2</v>
      </c>
      <c r="Q207" s="31">
        <v>-0.12859577647058629</v>
      </c>
      <c r="R207" s="26" t="s">
        <v>280</v>
      </c>
      <c r="S207" s="26">
        <v>1</v>
      </c>
      <c r="T207" s="71" t="s">
        <v>626</v>
      </c>
    </row>
    <row r="208" spans="1:20">
      <c r="A208" s="26" t="s">
        <v>141</v>
      </c>
      <c r="B208" s="26" t="s">
        <v>223</v>
      </c>
      <c r="C208" s="26" t="s">
        <v>508</v>
      </c>
      <c r="D208" s="25">
        <v>42610</v>
      </c>
      <c r="E208" s="1">
        <f t="shared" si="12"/>
        <v>2016</v>
      </c>
      <c r="F208" s="1">
        <f t="shared" si="13"/>
        <v>8</v>
      </c>
      <c r="G208" s="4">
        <f t="shared" si="14"/>
        <v>28</v>
      </c>
      <c r="H208" s="6">
        <v>0.98950231481481488</v>
      </c>
      <c r="I208" s="22">
        <v>135.71016666666668</v>
      </c>
      <c r="J208" s="22">
        <v>37.832500000000003</v>
      </c>
      <c r="K208" s="27">
        <v>28.945</v>
      </c>
      <c r="L208" s="27">
        <v>30</v>
      </c>
      <c r="M208" s="27">
        <v>0</v>
      </c>
      <c r="N208" s="21">
        <v>18.055399999999999</v>
      </c>
      <c r="O208" s="24">
        <v>33.852600000000002</v>
      </c>
      <c r="P208" s="31">
        <v>1.4156734117646952E-2</v>
      </c>
      <c r="Q208" s="31">
        <v>8.6204329411767588E-3</v>
      </c>
      <c r="R208" s="26" t="s">
        <v>280</v>
      </c>
      <c r="S208" s="26">
        <v>1</v>
      </c>
      <c r="T208" s="71" t="s">
        <v>626</v>
      </c>
    </row>
    <row r="209" spans="1:20">
      <c r="A209" s="26" t="s">
        <v>141</v>
      </c>
      <c r="B209" s="26" t="s">
        <v>223</v>
      </c>
      <c r="C209" s="26" t="s">
        <v>508</v>
      </c>
      <c r="D209" s="25">
        <v>42610</v>
      </c>
      <c r="E209" s="1">
        <f t="shared" si="12"/>
        <v>2016</v>
      </c>
      <c r="F209" s="1">
        <f t="shared" si="13"/>
        <v>8</v>
      </c>
      <c r="G209" s="4">
        <f t="shared" si="14"/>
        <v>28</v>
      </c>
      <c r="H209" s="6">
        <v>0.98950231481481488</v>
      </c>
      <c r="I209" s="22">
        <v>135.71016666666668</v>
      </c>
      <c r="J209" s="22">
        <v>37.832500000000003</v>
      </c>
      <c r="K209" s="27">
        <v>50.237000000000002</v>
      </c>
      <c r="L209" s="27">
        <v>50</v>
      </c>
      <c r="M209" s="27">
        <v>0</v>
      </c>
      <c r="N209" s="21">
        <v>13.836600000000001</v>
      </c>
      <c r="O209" s="24">
        <v>34.261899999999997</v>
      </c>
      <c r="P209" s="31">
        <v>0.13317055294117619</v>
      </c>
      <c r="Q209" s="31">
        <v>0.78212122352941194</v>
      </c>
      <c r="R209" s="26" t="s">
        <v>280</v>
      </c>
      <c r="S209" s="26">
        <v>1</v>
      </c>
      <c r="T209" s="71" t="s">
        <v>626</v>
      </c>
    </row>
    <row r="210" spans="1:20">
      <c r="A210" s="26" t="s">
        <v>141</v>
      </c>
      <c r="B210" s="26" t="s">
        <v>223</v>
      </c>
      <c r="C210" s="26" t="s">
        <v>508</v>
      </c>
      <c r="D210" s="25">
        <v>42610</v>
      </c>
      <c r="E210" s="1">
        <f t="shared" si="12"/>
        <v>2016</v>
      </c>
      <c r="F210" s="1">
        <f t="shared" si="13"/>
        <v>8</v>
      </c>
      <c r="G210" s="4">
        <f t="shared" si="14"/>
        <v>28</v>
      </c>
      <c r="H210" s="6">
        <v>0.98950231481481488</v>
      </c>
      <c r="I210" s="22">
        <v>135.71016666666668</v>
      </c>
      <c r="J210" s="22">
        <v>37.832500000000003</v>
      </c>
      <c r="K210" s="27">
        <v>74.438000000000002</v>
      </c>
      <c r="L210" s="27">
        <v>75</v>
      </c>
      <c r="M210" s="27">
        <v>0</v>
      </c>
      <c r="N210" s="21">
        <v>10.4556</v>
      </c>
      <c r="O210" s="24">
        <v>34.193899999999999</v>
      </c>
      <c r="P210" s="31">
        <v>0.1197403717647052</v>
      </c>
      <c r="Q210" s="31">
        <v>0.49455257411764642</v>
      </c>
      <c r="R210" s="26" t="s">
        <v>280</v>
      </c>
      <c r="S210" s="26">
        <v>1</v>
      </c>
      <c r="T210" s="71" t="s">
        <v>626</v>
      </c>
    </row>
    <row r="211" spans="1:20">
      <c r="A211" s="26" t="s">
        <v>141</v>
      </c>
      <c r="B211" s="26" t="s">
        <v>223</v>
      </c>
      <c r="C211" s="26" t="s">
        <v>508</v>
      </c>
      <c r="D211" s="25">
        <v>42610</v>
      </c>
      <c r="E211" s="1">
        <f t="shared" ref="E211:E282" si="15">YEAR(D211)</f>
        <v>2016</v>
      </c>
      <c r="F211" s="1">
        <f t="shared" ref="F211:F282" si="16">MONTH(D211)</f>
        <v>8</v>
      </c>
      <c r="G211" s="4">
        <f t="shared" ref="G211:G282" si="17">DAY(D211)</f>
        <v>28</v>
      </c>
      <c r="H211" s="6">
        <v>0.98950231481481488</v>
      </c>
      <c r="I211" s="22">
        <v>135.71016666666668</v>
      </c>
      <c r="J211" s="22">
        <v>37.832500000000003</v>
      </c>
      <c r="K211" s="27">
        <v>99.212999999999994</v>
      </c>
      <c r="L211" s="27">
        <v>100</v>
      </c>
      <c r="M211" s="27">
        <v>0</v>
      </c>
      <c r="N211" s="21">
        <v>7.3291000000000004</v>
      </c>
      <c r="O211" s="24">
        <v>34.0747</v>
      </c>
      <c r="P211" s="31">
        <v>0.15185055058823504</v>
      </c>
      <c r="Q211" s="31">
        <v>4.9082004705882198E-2</v>
      </c>
      <c r="R211" s="26" t="s">
        <v>280</v>
      </c>
      <c r="S211" s="26">
        <v>1</v>
      </c>
      <c r="T211" s="71" t="s">
        <v>626</v>
      </c>
    </row>
    <row r="212" spans="1:20">
      <c r="A212" s="26" t="s">
        <v>141</v>
      </c>
      <c r="B212" s="26" t="s">
        <v>223</v>
      </c>
      <c r="C212" s="26" t="s">
        <v>508</v>
      </c>
      <c r="D212" s="25">
        <v>42610</v>
      </c>
      <c r="E212" s="1">
        <f t="shared" si="15"/>
        <v>2016</v>
      </c>
      <c r="F212" s="1">
        <f t="shared" si="16"/>
        <v>8</v>
      </c>
      <c r="G212" s="4">
        <f t="shared" si="17"/>
        <v>28</v>
      </c>
      <c r="H212" s="6">
        <v>0.98950231481481488</v>
      </c>
      <c r="I212" s="22">
        <v>135.71016666666668</v>
      </c>
      <c r="J212" s="22">
        <v>37.832500000000003</v>
      </c>
      <c r="K212" s="27">
        <v>148.221</v>
      </c>
      <c r="L212" s="27">
        <v>150</v>
      </c>
      <c r="M212" s="27">
        <v>0</v>
      </c>
      <c r="N212" s="21">
        <v>3.0602999999999998</v>
      </c>
      <c r="O212" s="24">
        <v>34.024900000000002</v>
      </c>
      <c r="P212" s="31">
        <v>3.5419689411764432E-2</v>
      </c>
      <c r="Q212" s="31">
        <v>-0.511422964705881</v>
      </c>
      <c r="R212" s="26" t="s">
        <v>280</v>
      </c>
      <c r="S212" s="26">
        <v>1</v>
      </c>
      <c r="T212" s="71" t="s">
        <v>626</v>
      </c>
    </row>
    <row r="213" spans="1:20">
      <c r="A213" s="26" t="s">
        <v>141</v>
      </c>
      <c r="B213" s="26" t="s">
        <v>223</v>
      </c>
      <c r="C213" s="26" t="s">
        <v>508</v>
      </c>
      <c r="D213" s="25">
        <v>42610</v>
      </c>
      <c r="E213" s="1">
        <f t="shared" si="15"/>
        <v>2016</v>
      </c>
      <c r="F213" s="1">
        <f t="shared" si="16"/>
        <v>8</v>
      </c>
      <c r="G213" s="4">
        <f t="shared" si="17"/>
        <v>28</v>
      </c>
      <c r="H213" s="6">
        <v>0.98950231481481488</v>
      </c>
      <c r="I213" s="22">
        <v>135.71016666666668</v>
      </c>
      <c r="J213" s="22">
        <v>37.832500000000003</v>
      </c>
      <c r="K213" s="27">
        <v>198.68600000000001</v>
      </c>
      <c r="L213" s="27">
        <v>200</v>
      </c>
      <c r="M213" s="27">
        <v>0</v>
      </c>
      <c r="N213" s="21">
        <v>1.6116999999999999</v>
      </c>
      <c r="O213" s="24">
        <v>34.040599999999998</v>
      </c>
      <c r="P213" s="31">
        <v>1.1088348235293921E-2</v>
      </c>
      <c r="Q213" s="31">
        <v>-0.56499001411764738</v>
      </c>
      <c r="R213" s="26" t="s">
        <v>280</v>
      </c>
      <c r="S213" s="26">
        <v>1</v>
      </c>
      <c r="T213" s="71" t="s">
        <v>626</v>
      </c>
    </row>
    <row r="214" spans="1:20">
      <c r="A214" s="26"/>
      <c r="B214" s="26"/>
      <c r="C214" s="26"/>
      <c r="D214" s="25"/>
      <c r="H214" s="6"/>
      <c r="I214" s="22"/>
      <c r="J214" s="22"/>
      <c r="K214" s="27"/>
      <c r="L214" s="27"/>
      <c r="M214" s="27"/>
      <c r="N214" s="21"/>
      <c r="O214" s="24"/>
      <c r="P214" s="31"/>
      <c r="Q214" s="31"/>
      <c r="R214" s="26"/>
      <c r="S214" s="26"/>
      <c r="T214" s="71"/>
    </row>
    <row r="215" spans="1:20">
      <c r="A215" s="26" t="s">
        <v>141</v>
      </c>
      <c r="B215" s="26" t="s">
        <v>224</v>
      </c>
      <c r="C215" s="26" t="s">
        <v>508</v>
      </c>
      <c r="D215" s="25">
        <v>42611</v>
      </c>
      <c r="E215" s="1">
        <f t="shared" si="15"/>
        <v>2016</v>
      </c>
      <c r="F215" s="1">
        <f t="shared" si="16"/>
        <v>8</v>
      </c>
      <c r="G215" s="4">
        <f t="shared" si="17"/>
        <v>29</v>
      </c>
      <c r="H215" s="6">
        <v>0.5774421296296296</v>
      </c>
      <c r="I215" s="22">
        <v>135.99966666666666</v>
      </c>
      <c r="J215" s="22">
        <v>36.989833333333337</v>
      </c>
      <c r="K215" s="27">
        <v>0</v>
      </c>
      <c r="L215" s="27">
        <v>0</v>
      </c>
      <c r="M215" s="27">
        <v>0</v>
      </c>
      <c r="N215" s="21">
        <v>26.5</v>
      </c>
      <c r="O215" s="24">
        <v>33.052764169012988</v>
      </c>
      <c r="P215" s="31">
        <v>-0.1287749129411766</v>
      </c>
      <c r="Q215" s="31">
        <v>-0.99177978352941132</v>
      </c>
      <c r="R215" s="26" t="s">
        <v>280</v>
      </c>
      <c r="S215" s="26">
        <v>1</v>
      </c>
      <c r="T215" s="71" t="s">
        <v>626</v>
      </c>
    </row>
    <row r="216" spans="1:20">
      <c r="A216" s="26" t="s">
        <v>141</v>
      </c>
      <c r="B216" s="26" t="s">
        <v>225</v>
      </c>
      <c r="C216" s="26" t="s">
        <v>508</v>
      </c>
      <c r="D216" s="25">
        <v>42611</v>
      </c>
      <c r="E216" s="1">
        <f t="shared" si="15"/>
        <v>2016</v>
      </c>
      <c r="F216" s="1">
        <f t="shared" si="16"/>
        <v>8</v>
      </c>
      <c r="G216" s="4">
        <f t="shared" si="17"/>
        <v>29</v>
      </c>
      <c r="H216" s="6">
        <v>0.5774421296296296</v>
      </c>
      <c r="I216" s="22">
        <v>135.99966666666666</v>
      </c>
      <c r="J216" s="22">
        <v>36.989833333333337</v>
      </c>
      <c r="K216" s="27">
        <v>10.058999999999999</v>
      </c>
      <c r="L216" s="27">
        <v>10</v>
      </c>
      <c r="M216" s="27">
        <v>0</v>
      </c>
      <c r="N216" s="21">
        <v>26.583200000000001</v>
      </c>
      <c r="O216" s="24">
        <v>33.043399999999998</v>
      </c>
      <c r="P216" s="31">
        <v>-0.16293467764705905</v>
      </c>
      <c r="Q216" s="31">
        <v>-1.25717438117647</v>
      </c>
      <c r="R216" s="26" t="s">
        <v>280</v>
      </c>
      <c r="S216" s="26">
        <v>1</v>
      </c>
      <c r="T216" s="71" t="s">
        <v>626</v>
      </c>
    </row>
    <row r="217" spans="1:20">
      <c r="A217" s="26" t="s">
        <v>141</v>
      </c>
      <c r="B217" s="26" t="s">
        <v>225</v>
      </c>
      <c r="C217" s="26" t="s">
        <v>508</v>
      </c>
      <c r="D217" s="25">
        <v>42611</v>
      </c>
      <c r="E217" s="1">
        <f t="shared" si="15"/>
        <v>2016</v>
      </c>
      <c r="F217" s="1">
        <f t="shared" si="16"/>
        <v>8</v>
      </c>
      <c r="G217" s="4">
        <f t="shared" si="17"/>
        <v>29</v>
      </c>
      <c r="H217" s="6">
        <v>0.5774421296296296</v>
      </c>
      <c r="I217" s="22">
        <v>135.99966666666666</v>
      </c>
      <c r="J217" s="22">
        <v>36.989833333333337</v>
      </c>
      <c r="K217" s="27">
        <v>19.292999999999999</v>
      </c>
      <c r="L217" s="27">
        <v>20</v>
      </c>
      <c r="M217" s="27">
        <v>0</v>
      </c>
      <c r="N217" s="21">
        <v>26.579799999999999</v>
      </c>
      <c r="O217" s="24">
        <v>33.043100000000003</v>
      </c>
      <c r="P217" s="31">
        <v>-3.9453352941176467E-2</v>
      </c>
      <c r="Q217" s="31">
        <v>-0.55515045647058869</v>
      </c>
      <c r="R217" s="26" t="s">
        <v>280</v>
      </c>
      <c r="S217" s="26">
        <v>1</v>
      </c>
      <c r="T217" s="71" t="s">
        <v>626</v>
      </c>
    </row>
    <row r="218" spans="1:20">
      <c r="A218" s="26" t="s">
        <v>141</v>
      </c>
      <c r="B218" s="26" t="s">
        <v>225</v>
      </c>
      <c r="C218" s="26" t="s">
        <v>508</v>
      </c>
      <c r="D218" s="25">
        <v>42611</v>
      </c>
      <c r="E218" s="1">
        <f t="shared" si="15"/>
        <v>2016</v>
      </c>
      <c r="F218" s="1">
        <f t="shared" si="16"/>
        <v>8</v>
      </c>
      <c r="G218" s="4">
        <f t="shared" si="17"/>
        <v>29</v>
      </c>
      <c r="H218" s="6">
        <v>0.5774421296296296</v>
      </c>
      <c r="I218" s="22">
        <v>135.99966666666666</v>
      </c>
      <c r="J218" s="22">
        <v>36.989833333333337</v>
      </c>
      <c r="K218" s="27">
        <v>30.518999999999998</v>
      </c>
      <c r="L218" s="27">
        <v>30</v>
      </c>
      <c r="M218" s="27">
        <v>0</v>
      </c>
      <c r="N218" s="21">
        <v>22.154</v>
      </c>
      <c r="O218" s="24">
        <v>33.901899999999998</v>
      </c>
      <c r="P218" s="31">
        <v>0.12003617647058817</v>
      </c>
      <c r="Q218" s="31">
        <v>0.76732834823529394</v>
      </c>
      <c r="R218" s="26" t="s">
        <v>280</v>
      </c>
      <c r="S218" s="26">
        <v>1</v>
      </c>
      <c r="T218" s="71" t="s">
        <v>626</v>
      </c>
    </row>
    <row r="219" spans="1:20">
      <c r="A219" s="26" t="s">
        <v>141</v>
      </c>
      <c r="B219" s="26" t="s">
        <v>225</v>
      </c>
      <c r="C219" s="26" t="s">
        <v>508</v>
      </c>
      <c r="D219" s="25">
        <v>42611</v>
      </c>
      <c r="E219" s="1">
        <f t="shared" si="15"/>
        <v>2016</v>
      </c>
      <c r="F219" s="1">
        <f t="shared" si="16"/>
        <v>8</v>
      </c>
      <c r="G219" s="4">
        <f t="shared" si="17"/>
        <v>29</v>
      </c>
      <c r="H219" s="6">
        <v>0.5774421296296296</v>
      </c>
      <c r="I219" s="22">
        <v>135.99966666666666</v>
      </c>
      <c r="J219" s="22">
        <v>36.989833333333337</v>
      </c>
      <c r="K219" s="27">
        <v>50.957999999999998</v>
      </c>
      <c r="L219" s="27">
        <v>50</v>
      </c>
      <c r="M219" s="27">
        <v>0</v>
      </c>
      <c r="N219" s="21">
        <v>18.7623</v>
      </c>
      <c r="O219" s="24">
        <v>34.333599999999997</v>
      </c>
      <c r="P219" s="31">
        <v>0.26976250588235229</v>
      </c>
      <c r="Q219" s="31">
        <v>1.5313801929411763</v>
      </c>
      <c r="R219" s="26" t="s">
        <v>280</v>
      </c>
      <c r="S219" s="26">
        <v>1</v>
      </c>
      <c r="T219" s="71" t="s">
        <v>626</v>
      </c>
    </row>
    <row r="220" spans="1:20">
      <c r="A220" s="26" t="s">
        <v>141</v>
      </c>
      <c r="B220" s="26" t="s">
        <v>225</v>
      </c>
      <c r="C220" s="26" t="s">
        <v>508</v>
      </c>
      <c r="D220" s="25">
        <v>42611</v>
      </c>
      <c r="E220" s="1">
        <f t="shared" si="15"/>
        <v>2016</v>
      </c>
      <c r="F220" s="1">
        <f t="shared" si="16"/>
        <v>8</v>
      </c>
      <c r="G220" s="4">
        <f t="shared" si="17"/>
        <v>29</v>
      </c>
      <c r="H220" s="6">
        <v>0.5774421296296296</v>
      </c>
      <c r="I220" s="22">
        <v>135.99966666666666</v>
      </c>
      <c r="J220" s="22">
        <v>36.989833333333337</v>
      </c>
      <c r="K220" s="27">
        <v>74.656999999999996</v>
      </c>
      <c r="L220" s="27">
        <v>75</v>
      </c>
      <c r="M220" s="27">
        <v>0</v>
      </c>
      <c r="N220" s="21">
        <v>16.744199999999999</v>
      </c>
      <c r="O220" s="24">
        <v>34.497599999999998</v>
      </c>
      <c r="P220" s="31">
        <v>0.23866623529411712</v>
      </c>
      <c r="Q220" s="31">
        <v>1.4698800376470587</v>
      </c>
      <c r="R220" s="26" t="s">
        <v>280</v>
      </c>
      <c r="S220" s="26">
        <v>1</v>
      </c>
      <c r="T220" s="71" t="s">
        <v>626</v>
      </c>
    </row>
    <row r="221" spans="1:20">
      <c r="A221" s="26" t="s">
        <v>141</v>
      </c>
      <c r="B221" s="26" t="s">
        <v>225</v>
      </c>
      <c r="C221" s="26" t="s">
        <v>508</v>
      </c>
      <c r="D221" s="25">
        <v>42611</v>
      </c>
      <c r="E221" s="1">
        <f t="shared" si="15"/>
        <v>2016</v>
      </c>
      <c r="F221" s="1">
        <f t="shared" si="16"/>
        <v>8</v>
      </c>
      <c r="G221" s="4">
        <f t="shared" si="17"/>
        <v>29</v>
      </c>
      <c r="H221" s="6">
        <v>0.5774421296296296</v>
      </c>
      <c r="I221" s="22">
        <v>135.99966666666666</v>
      </c>
      <c r="J221" s="22">
        <v>36.989833333333337</v>
      </c>
      <c r="K221" s="27">
        <v>99.435000000000002</v>
      </c>
      <c r="L221" s="27">
        <v>100</v>
      </c>
      <c r="M221" s="27">
        <v>0</v>
      </c>
      <c r="N221" s="21">
        <v>14.223000000000001</v>
      </c>
      <c r="O221" s="24">
        <v>34.431699999999999</v>
      </c>
      <c r="P221" s="31">
        <v>0.20614616470588198</v>
      </c>
      <c r="Q221" s="31">
        <v>1.1176676423529397</v>
      </c>
      <c r="R221" s="26" t="s">
        <v>280</v>
      </c>
      <c r="S221" s="26">
        <v>1</v>
      </c>
      <c r="T221" s="71" t="s">
        <v>626</v>
      </c>
    </row>
    <row r="222" spans="1:20">
      <c r="A222" s="26" t="s">
        <v>141</v>
      </c>
      <c r="B222" s="26" t="s">
        <v>225</v>
      </c>
      <c r="C222" s="26" t="s">
        <v>508</v>
      </c>
      <c r="D222" s="25">
        <v>42611</v>
      </c>
      <c r="E222" s="1">
        <f t="shared" si="15"/>
        <v>2016</v>
      </c>
      <c r="F222" s="1">
        <f t="shared" si="16"/>
        <v>8</v>
      </c>
      <c r="G222" s="4">
        <f t="shared" si="17"/>
        <v>29</v>
      </c>
      <c r="H222" s="6">
        <v>0.5774421296296296</v>
      </c>
      <c r="I222" s="22">
        <v>135.99966666666666</v>
      </c>
      <c r="J222" s="22">
        <v>36.989833333333337</v>
      </c>
      <c r="K222" s="27">
        <v>124.01300000000001</v>
      </c>
      <c r="L222" s="27">
        <v>125</v>
      </c>
      <c r="M222" s="27">
        <v>0</v>
      </c>
      <c r="N222" s="21">
        <v>11.7652</v>
      </c>
      <c r="O222" s="24">
        <v>34.2121</v>
      </c>
      <c r="P222" s="31">
        <v>0.12562369411764696</v>
      </c>
      <c r="Q222" s="31">
        <v>0.62393204705882432</v>
      </c>
      <c r="R222" s="26" t="s">
        <v>280</v>
      </c>
      <c r="S222" s="26">
        <v>1</v>
      </c>
      <c r="T222" s="71" t="s">
        <v>626</v>
      </c>
    </row>
    <row r="223" spans="1:20">
      <c r="A223" s="26" t="s">
        <v>141</v>
      </c>
      <c r="B223" s="26" t="s">
        <v>225</v>
      </c>
      <c r="C223" s="26" t="s">
        <v>508</v>
      </c>
      <c r="D223" s="25">
        <v>42611</v>
      </c>
      <c r="E223" s="1">
        <f t="shared" si="15"/>
        <v>2016</v>
      </c>
      <c r="F223" s="1">
        <f t="shared" si="16"/>
        <v>8</v>
      </c>
      <c r="G223" s="4">
        <f t="shared" si="17"/>
        <v>29</v>
      </c>
      <c r="H223" s="6">
        <v>0.5774421296296296</v>
      </c>
      <c r="I223" s="22">
        <v>135.99966666666666</v>
      </c>
      <c r="J223" s="22">
        <v>36.989833333333337</v>
      </c>
      <c r="K223" s="27">
        <v>148.327</v>
      </c>
      <c r="L223" s="27">
        <v>150</v>
      </c>
      <c r="M223" s="27">
        <v>0</v>
      </c>
      <c r="N223" s="21">
        <v>11.1297</v>
      </c>
      <c r="O223" s="24">
        <v>34.156799999999997</v>
      </c>
      <c r="P223" s="31">
        <v>0.11527422352941175</v>
      </c>
      <c r="Q223" s="31">
        <v>0.5205646117647067</v>
      </c>
      <c r="R223" s="26" t="s">
        <v>280</v>
      </c>
      <c r="S223" s="26">
        <v>1</v>
      </c>
      <c r="T223" s="71" t="s">
        <v>626</v>
      </c>
    </row>
    <row r="224" spans="1:20">
      <c r="A224" s="26" t="s">
        <v>141</v>
      </c>
      <c r="B224" s="26" t="s">
        <v>225</v>
      </c>
      <c r="C224" s="26" t="s">
        <v>508</v>
      </c>
      <c r="D224" s="25">
        <v>42611</v>
      </c>
      <c r="E224" s="1">
        <f t="shared" si="15"/>
        <v>2016</v>
      </c>
      <c r="F224" s="1">
        <f t="shared" si="16"/>
        <v>8</v>
      </c>
      <c r="G224" s="4">
        <f t="shared" si="17"/>
        <v>29</v>
      </c>
      <c r="H224" s="6">
        <v>0.5774421296296296</v>
      </c>
      <c r="I224" s="22">
        <v>135.99966666666666</v>
      </c>
      <c r="J224" s="22">
        <v>36.989833333333337</v>
      </c>
      <c r="K224" s="27">
        <v>199.16300000000001</v>
      </c>
      <c r="L224" s="27">
        <v>200</v>
      </c>
      <c r="M224" s="27">
        <v>0</v>
      </c>
      <c r="N224" s="21">
        <v>4.8136000000000001</v>
      </c>
      <c r="O224" s="24">
        <v>34.023600000000002</v>
      </c>
      <c r="P224" s="31">
        <v>-2.6399858823529465E-2</v>
      </c>
      <c r="Q224" s="31">
        <v>-0.61467344941176272</v>
      </c>
      <c r="R224" s="26" t="s">
        <v>280</v>
      </c>
      <c r="S224" s="26">
        <v>1</v>
      </c>
      <c r="T224" s="71" t="s">
        <v>626</v>
      </c>
    </row>
    <row r="225" spans="1:20">
      <c r="A225" s="26"/>
      <c r="B225" s="26"/>
      <c r="C225" s="26"/>
      <c r="D225" s="25"/>
      <c r="H225" s="6"/>
      <c r="I225" s="22"/>
      <c r="J225" s="22"/>
      <c r="K225" s="27"/>
      <c r="L225" s="27"/>
      <c r="M225" s="27"/>
      <c r="N225" s="21"/>
      <c r="O225" s="24"/>
      <c r="P225" s="31"/>
      <c r="Q225" s="31"/>
      <c r="R225" s="26"/>
      <c r="S225" s="26"/>
      <c r="T225" s="71"/>
    </row>
    <row r="226" spans="1:20">
      <c r="A226" s="26" t="s">
        <v>141</v>
      </c>
      <c r="B226" s="26" t="s">
        <v>226</v>
      </c>
      <c r="C226" s="26" t="s">
        <v>508</v>
      </c>
      <c r="D226" s="25">
        <v>42611</v>
      </c>
      <c r="E226" s="1">
        <f t="shared" si="15"/>
        <v>2016</v>
      </c>
      <c r="F226" s="1">
        <f t="shared" si="16"/>
        <v>8</v>
      </c>
      <c r="G226" s="4">
        <f t="shared" si="17"/>
        <v>29</v>
      </c>
      <c r="H226" s="6">
        <v>0.74020833333333336</v>
      </c>
      <c r="I226" s="22">
        <v>136.011</v>
      </c>
      <c r="J226" s="22">
        <v>37.335833333333333</v>
      </c>
      <c r="K226" s="27">
        <v>0</v>
      </c>
      <c r="L226" s="27">
        <v>0</v>
      </c>
      <c r="M226" s="27">
        <v>0</v>
      </c>
      <c r="N226" s="21">
        <v>26.7</v>
      </c>
      <c r="O226" s="24">
        <v>33.113393719048105</v>
      </c>
      <c r="P226" s="31">
        <v>-0.19770652941176503</v>
      </c>
      <c r="Q226" s="31">
        <v>-1.1985645647058831</v>
      </c>
      <c r="R226" s="26" t="s">
        <v>280</v>
      </c>
      <c r="S226" s="26">
        <v>1</v>
      </c>
      <c r="T226" s="71" t="s">
        <v>626</v>
      </c>
    </row>
    <row r="227" spans="1:20">
      <c r="A227" s="26" t="s">
        <v>141</v>
      </c>
      <c r="B227" s="26" t="s">
        <v>226</v>
      </c>
      <c r="C227" s="26" t="s">
        <v>508</v>
      </c>
      <c r="D227" s="25">
        <v>42611</v>
      </c>
      <c r="E227" s="1">
        <f t="shared" si="15"/>
        <v>2016</v>
      </c>
      <c r="F227" s="1">
        <f t="shared" si="16"/>
        <v>8</v>
      </c>
      <c r="G227" s="4">
        <f t="shared" si="17"/>
        <v>29</v>
      </c>
      <c r="H227" s="6">
        <v>0.74020833333333336</v>
      </c>
      <c r="I227" s="22">
        <v>136.011</v>
      </c>
      <c r="J227" s="22">
        <v>37.335833333333333</v>
      </c>
      <c r="K227" s="27">
        <v>9.9429999999999996</v>
      </c>
      <c r="L227" s="27">
        <v>10</v>
      </c>
      <c r="M227" s="27">
        <v>0</v>
      </c>
      <c r="N227" s="21">
        <v>26.670400000000001</v>
      </c>
      <c r="O227" s="24">
        <v>33.088500000000003</v>
      </c>
      <c r="P227" s="31">
        <v>6.4771199999999585E-2</v>
      </c>
      <c r="Q227" s="31">
        <v>0.25180927999999803</v>
      </c>
      <c r="R227" s="26" t="s">
        <v>280</v>
      </c>
      <c r="S227" s="26">
        <v>1</v>
      </c>
      <c r="T227" s="71" t="s">
        <v>626</v>
      </c>
    </row>
    <row r="228" spans="1:20">
      <c r="A228" s="26" t="s">
        <v>141</v>
      </c>
      <c r="B228" s="26" t="s">
        <v>226</v>
      </c>
      <c r="C228" s="26" t="s">
        <v>508</v>
      </c>
      <c r="D228" s="25">
        <v>42611</v>
      </c>
      <c r="E228" s="1">
        <f t="shared" si="15"/>
        <v>2016</v>
      </c>
      <c r="F228" s="1">
        <f t="shared" si="16"/>
        <v>8</v>
      </c>
      <c r="G228" s="4">
        <f t="shared" si="17"/>
        <v>29</v>
      </c>
      <c r="H228" s="6">
        <v>0.74020833333333336</v>
      </c>
      <c r="I228" s="22">
        <v>136.011</v>
      </c>
      <c r="J228" s="22">
        <v>37.335833333333333</v>
      </c>
      <c r="K228" s="27">
        <v>18.472000000000001</v>
      </c>
      <c r="L228" s="27">
        <v>200</v>
      </c>
      <c r="M228" s="27">
        <v>0</v>
      </c>
      <c r="N228" s="21">
        <v>26.617100000000001</v>
      </c>
      <c r="O228" s="24">
        <v>33.087600000000002</v>
      </c>
      <c r="P228" s="31">
        <v>-0.17135227058823532</v>
      </c>
      <c r="Q228" s="31">
        <v>-1.2679695152941175</v>
      </c>
      <c r="R228" s="26" t="s">
        <v>280</v>
      </c>
      <c r="S228" s="26">
        <v>1</v>
      </c>
      <c r="T228" s="71" t="s">
        <v>626</v>
      </c>
    </row>
    <row r="229" spans="1:20">
      <c r="A229" s="26" t="s">
        <v>141</v>
      </c>
      <c r="B229" s="26" t="s">
        <v>226</v>
      </c>
      <c r="C229" s="26" t="s">
        <v>508</v>
      </c>
      <c r="D229" s="25">
        <v>42611</v>
      </c>
      <c r="E229" s="1">
        <f t="shared" si="15"/>
        <v>2016</v>
      </c>
      <c r="F229" s="1">
        <f t="shared" si="16"/>
        <v>8</v>
      </c>
      <c r="G229" s="4">
        <f t="shared" si="17"/>
        <v>29</v>
      </c>
      <c r="H229" s="6">
        <v>0.74020833333333336</v>
      </c>
      <c r="I229" s="22">
        <v>136.011</v>
      </c>
      <c r="J229" s="22">
        <v>37.335833333333333</v>
      </c>
      <c r="K229" s="27">
        <v>29.859000000000002</v>
      </c>
      <c r="L229" s="27">
        <v>30</v>
      </c>
      <c r="M229" s="27">
        <v>0</v>
      </c>
      <c r="N229" s="21">
        <v>21.454999999999998</v>
      </c>
      <c r="O229" s="24">
        <v>34.211599999999997</v>
      </c>
      <c r="P229" s="31">
        <v>-8.5290141176471046E-2</v>
      </c>
      <c r="Q229" s="31">
        <v>-0.91492463058823414</v>
      </c>
      <c r="R229" s="26" t="s">
        <v>280</v>
      </c>
      <c r="S229" s="26">
        <v>1</v>
      </c>
      <c r="T229" s="71" t="s">
        <v>626</v>
      </c>
    </row>
    <row r="230" spans="1:20">
      <c r="A230" s="26" t="s">
        <v>141</v>
      </c>
      <c r="B230" s="26" t="s">
        <v>226</v>
      </c>
      <c r="C230" s="26" t="s">
        <v>508</v>
      </c>
      <c r="D230" s="25">
        <v>42611</v>
      </c>
      <c r="E230" s="1">
        <f t="shared" si="15"/>
        <v>2016</v>
      </c>
      <c r="F230" s="1">
        <f t="shared" si="16"/>
        <v>8</v>
      </c>
      <c r="G230" s="4">
        <f t="shared" si="17"/>
        <v>29</v>
      </c>
      <c r="H230" s="6">
        <v>0.74020833333333336</v>
      </c>
      <c r="I230" s="22">
        <v>136.011</v>
      </c>
      <c r="J230" s="22">
        <v>37.335833333333333</v>
      </c>
      <c r="K230" s="27">
        <v>49.393000000000001</v>
      </c>
      <c r="L230" s="27">
        <v>50</v>
      </c>
      <c r="M230" s="27">
        <v>0</v>
      </c>
      <c r="N230" s="21">
        <v>17.154499999999999</v>
      </c>
      <c r="O230" s="24">
        <v>34.472000000000001</v>
      </c>
      <c r="P230" s="31">
        <v>0.1482878382352939</v>
      </c>
      <c r="Q230" s="31">
        <v>0.68288559411764638</v>
      </c>
      <c r="R230" s="26" t="s">
        <v>280</v>
      </c>
      <c r="S230" s="26">
        <v>1</v>
      </c>
      <c r="T230" s="71" t="s">
        <v>626</v>
      </c>
    </row>
    <row r="231" spans="1:20">
      <c r="A231" s="26" t="s">
        <v>141</v>
      </c>
      <c r="B231" s="26" t="s">
        <v>226</v>
      </c>
      <c r="C231" s="26" t="s">
        <v>508</v>
      </c>
      <c r="D231" s="25">
        <v>42611</v>
      </c>
      <c r="E231" s="1">
        <f t="shared" si="15"/>
        <v>2016</v>
      </c>
      <c r="F231" s="1">
        <f t="shared" si="16"/>
        <v>8</v>
      </c>
      <c r="G231" s="4">
        <f t="shared" si="17"/>
        <v>29</v>
      </c>
      <c r="H231" s="6">
        <v>0.74020833333333336</v>
      </c>
      <c r="I231" s="22">
        <v>136.011</v>
      </c>
      <c r="J231" s="22">
        <v>37.335833333333333</v>
      </c>
      <c r="K231" s="27">
        <v>74.164000000000001</v>
      </c>
      <c r="L231" s="27">
        <v>75</v>
      </c>
      <c r="M231" s="27">
        <v>0</v>
      </c>
      <c r="N231" s="21">
        <v>15.059699999999999</v>
      </c>
      <c r="O231" s="24">
        <v>34.468699999999998</v>
      </c>
      <c r="P231" s="31">
        <v>0.2393841176470588</v>
      </c>
      <c r="Q231" s="31">
        <v>1.4106229788235289</v>
      </c>
      <c r="R231" s="26" t="s">
        <v>280</v>
      </c>
      <c r="S231" s="26">
        <v>1</v>
      </c>
      <c r="T231" s="71" t="s">
        <v>626</v>
      </c>
    </row>
    <row r="232" spans="1:20">
      <c r="A232" s="26" t="s">
        <v>141</v>
      </c>
      <c r="B232" s="26" t="s">
        <v>226</v>
      </c>
      <c r="C232" s="26" t="s">
        <v>508</v>
      </c>
      <c r="D232" s="25">
        <v>42611</v>
      </c>
      <c r="E232" s="1">
        <f t="shared" si="15"/>
        <v>2016</v>
      </c>
      <c r="F232" s="1">
        <f t="shared" si="16"/>
        <v>8</v>
      </c>
      <c r="G232" s="4">
        <f t="shared" si="17"/>
        <v>29</v>
      </c>
      <c r="H232" s="6">
        <v>0.74020833333333336</v>
      </c>
      <c r="I232" s="22">
        <v>136.011</v>
      </c>
      <c r="J232" s="22">
        <v>37.335833333333333</v>
      </c>
      <c r="K232" s="27">
        <v>99.4</v>
      </c>
      <c r="L232" s="27">
        <v>100</v>
      </c>
      <c r="M232" s="27">
        <v>0</v>
      </c>
      <c r="N232" s="21">
        <v>11.6563</v>
      </c>
      <c r="O232" s="24">
        <v>34.255200000000002</v>
      </c>
      <c r="P232" s="31">
        <v>0.22598364705882346</v>
      </c>
      <c r="Q232" s="31">
        <v>1.2085824235294123</v>
      </c>
      <c r="R232" s="26" t="s">
        <v>280</v>
      </c>
      <c r="S232" s="26">
        <v>1</v>
      </c>
      <c r="T232" s="71" t="s">
        <v>626</v>
      </c>
    </row>
    <row r="233" spans="1:20">
      <c r="A233" s="26" t="s">
        <v>141</v>
      </c>
      <c r="B233" s="26" t="s">
        <v>226</v>
      </c>
      <c r="C233" s="26" t="s">
        <v>508</v>
      </c>
      <c r="D233" s="25">
        <v>42611</v>
      </c>
      <c r="E233" s="1">
        <f t="shared" si="15"/>
        <v>2016</v>
      </c>
      <c r="F233" s="1">
        <f t="shared" si="16"/>
        <v>8</v>
      </c>
      <c r="G233" s="4">
        <f t="shared" si="17"/>
        <v>29</v>
      </c>
      <c r="H233" s="6">
        <v>0.74020833333333336</v>
      </c>
      <c r="I233" s="22">
        <v>136.011</v>
      </c>
      <c r="J233" s="22">
        <v>37.335833333333333</v>
      </c>
      <c r="K233" s="27">
        <v>149.24799999999999</v>
      </c>
      <c r="L233" s="27">
        <v>150</v>
      </c>
      <c r="M233" s="27">
        <v>0</v>
      </c>
      <c r="N233" s="21">
        <v>5.2733999999999996</v>
      </c>
      <c r="O233" s="24">
        <v>34.022399999999998</v>
      </c>
      <c r="P233" s="31">
        <v>-4.2368988235292893E-3</v>
      </c>
      <c r="Q233" s="31">
        <v>-0.37609529411764697</v>
      </c>
      <c r="R233" s="26" t="s">
        <v>280</v>
      </c>
      <c r="S233" s="26">
        <v>1</v>
      </c>
      <c r="T233" s="71" t="s">
        <v>626</v>
      </c>
    </row>
    <row r="234" spans="1:20">
      <c r="A234" s="26" t="s">
        <v>141</v>
      </c>
      <c r="B234" s="26" t="s">
        <v>226</v>
      </c>
      <c r="C234" s="26" t="s">
        <v>508</v>
      </c>
      <c r="D234" s="25">
        <v>42611</v>
      </c>
      <c r="E234" s="1">
        <f t="shared" si="15"/>
        <v>2016</v>
      </c>
      <c r="F234" s="1">
        <f t="shared" si="16"/>
        <v>8</v>
      </c>
      <c r="G234" s="4">
        <f t="shared" si="17"/>
        <v>29</v>
      </c>
      <c r="H234" s="6">
        <v>0.74020833333333336</v>
      </c>
      <c r="I234" s="22">
        <v>136.011</v>
      </c>
      <c r="J234" s="22">
        <v>37.335833333333333</v>
      </c>
      <c r="K234" s="27">
        <v>199.17699999999999</v>
      </c>
      <c r="L234" s="27">
        <v>200</v>
      </c>
      <c r="M234" s="27">
        <v>0</v>
      </c>
      <c r="N234" s="21">
        <v>2.0830000000000002</v>
      </c>
      <c r="O234" s="24">
        <v>34.021000000000001</v>
      </c>
      <c r="P234" s="31">
        <v>-3.3340790588235247E-2</v>
      </c>
      <c r="Q234" s="31">
        <v>-0.70388165294117577</v>
      </c>
      <c r="R234" s="26" t="s">
        <v>280</v>
      </c>
      <c r="S234" s="26">
        <v>1</v>
      </c>
      <c r="T234" s="71" t="s">
        <v>626</v>
      </c>
    </row>
    <row r="235" spans="1:20">
      <c r="A235" s="26"/>
      <c r="B235" s="26"/>
      <c r="C235" s="26"/>
      <c r="D235" s="25"/>
      <c r="H235" s="6"/>
      <c r="I235" s="22"/>
      <c r="J235" s="22"/>
      <c r="K235" s="27"/>
      <c r="L235" s="27"/>
      <c r="M235" s="27"/>
      <c r="N235" s="21"/>
      <c r="O235" s="24"/>
      <c r="P235" s="31"/>
      <c r="Q235" s="31"/>
      <c r="R235" s="26"/>
      <c r="S235" s="26"/>
      <c r="T235" s="71"/>
    </row>
    <row r="236" spans="1:20">
      <c r="A236" s="26" t="s">
        <v>141</v>
      </c>
      <c r="B236" s="26" t="s">
        <v>227</v>
      </c>
      <c r="C236" s="26" t="s">
        <v>515</v>
      </c>
      <c r="D236" s="25">
        <v>42615</v>
      </c>
      <c r="E236" s="1">
        <f t="shared" si="15"/>
        <v>2016</v>
      </c>
      <c r="F236" s="1">
        <f t="shared" si="16"/>
        <v>9</v>
      </c>
      <c r="G236" s="4">
        <f t="shared" si="17"/>
        <v>2</v>
      </c>
      <c r="H236" s="6">
        <v>0.3258564814814815</v>
      </c>
      <c r="I236" s="22">
        <v>132.63533333333334</v>
      </c>
      <c r="J236" s="22">
        <v>35.672166666666669</v>
      </c>
      <c r="K236" s="27">
        <v>0</v>
      </c>
      <c r="L236" s="27">
        <v>0</v>
      </c>
      <c r="M236" s="27">
        <v>0</v>
      </c>
      <c r="N236" s="21">
        <v>24.9</v>
      </c>
      <c r="O236" s="24">
        <v>32.670122487723624</v>
      </c>
      <c r="P236" s="31">
        <v>-0.20809632235294107</v>
      </c>
      <c r="Q236" s="31">
        <v>-1.5414591117647056</v>
      </c>
      <c r="R236" s="26" t="s">
        <v>280</v>
      </c>
      <c r="S236" s="26">
        <v>1</v>
      </c>
      <c r="T236" s="71" t="s">
        <v>626</v>
      </c>
    </row>
    <row r="237" spans="1:20">
      <c r="A237" s="26" t="s">
        <v>141</v>
      </c>
      <c r="B237" s="26" t="s">
        <v>227</v>
      </c>
      <c r="C237" s="26" t="s">
        <v>515</v>
      </c>
      <c r="D237" s="25">
        <v>42615</v>
      </c>
      <c r="E237" s="1">
        <f t="shared" si="15"/>
        <v>2016</v>
      </c>
      <c r="F237" s="1">
        <f t="shared" si="16"/>
        <v>9</v>
      </c>
      <c r="G237" s="4">
        <f t="shared" si="17"/>
        <v>2</v>
      </c>
      <c r="H237" s="6">
        <v>0.3258564814814815</v>
      </c>
      <c r="I237" s="22">
        <v>132.63533333333334</v>
      </c>
      <c r="J237" s="22">
        <v>35.672166666666669</v>
      </c>
      <c r="K237" s="27">
        <v>9.8469999999999995</v>
      </c>
      <c r="L237" s="27">
        <v>10</v>
      </c>
      <c r="M237" s="27">
        <v>0</v>
      </c>
      <c r="N237" s="21">
        <v>24.9543</v>
      </c>
      <c r="O237" s="24">
        <v>32.645800000000001</v>
      </c>
      <c r="P237" s="31">
        <v>-0.15405825411764695</v>
      </c>
      <c r="Q237" s="31">
        <v>-1.3264759705882359</v>
      </c>
      <c r="R237" s="26" t="s">
        <v>280</v>
      </c>
      <c r="S237" s="26">
        <v>1</v>
      </c>
      <c r="T237" s="71" t="s">
        <v>626</v>
      </c>
    </row>
    <row r="238" spans="1:20">
      <c r="A238" s="26" t="s">
        <v>141</v>
      </c>
      <c r="B238" s="26" t="s">
        <v>227</v>
      </c>
      <c r="C238" s="26" t="s">
        <v>515</v>
      </c>
      <c r="D238" s="25">
        <v>42615</v>
      </c>
      <c r="E238" s="1">
        <f t="shared" si="15"/>
        <v>2016</v>
      </c>
      <c r="F238" s="1">
        <f t="shared" si="16"/>
        <v>9</v>
      </c>
      <c r="G238" s="4">
        <f t="shared" si="17"/>
        <v>2</v>
      </c>
      <c r="H238" s="6">
        <v>0.3258564814814815</v>
      </c>
      <c r="I238" s="22">
        <v>132.63533333333334</v>
      </c>
      <c r="J238" s="22">
        <v>35.672166666666669</v>
      </c>
      <c r="K238" s="27">
        <v>20.503</v>
      </c>
      <c r="L238" s="27">
        <v>20</v>
      </c>
      <c r="M238" s="27">
        <v>0</v>
      </c>
      <c r="N238" s="21">
        <v>24.906199999999998</v>
      </c>
      <c r="O238" s="24">
        <v>32.643099999999997</v>
      </c>
      <c r="P238" s="31">
        <v>-0.18969910588235295</v>
      </c>
      <c r="Q238" s="31">
        <v>-1.3435194294117654</v>
      </c>
      <c r="R238" s="26" t="s">
        <v>280</v>
      </c>
      <c r="S238" s="26">
        <v>1</v>
      </c>
      <c r="T238" s="71" t="s">
        <v>626</v>
      </c>
    </row>
    <row r="239" spans="1:20">
      <c r="A239" s="26" t="s">
        <v>141</v>
      </c>
      <c r="B239" s="26" t="s">
        <v>227</v>
      </c>
      <c r="C239" s="26" t="s">
        <v>515</v>
      </c>
      <c r="D239" s="25">
        <v>42615</v>
      </c>
      <c r="E239" s="1">
        <f t="shared" si="15"/>
        <v>2016</v>
      </c>
      <c r="F239" s="1">
        <f t="shared" si="16"/>
        <v>9</v>
      </c>
      <c r="G239" s="4">
        <f t="shared" si="17"/>
        <v>2</v>
      </c>
      <c r="H239" s="6">
        <v>0.3258564814814815</v>
      </c>
      <c r="I239" s="22">
        <v>132.63533333333334</v>
      </c>
      <c r="J239" s="22">
        <v>35.672166666666669</v>
      </c>
      <c r="K239" s="27">
        <v>30.408000000000001</v>
      </c>
      <c r="L239" s="27">
        <v>30</v>
      </c>
      <c r="M239" s="27">
        <v>0</v>
      </c>
      <c r="N239" s="21">
        <v>24.875299999999999</v>
      </c>
      <c r="O239" s="24">
        <v>32.642499999999998</v>
      </c>
      <c r="P239" s="31">
        <v>-0.14178943764705876</v>
      </c>
      <c r="Q239" s="31">
        <v>-1.1297140882352936</v>
      </c>
      <c r="R239" s="26" t="s">
        <v>280</v>
      </c>
      <c r="S239" s="26">
        <v>1</v>
      </c>
      <c r="T239" s="71" t="s">
        <v>626</v>
      </c>
    </row>
    <row r="240" spans="1:20">
      <c r="A240" s="26" t="s">
        <v>141</v>
      </c>
      <c r="B240" s="26" t="s">
        <v>227</v>
      </c>
      <c r="C240" s="26" t="s">
        <v>515</v>
      </c>
      <c r="D240" s="25">
        <v>42615</v>
      </c>
      <c r="E240" s="1">
        <f t="shared" si="15"/>
        <v>2016</v>
      </c>
      <c r="F240" s="1">
        <f t="shared" si="16"/>
        <v>9</v>
      </c>
      <c r="G240" s="4">
        <f t="shared" si="17"/>
        <v>2</v>
      </c>
      <c r="H240" s="6">
        <v>0.3258564814814815</v>
      </c>
      <c r="I240" s="22">
        <v>132.63533333333334</v>
      </c>
      <c r="J240" s="22">
        <v>35.672166666666669</v>
      </c>
      <c r="K240" s="27">
        <v>49.808999999999997</v>
      </c>
      <c r="L240" s="27">
        <v>50</v>
      </c>
      <c r="M240" s="27">
        <v>0</v>
      </c>
      <c r="N240" s="21">
        <v>21.686499999999999</v>
      </c>
      <c r="O240" s="24">
        <v>34.127800000000001</v>
      </c>
      <c r="P240" s="31">
        <v>0.18782235058823504</v>
      </c>
      <c r="Q240" s="31">
        <v>1.1157962529411769</v>
      </c>
      <c r="R240" s="26" t="s">
        <v>280</v>
      </c>
      <c r="S240" s="26">
        <v>1</v>
      </c>
      <c r="T240" s="71" t="s">
        <v>626</v>
      </c>
    </row>
    <row r="241" spans="1:20">
      <c r="A241" s="26" t="s">
        <v>141</v>
      </c>
      <c r="B241" s="26" t="s">
        <v>227</v>
      </c>
      <c r="C241" s="26" t="s">
        <v>515</v>
      </c>
      <c r="D241" s="25">
        <v>42615</v>
      </c>
      <c r="E241" s="1">
        <f t="shared" si="15"/>
        <v>2016</v>
      </c>
      <c r="F241" s="1">
        <f t="shared" si="16"/>
        <v>9</v>
      </c>
      <c r="G241" s="4">
        <f t="shared" si="17"/>
        <v>2</v>
      </c>
      <c r="H241" s="6">
        <v>0.3258564814814815</v>
      </c>
      <c r="I241" s="22">
        <v>132.63533333333334</v>
      </c>
      <c r="J241" s="22">
        <v>35.672166666666669</v>
      </c>
      <c r="K241" s="27">
        <v>74.227000000000004</v>
      </c>
      <c r="L241" s="27">
        <v>75</v>
      </c>
      <c r="M241" s="27">
        <v>0</v>
      </c>
      <c r="N241" s="21">
        <v>18.193300000000001</v>
      </c>
      <c r="O241" s="24">
        <v>34.366500000000002</v>
      </c>
      <c r="P241" s="31">
        <v>0.17558958352941212</v>
      </c>
      <c r="Q241" s="31">
        <v>1.0874713176470596</v>
      </c>
      <c r="R241" s="26" t="s">
        <v>280</v>
      </c>
      <c r="S241" s="26">
        <v>1</v>
      </c>
      <c r="T241" s="71" t="s">
        <v>626</v>
      </c>
    </row>
    <row r="242" spans="1:20">
      <c r="A242" s="26" t="s">
        <v>141</v>
      </c>
      <c r="B242" s="26" t="s">
        <v>227</v>
      </c>
      <c r="C242" s="26" t="s">
        <v>515</v>
      </c>
      <c r="D242" s="25">
        <v>42615</v>
      </c>
      <c r="E242" s="1">
        <f t="shared" si="15"/>
        <v>2016</v>
      </c>
      <c r="F242" s="1">
        <f t="shared" si="16"/>
        <v>9</v>
      </c>
      <c r="G242" s="4">
        <f t="shared" si="17"/>
        <v>2</v>
      </c>
      <c r="H242" s="6">
        <v>0.3258564814814815</v>
      </c>
      <c r="I242" s="22">
        <v>132.63533333333334</v>
      </c>
      <c r="J242" s="22">
        <v>35.672166666666669</v>
      </c>
      <c r="K242" s="27">
        <v>99.956999999999994</v>
      </c>
      <c r="L242" s="27">
        <v>100</v>
      </c>
      <c r="M242" s="27">
        <v>0</v>
      </c>
      <c r="N242" s="21">
        <v>16.520800000000001</v>
      </c>
      <c r="O242" s="24">
        <v>34.207999999999998</v>
      </c>
      <c r="P242" s="31">
        <v>0.17283781176470625</v>
      </c>
      <c r="Q242" s="31">
        <v>0.836634558823528</v>
      </c>
      <c r="R242" s="26" t="s">
        <v>280</v>
      </c>
      <c r="S242" s="26">
        <v>1</v>
      </c>
      <c r="T242" s="71" t="s">
        <v>626</v>
      </c>
    </row>
    <row r="243" spans="1:20">
      <c r="A243" s="26" t="s">
        <v>141</v>
      </c>
      <c r="B243" s="26" t="s">
        <v>227</v>
      </c>
      <c r="C243" s="26" t="s">
        <v>515</v>
      </c>
      <c r="D243" s="25">
        <v>42615</v>
      </c>
      <c r="E243" s="1">
        <f t="shared" si="15"/>
        <v>2016</v>
      </c>
      <c r="F243" s="1">
        <f t="shared" si="16"/>
        <v>9</v>
      </c>
      <c r="G243" s="4">
        <f t="shared" si="17"/>
        <v>2</v>
      </c>
      <c r="H243" s="6">
        <v>0.3258564814814815</v>
      </c>
      <c r="I243" s="22">
        <v>132.63533333333334</v>
      </c>
      <c r="J243" s="22">
        <v>35.672166666666669</v>
      </c>
      <c r="K243" s="27">
        <v>119.32599999999999</v>
      </c>
      <c r="L243" s="27">
        <v>119</v>
      </c>
      <c r="M243" s="27">
        <v>0</v>
      </c>
      <c r="N243" s="21">
        <v>15.642799999999999</v>
      </c>
      <c r="O243" s="24">
        <v>34.394300000000001</v>
      </c>
      <c r="P243" s="31">
        <v>0.21890896000000071</v>
      </c>
      <c r="Q243" s="31">
        <v>1.2096392000000016</v>
      </c>
      <c r="R243" s="26" t="s">
        <v>280</v>
      </c>
      <c r="S243" s="26">
        <v>1</v>
      </c>
      <c r="T243" s="71" t="s">
        <v>626</v>
      </c>
    </row>
    <row r="244" spans="1:20">
      <c r="A244" s="26"/>
      <c r="B244" s="26"/>
      <c r="C244" s="26"/>
      <c r="D244" s="25"/>
      <c r="H244" s="6"/>
      <c r="I244" s="22"/>
      <c r="J244" s="22"/>
      <c r="K244" s="27"/>
      <c r="L244" s="27"/>
      <c r="M244" s="27"/>
      <c r="N244" s="21"/>
      <c r="O244" s="24"/>
      <c r="P244" s="31"/>
      <c r="Q244" s="31"/>
      <c r="R244" s="26"/>
      <c r="S244" s="26"/>
      <c r="T244" s="71"/>
    </row>
    <row r="245" spans="1:20">
      <c r="A245" s="26" t="s">
        <v>141</v>
      </c>
      <c r="B245" s="26" t="s">
        <v>228</v>
      </c>
      <c r="C245" s="26" t="s">
        <v>505</v>
      </c>
      <c r="D245" s="25">
        <v>42618</v>
      </c>
      <c r="E245" s="1">
        <f t="shared" si="15"/>
        <v>2016</v>
      </c>
      <c r="F245" s="1">
        <f t="shared" si="16"/>
        <v>9</v>
      </c>
      <c r="G245" s="4">
        <f t="shared" si="17"/>
        <v>5</v>
      </c>
      <c r="H245" s="6">
        <v>0.7003935185185185</v>
      </c>
      <c r="I245" s="22">
        <v>130.17683333333332</v>
      </c>
      <c r="J245" s="22">
        <v>34.5</v>
      </c>
      <c r="K245" s="27">
        <v>0</v>
      </c>
      <c r="L245" s="27">
        <v>0</v>
      </c>
      <c r="M245" s="27">
        <v>0</v>
      </c>
      <c r="N245" s="21">
        <v>25.1</v>
      </c>
      <c r="O245" s="24">
        <v>32.213365801636783</v>
      </c>
      <c r="P245" s="31">
        <v>-0.2851459317647056</v>
      </c>
      <c r="Q245" s="31">
        <v>-1.9723491588235298</v>
      </c>
      <c r="R245" s="26" t="s">
        <v>280</v>
      </c>
      <c r="S245" s="26">
        <v>1</v>
      </c>
      <c r="T245" s="71" t="s">
        <v>626</v>
      </c>
    </row>
    <row r="246" spans="1:20">
      <c r="A246" s="26" t="s">
        <v>141</v>
      </c>
      <c r="B246" s="26" t="s">
        <v>228</v>
      </c>
      <c r="C246" s="26" t="s">
        <v>504</v>
      </c>
      <c r="D246" s="25">
        <v>42618</v>
      </c>
      <c r="E246" s="1">
        <f t="shared" si="15"/>
        <v>2016</v>
      </c>
      <c r="F246" s="1">
        <f t="shared" si="16"/>
        <v>9</v>
      </c>
      <c r="G246" s="4">
        <f t="shared" si="17"/>
        <v>5</v>
      </c>
      <c r="H246" s="6">
        <v>0.7003935185185185</v>
      </c>
      <c r="I246" s="22">
        <v>130.17683333333332</v>
      </c>
      <c r="J246" s="22">
        <v>34.5</v>
      </c>
      <c r="K246" s="27">
        <v>10.009</v>
      </c>
      <c r="L246" s="27">
        <v>10</v>
      </c>
      <c r="M246" s="27">
        <v>0</v>
      </c>
      <c r="N246" s="21">
        <v>25.540199999999999</v>
      </c>
      <c r="O246" s="24">
        <v>32.236499999999999</v>
      </c>
      <c r="P246" s="31">
        <v>-0.22579658352941201</v>
      </c>
      <c r="Q246" s="31">
        <v>-1.708291017647058</v>
      </c>
      <c r="R246" s="26" t="s">
        <v>280</v>
      </c>
      <c r="S246" s="26">
        <v>1</v>
      </c>
      <c r="T246" s="71" t="s">
        <v>626</v>
      </c>
    </row>
    <row r="247" spans="1:20">
      <c r="A247" s="26" t="s">
        <v>141</v>
      </c>
      <c r="B247" s="26" t="s">
        <v>228</v>
      </c>
      <c r="C247" s="26" t="s">
        <v>504</v>
      </c>
      <c r="D247" s="25">
        <v>42618</v>
      </c>
      <c r="E247" s="1">
        <f t="shared" si="15"/>
        <v>2016</v>
      </c>
      <c r="F247" s="1">
        <f t="shared" si="16"/>
        <v>9</v>
      </c>
      <c r="G247" s="4">
        <f t="shared" si="17"/>
        <v>5</v>
      </c>
      <c r="H247" s="6">
        <v>0.7003935185185185</v>
      </c>
      <c r="I247" s="22">
        <v>130.17683333333332</v>
      </c>
      <c r="J247" s="22">
        <v>34.5</v>
      </c>
      <c r="K247" s="27">
        <v>20.206</v>
      </c>
      <c r="L247" s="27">
        <v>20</v>
      </c>
      <c r="M247" s="27">
        <v>0</v>
      </c>
      <c r="N247" s="21">
        <v>25.502199999999998</v>
      </c>
      <c r="O247" s="24">
        <v>32.380800000000001</v>
      </c>
      <c r="P247" s="31">
        <v>-0.17747835529411748</v>
      </c>
      <c r="Q247" s="31">
        <v>-1.4214620764705881</v>
      </c>
      <c r="R247" s="26" t="s">
        <v>280</v>
      </c>
      <c r="S247" s="26">
        <v>1</v>
      </c>
      <c r="T247" s="71" t="s">
        <v>626</v>
      </c>
    </row>
    <row r="248" spans="1:20">
      <c r="A248" s="26" t="s">
        <v>141</v>
      </c>
      <c r="B248" s="26" t="s">
        <v>228</v>
      </c>
      <c r="C248" s="26" t="s">
        <v>504</v>
      </c>
      <c r="D248" s="25">
        <v>42618</v>
      </c>
      <c r="E248" s="1">
        <f t="shared" si="15"/>
        <v>2016</v>
      </c>
      <c r="F248" s="1">
        <f t="shared" si="16"/>
        <v>9</v>
      </c>
      <c r="G248" s="4">
        <f t="shared" si="17"/>
        <v>5</v>
      </c>
      <c r="H248" s="6">
        <v>0.7003935185185185</v>
      </c>
      <c r="I248" s="22">
        <v>130.17683333333332</v>
      </c>
      <c r="J248" s="22">
        <v>34.5</v>
      </c>
      <c r="K248" s="27">
        <v>30.285</v>
      </c>
      <c r="L248" s="27">
        <v>30</v>
      </c>
      <c r="M248" s="27">
        <v>0</v>
      </c>
      <c r="N248" s="21">
        <v>22.8779</v>
      </c>
      <c r="O248" s="24">
        <v>33.145699999999998</v>
      </c>
      <c r="P248" s="31">
        <v>3.6919512941176791E-2</v>
      </c>
      <c r="Q248" s="31">
        <v>2.4125764705882347E-2</v>
      </c>
      <c r="R248" s="26" t="s">
        <v>280</v>
      </c>
      <c r="S248" s="26">
        <v>1</v>
      </c>
      <c r="T248" s="71" t="s">
        <v>626</v>
      </c>
    </row>
    <row r="249" spans="1:20">
      <c r="A249" s="26" t="s">
        <v>141</v>
      </c>
      <c r="B249" s="26" t="s">
        <v>228</v>
      </c>
      <c r="C249" s="26" t="s">
        <v>504</v>
      </c>
      <c r="D249" s="25">
        <v>42618</v>
      </c>
      <c r="E249" s="1">
        <f t="shared" si="15"/>
        <v>2016</v>
      </c>
      <c r="F249" s="1">
        <f t="shared" si="16"/>
        <v>9</v>
      </c>
      <c r="G249" s="4">
        <f t="shared" si="17"/>
        <v>5</v>
      </c>
      <c r="H249" s="6">
        <v>0.7003935185185185</v>
      </c>
      <c r="I249" s="22">
        <v>130.17683333333332</v>
      </c>
      <c r="J249" s="22">
        <v>34.5</v>
      </c>
      <c r="K249" s="27">
        <v>50.45</v>
      </c>
      <c r="L249" s="27">
        <v>50</v>
      </c>
      <c r="M249" s="27">
        <v>0</v>
      </c>
      <c r="N249" s="21">
        <v>20.2499</v>
      </c>
      <c r="O249" s="24">
        <v>34.289400000000001</v>
      </c>
      <c r="P249" s="31">
        <v>0.22843802117647094</v>
      </c>
      <c r="Q249" s="31">
        <v>1.1676079058823525</v>
      </c>
      <c r="R249" s="26" t="s">
        <v>280</v>
      </c>
      <c r="S249" s="26">
        <v>1</v>
      </c>
      <c r="T249" s="71" t="s">
        <v>626</v>
      </c>
    </row>
    <row r="250" spans="1:20">
      <c r="A250" s="26" t="s">
        <v>141</v>
      </c>
      <c r="B250" s="26" t="s">
        <v>228</v>
      </c>
      <c r="C250" s="26" t="s">
        <v>504</v>
      </c>
      <c r="D250" s="25">
        <v>42618</v>
      </c>
      <c r="E250" s="1">
        <f t="shared" si="15"/>
        <v>2016</v>
      </c>
      <c r="F250" s="1">
        <f t="shared" si="16"/>
        <v>9</v>
      </c>
      <c r="G250" s="4">
        <f t="shared" si="17"/>
        <v>5</v>
      </c>
      <c r="H250" s="6">
        <v>0.7003935185185185</v>
      </c>
      <c r="I250" s="22">
        <v>130.17683333333332</v>
      </c>
      <c r="J250" s="22">
        <v>34.5</v>
      </c>
      <c r="K250" s="27">
        <v>75.156000000000006</v>
      </c>
      <c r="L250" s="27">
        <v>75</v>
      </c>
      <c r="M250" s="27">
        <v>0</v>
      </c>
      <c r="N250" s="21">
        <v>17.309699999999999</v>
      </c>
      <c r="O250" s="24">
        <v>34.240200000000002</v>
      </c>
      <c r="P250" s="31">
        <v>0.20101803294117659</v>
      </c>
      <c r="Q250" s="31">
        <v>0.99701317647058829</v>
      </c>
      <c r="R250" s="26" t="s">
        <v>280</v>
      </c>
      <c r="S250" s="26">
        <v>1</v>
      </c>
      <c r="T250" s="71" t="s">
        <v>626</v>
      </c>
    </row>
    <row r="251" spans="1:20">
      <c r="A251" s="26" t="s">
        <v>141</v>
      </c>
      <c r="B251" s="26" t="s">
        <v>228</v>
      </c>
      <c r="C251" s="26" t="s">
        <v>504</v>
      </c>
      <c r="D251" s="25">
        <v>42618</v>
      </c>
      <c r="E251" s="1">
        <f t="shared" si="15"/>
        <v>2016</v>
      </c>
      <c r="F251" s="1">
        <f t="shared" si="16"/>
        <v>9</v>
      </c>
      <c r="G251" s="4">
        <f t="shared" si="17"/>
        <v>5</v>
      </c>
      <c r="H251" s="6">
        <v>0.7003935185185185</v>
      </c>
      <c r="I251" s="22">
        <v>130.17683333333332</v>
      </c>
      <c r="J251" s="22">
        <v>34.5</v>
      </c>
      <c r="K251" s="27">
        <v>100.054</v>
      </c>
      <c r="L251" s="27">
        <v>100</v>
      </c>
      <c r="M251" s="27">
        <v>0</v>
      </c>
      <c r="N251" s="21">
        <v>16.476800000000001</v>
      </c>
      <c r="O251" s="24">
        <v>34.342300000000002</v>
      </c>
      <c r="P251" s="31">
        <v>0.18390270352941185</v>
      </c>
      <c r="Q251" s="31">
        <v>1.1005934117647076</v>
      </c>
      <c r="R251" s="26" t="s">
        <v>280</v>
      </c>
      <c r="S251" s="26">
        <v>1</v>
      </c>
      <c r="T251" s="71" t="s">
        <v>626</v>
      </c>
    </row>
    <row r="252" spans="1:20">
      <c r="A252" s="26" t="s">
        <v>141</v>
      </c>
      <c r="B252" s="26" t="s">
        <v>228</v>
      </c>
      <c r="C252" s="26" t="s">
        <v>504</v>
      </c>
      <c r="D252" s="25">
        <v>42618</v>
      </c>
      <c r="E252" s="1">
        <f t="shared" si="15"/>
        <v>2016</v>
      </c>
      <c r="F252" s="1">
        <f t="shared" si="16"/>
        <v>9</v>
      </c>
      <c r="G252" s="4">
        <f t="shared" si="17"/>
        <v>5</v>
      </c>
      <c r="H252" s="6">
        <v>0.7003935185185185</v>
      </c>
      <c r="I252" s="22">
        <v>130.17683333333332</v>
      </c>
      <c r="J252" s="22">
        <v>34.5</v>
      </c>
      <c r="K252" s="27">
        <v>108.684</v>
      </c>
      <c r="L252" s="27">
        <v>109</v>
      </c>
      <c r="M252" s="27">
        <v>0</v>
      </c>
      <c r="N252" s="21">
        <v>16.478400000000001</v>
      </c>
      <c r="O252" s="24">
        <v>34.343000000000004</v>
      </c>
      <c r="P252" s="31">
        <v>0.20693385411764686</v>
      </c>
      <c r="Q252" s="31">
        <v>1.1843776470588221</v>
      </c>
      <c r="R252" s="26" t="s">
        <v>280</v>
      </c>
      <c r="S252" s="26">
        <v>1</v>
      </c>
      <c r="T252" s="71" t="s">
        <v>626</v>
      </c>
    </row>
    <row r="253" spans="1:20">
      <c r="A253" s="26"/>
      <c r="B253" s="26"/>
      <c r="C253" s="26"/>
      <c r="D253" s="25"/>
      <c r="H253" s="6"/>
      <c r="I253" s="22"/>
      <c r="J253" s="22"/>
      <c r="K253" s="27"/>
      <c r="L253" s="27"/>
      <c r="M253" s="27"/>
      <c r="N253" s="21"/>
      <c r="O253" s="24"/>
      <c r="P253" s="31"/>
      <c r="Q253" s="31"/>
      <c r="R253" s="26"/>
      <c r="S253" s="26"/>
      <c r="T253" s="71"/>
    </row>
    <row r="254" spans="1:20">
      <c r="A254" s="26" t="s">
        <v>141</v>
      </c>
      <c r="B254" s="26" t="s">
        <v>115</v>
      </c>
      <c r="C254" s="26" t="s">
        <v>504</v>
      </c>
      <c r="D254" s="25">
        <v>42618</v>
      </c>
      <c r="E254" s="1">
        <f t="shared" si="15"/>
        <v>2016</v>
      </c>
      <c r="F254" s="1">
        <f t="shared" si="16"/>
        <v>9</v>
      </c>
      <c r="G254" s="4">
        <f t="shared" si="17"/>
        <v>5</v>
      </c>
      <c r="H254" s="6">
        <v>0.7794444444444445</v>
      </c>
      <c r="I254" s="22">
        <v>130.07833333333335</v>
      </c>
      <c r="J254" s="22">
        <v>34.667833333333334</v>
      </c>
      <c r="K254" s="27">
        <v>0</v>
      </c>
      <c r="L254" s="27">
        <v>0</v>
      </c>
      <c r="M254" s="27">
        <v>0</v>
      </c>
      <c r="N254" s="21">
        <v>26.7</v>
      </c>
      <c r="O254" s="24">
        <v>31.869091242164835</v>
      </c>
      <c r="P254" s="31">
        <v>-0.30369931529411764</v>
      </c>
      <c r="Q254" s="31">
        <v>-2.2165221176470586</v>
      </c>
      <c r="R254" s="26" t="s">
        <v>280</v>
      </c>
      <c r="S254" s="26">
        <v>1</v>
      </c>
      <c r="T254" s="71" t="s">
        <v>626</v>
      </c>
    </row>
    <row r="255" spans="1:20">
      <c r="A255" s="26" t="s">
        <v>141</v>
      </c>
      <c r="B255" s="26" t="s">
        <v>115</v>
      </c>
      <c r="C255" s="26" t="s">
        <v>504</v>
      </c>
      <c r="D255" s="25">
        <v>42618</v>
      </c>
      <c r="E255" s="1">
        <f t="shared" si="15"/>
        <v>2016</v>
      </c>
      <c r="F255" s="1">
        <f t="shared" si="16"/>
        <v>9</v>
      </c>
      <c r="G255" s="4">
        <f t="shared" si="17"/>
        <v>5</v>
      </c>
      <c r="H255" s="6">
        <v>0.7794444444444445</v>
      </c>
      <c r="I255" s="22">
        <v>130.07833333333335</v>
      </c>
      <c r="J255" s="22">
        <v>34.667833333333334</v>
      </c>
      <c r="K255" s="27">
        <v>10.419</v>
      </c>
      <c r="L255" s="27">
        <v>10</v>
      </c>
      <c r="M255" s="27">
        <v>0</v>
      </c>
      <c r="N255" s="21">
        <v>25.088799999999999</v>
      </c>
      <c r="O255" s="24">
        <v>31.917400000000001</v>
      </c>
      <c r="P255" s="31">
        <v>-0.23768304470588242</v>
      </c>
      <c r="Q255" s="31">
        <v>-1.8506938823529415</v>
      </c>
      <c r="R255" s="26" t="s">
        <v>280</v>
      </c>
      <c r="S255" s="26">
        <v>1</v>
      </c>
      <c r="T255" s="71" t="s">
        <v>626</v>
      </c>
    </row>
    <row r="256" spans="1:20">
      <c r="A256" s="26" t="s">
        <v>141</v>
      </c>
      <c r="B256" s="26" t="s">
        <v>115</v>
      </c>
      <c r="C256" s="26" t="s">
        <v>504</v>
      </c>
      <c r="D256" s="25">
        <v>42618</v>
      </c>
      <c r="E256" s="1">
        <f t="shared" si="15"/>
        <v>2016</v>
      </c>
      <c r="F256" s="1">
        <f t="shared" si="16"/>
        <v>9</v>
      </c>
      <c r="G256" s="4">
        <f t="shared" si="17"/>
        <v>5</v>
      </c>
      <c r="H256" s="6">
        <v>0.7794444444444445</v>
      </c>
      <c r="I256" s="22">
        <v>130.07833333333335</v>
      </c>
      <c r="J256" s="22">
        <v>34.667833333333334</v>
      </c>
      <c r="K256" s="27">
        <v>20.437999999999999</v>
      </c>
      <c r="L256" s="27">
        <v>20</v>
      </c>
      <c r="M256" s="27">
        <v>0</v>
      </c>
      <c r="N256" s="21">
        <v>24.706700000000001</v>
      </c>
      <c r="O256" s="24">
        <v>32.246400000000001</v>
      </c>
      <c r="P256" s="31">
        <v>-0.24101069411764708</v>
      </c>
      <c r="Q256" s="31">
        <v>-1.7782776470588244</v>
      </c>
      <c r="R256" s="26" t="s">
        <v>280</v>
      </c>
      <c r="S256" s="26">
        <v>1</v>
      </c>
      <c r="T256" s="71" t="s">
        <v>626</v>
      </c>
    </row>
    <row r="257" spans="1:20">
      <c r="A257" s="26" t="s">
        <v>141</v>
      </c>
      <c r="B257" s="26" t="s">
        <v>115</v>
      </c>
      <c r="C257" s="26" t="s">
        <v>504</v>
      </c>
      <c r="D257" s="25">
        <v>42618</v>
      </c>
      <c r="E257" s="1">
        <f t="shared" si="15"/>
        <v>2016</v>
      </c>
      <c r="F257" s="1">
        <f t="shared" si="16"/>
        <v>9</v>
      </c>
      <c r="G257" s="4">
        <f t="shared" si="17"/>
        <v>5</v>
      </c>
      <c r="H257" s="6">
        <v>0.7794444444444445</v>
      </c>
      <c r="I257" s="22">
        <v>130.07833333333335</v>
      </c>
      <c r="J257" s="22">
        <v>34.667833333333334</v>
      </c>
      <c r="K257" s="27">
        <v>30.050999999999998</v>
      </c>
      <c r="L257" s="27">
        <v>30</v>
      </c>
      <c r="M257" s="27">
        <v>0</v>
      </c>
      <c r="N257" s="21">
        <v>21.524899999999999</v>
      </c>
      <c r="O257" s="24">
        <v>33.215800000000002</v>
      </c>
      <c r="P257" s="31">
        <v>7.9849647058849449E-4</v>
      </c>
      <c r="Q257" s="31">
        <v>3.4030588235292925E-2</v>
      </c>
      <c r="R257" s="26" t="s">
        <v>280</v>
      </c>
      <c r="S257" s="26">
        <v>1</v>
      </c>
      <c r="T257" s="71" t="s">
        <v>626</v>
      </c>
    </row>
    <row r="258" spans="1:20">
      <c r="A258" s="26" t="s">
        <v>141</v>
      </c>
      <c r="B258" s="26" t="s">
        <v>115</v>
      </c>
      <c r="C258" s="26" t="s">
        <v>504</v>
      </c>
      <c r="D258" s="25">
        <v>42618</v>
      </c>
      <c r="E258" s="1">
        <f t="shared" si="15"/>
        <v>2016</v>
      </c>
      <c r="F258" s="1">
        <f t="shared" si="16"/>
        <v>9</v>
      </c>
      <c r="G258" s="4">
        <f t="shared" si="17"/>
        <v>5</v>
      </c>
      <c r="H258" s="6">
        <v>0.7794444444444445</v>
      </c>
      <c r="I258" s="22">
        <v>130.07833333333335</v>
      </c>
      <c r="J258" s="22">
        <v>34.667833333333334</v>
      </c>
      <c r="K258" s="27">
        <v>50.027999999999999</v>
      </c>
      <c r="L258" s="27">
        <v>50</v>
      </c>
      <c r="M258" s="27">
        <v>0</v>
      </c>
      <c r="N258" s="21">
        <v>19.593</v>
      </c>
      <c r="O258" s="24">
        <v>34.4069</v>
      </c>
      <c r="P258" s="31">
        <v>0.23404405882352997</v>
      </c>
      <c r="Q258" s="31">
        <v>1.2735115294117652</v>
      </c>
      <c r="R258" s="26" t="s">
        <v>280</v>
      </c>
      <c r="S258" s="26">
        <v>1</v>
      </c>
      <c r="T258" s="71" t="s">
        <v>626</v>
      </c>
    </row>
    <row r="259" spans="1:20">
      <c r="A259" s="26" t="s">
        <v>141</v>
      </c>
      <c r="B259" s="26" t="s">
        <v>115</v>
      </c>
      <c r="C259" s="26" t="s">
        <v>504</v>
      </c>
      <c r="D259" s="25">
        <v>42618</v>
      </c>
      <c r="E259" s="1">
        <f t="shared" si="15"/>
        <v>2016</v>
      </c>
      <c r="F259" s="1">
        <f t="shared" si="16"/>
        <v>9</v>
      </c>
      <c r="G259" s="4">
        <f t="shared" si="17"/>
        <v>5</v>
      </c>
      <c r="H259" s="6">
        <v>0.7794444444444445</v>
      </c>
      <c r="I259" s="22">
        <v>130.07833333333335</v>
      </c>
      <c r="J259" s="22">
        <v>34.667833333333334</v>
      </c>
      <c r="K259" s="27">
        <v>99.840999999999994</v>
      </c>
      <c r="L259" s="27">
        <v>100</v>
      </c>
      <c r="M259" s="27">
        <v>0</v>
      </c>
      <c r="N259" s="21">
        <v>16.510000000000002</v>
      </c>
      <c r="O259" s="24">
        <v>34.438299999999998</v>
      </c>
      <c r="P259" s="31">
        <v>0.19210852000000012</v>
      </c>
      <c r="Q259" s="31">
        <v>1.2276360000000004</v>
      </c>
      <c r="R259" s="26" t="s">
        <v>280</v>
      </c>
      <c r="S259" s="26">
        <v>1</v>
      </c>
      <c r="T259" s="71" t="s">
        <v>626</v>
      </c>
    </row>
    <row r="260" spans="1:20">
      <c r="A260" s="26" t="s">
        <v>141</v>
      </c>
      <c r="B260" s="26" t="s">
        <v>115</v>
      </c>
      <c r="C260" s="26" t="s">
        <v>504</v>
      </c>
      <c r="D260" s="25">
        <v>42618</v>
      </c>
      <c r="E260" s="1">
        <f t="shared" si="15"/>
        <v>2016</v>
      </c>
      <c r="F260" s="1">
        <f t="shared" si="16"/>
        <v>9</v>
      </c>
      <c r="G260" s="4">
        <f t="shared" si="17"/>
        <v>5</v>
      </c>
      <c r="H260" s="6">
        <v>0.7794444444444445</v>
      </c>
      <c r="I260" s="22">
        <v>130.07833333333335</v>
      </c>
      <c r="J260" s="22">
        <v>34.667833333333334</v>
      </c>
      <c r="K260" s="27">
        <v>113.55500000000001</v>
      </c>
      <c r="L260" s="27">
        <v>114</v>
      </c>
      <c r="M260" s="27">
        <v>0</v>
      </c>
      <c r="N260" s="21">
        <v>16.458300000000001</v>
      </c>
      <c r="O260" s="24">
        <v>34.434399999999997</v>
      </c>
      <c r="P260" s="31">
        <v>-2.3508849411764565E-2</v>
      </c>
      <c r="Q260" s="31">
        <v>-0.93199576470588053</v>
      </c>
      <c r="R260" s="26" t="s">
        <v>280</v>
      </c>
      <c r="S260" s="26">
        <v>1</v>
      </c>
      <c r="T260" s="71" t="s">
        <v>626</v>
      </c>
    </row>
    <row r="261" spans="1:20">
      <c r="A261" s="26"/>
      <c r="B261" s="26"/>
      <c r="C261" s="26"/>
      <c r="D261" s="25"/>
      <c r="H261" s="6"/>
      <c r="I261" s="22"/>
      <c r="J261" s="22"/>
      <c r="K261" s="27"/>
      <c r="L261" s="27"/>
      <c r="M261" s="27"/>
      <c r="N261" s="21"/>
      <c r="O261" s="24"/>
      <c r="P261" s="31"/>
      <c r="Q261" s="31"/>
      <c r="R261" s="26"/>
      <c r="S261" s="26"/>
      <c r="T261" s="71"/>
    </row>
    <row r="262" spans="1:20">
      <c r="A262" s="26" t="s">
        <v>141</v>
      </c>
      <c r="B262" s="26" t="s">
        <v>229</v>
      </c>
      <c r="C262" s="26" t="s">
        <v>504</v>
      </c>
      <c r="D262" s="25">
        <v>42619</v>
      </c>
      <c r="E262" s="1">
        <f t="shared" si="15"/>
        <v>2016</v>
      </c>
      <c r="F262" s="1">
        <f t="shared" si="16"/>
        <v>9</v>
      </c>
      <c r="G262" s="4">
        <f t="shared" si="17"/>
        <v>6</v>
      </c>
      <c r="H262" s="6">
        <v>2.0520833333333332E-2</v>
      </c>
      <c r="I262" s="22">
        <v>130.41266666666667</v>
      </c>
      <c r="J262" s="22">
        <v>34.704833333333333</v>
      </c>
      <c r="K262" s="27">
        <v>10.298999999999999</v>
      </c>
      <c r="L262" s="27">
        <v>10</v>
      </c>
      <c r="M262" s="27">
        <v>0</v>
      </c>
      <c r="N262" s="21">
        <v>25.0124</v>
      </c>
      <c r="O262" s="24">
        <v>31.648800000000001</v>
      </c>
      <c r="P262" s="31">
        <v>-0.4692588188235296</v>
      </c>
      <c r="Q262" s="31">
        <v>-2.9009195294117642</v>
      </c>
      <c r="R262" s="26" t="s">
        <v>280</v>
      </c>
      <c r="S262" s="26">
        <v>1</v>
      </c>
      <c r="T262" s="71" t="s">
        <v>626</v>
      </c>
    </row>
    <row r="263" spans="1:20">
      <c r="A263" s="26" t="s">
        <v>141</v>
      </c>
      <c r="B263" s="26" t="s">
        <v>229</v>
      </c>
      <c r="C263" s="26" t="s">
        <v>504</v>
      </c>
      <c r="D263" s="25">
        <v>42619</v>
      </c>
      <c r="E263" s="1">
        <f t="shared" si="15"/>
        <v>2016</v>
      </c>
      <c r="F263" s="1">
        <f t="shared" si="16"/>
        <v>9</v>
      </c>
      <c r="G263" s="4">
        <f t="shared" si="17"/>
        <v>6</v>
      </c>
      <c r="H263" s="6">
        <v>2.0520833333333332E-2</v>
      </c>
      <c r="I263" s="22">
        <v>130.41266666666667</v>
      </c>
      <c r="J263" s="22">
        <v>34.704833333333333</v>
      </c>
      <c r="K263" s="27">
        <v>20.245000000000001</v>
      </c>
      <c r="L263" s="27">
        <v>20</v>
      </c>
      <c r="M263" s="27">
        <v>0</v>
      </c>
      <c r="N263" s="21">
        <v>24.954899999999999</v>
      </c>
      <c r="O263" s="24">
        <v>31.795300000000001</v>
      </c>
      <c r="P263" s="31">
        <v>-0.29456318823529415</v>
      </c>
      <c r="Q263" s="31">
        <v>-2.4047512941176468</v>
      </c>
      <c r="R263" s="26" t="s">
        <v>280</v>
      </c>
      <c r="S263" s="26">
        <v>1</v>
      </c>
      <c r="T263" s="71" t="s">
        <v>626</v>
      </c>
    </row>
    <row r="264" spans="1:20">
      <c r="A264" s="26" t="s">
        <v>141</v>
      </c>
      <c r="B264" s="26" t="s">
        <v>229</v>
      </c>
      <c r="C264" s="26" t="s">
        <v>504</v>
      </c>
      <c r="D264" s="25">
        <v>42619</v>
      </c>
      <c r="E264" s="1">
        <f t="shared" si="15"/>
        <v>2016</v>
      </c>
      <c r="F264" s="1">
        <f t="shared" si="16"/>
        <v>9</v>
      </c>
      <c r="G264" s="4">
        <f t="shared" si="17"/>
        <v>6</v>
      </c>
      <c r="H264" s="6">
        <v>2.0520833333333332E-2</v>
      </c>
      <c r="I264" s="22">
        <v>130.41266666666667</v>
      </c>
      <c r="J264" s="22">
        <v>34.704833333333333</v>
      </c>
      <c r="K264" s="27">
        <v>30.51</v>
      </c>
      <c r="L264" s="27">
        <v>30</v>
      </c>
      <c r="M264" s="27">
        <v>0</v>
      </c>
      <c r="N264" s="21">
        <v>25.352</v>
      </c>
      <c r="O264" s="24">
        <v>32.721600000000002</v>
      </c>
      <c r="P264" s="31">
        <v>1.2129202352941126E-2</v>
      </c>
      <c r="Q264" s="31">
        <v>-4.2271058823528662E-2</v>
      </c>
      <c r="R264" s="26" t="s">
        <v>280</v>
      </c>
      <c r="S264" s="26">
        <v>1</v>
      </c>
      <c r="T264" s="71" t="s">
        <v>626</v>
      </c>
    </row>
    <row r="265" spans="1:20">
      <c r="A265" s="26" t="s">
        <v>141</v>
      </c>
      <c r="B265" s="26" t="s">
        <v>229</v>
      </c>
      <c r="C265" s="26" t="s">
        <v>504</v>
      </c>
      <c r="D265" s="25">
        <v>42619</v>
      </c>
      <c r="E265" s="1">
        <f t="shared" si="15"/>
        <v>2016</v>
      </c>
      <c r="F265" s="1">
        <f t="shared" si="16"/>
        <v>9</v>
      </c>
      <c r="G265" s="4">
        <f t="shared" si="17"/>
        <v>6</v>
      </c>
      <c r="H265" s="6">
        <v>2.0520833333333332E-2</v>
      </c>
      <c r="I265" s="22">
        <v>130.41266666666667</v>
      </c>
      <c r="J265" s="22">
        <v>34.704833333333333</v>
      </c>
      <c r="K265" s="27">
        <v>49.8</v>
      </c>
      <c r="L265" s="27">
        <v>50</v>
      </c>
      <c r="M265" s="27">
        <v>0</v>
      </c>
      <c r="N265" s="21">
        <v>21.714400000000001</v>
      </c>
      <c r="O265" s="24">
        <v>34.165300000000002</v>
      </c>
      <c r="P265" s="31">
        <v>0.15620807294117633</v>
      </c>
      <c r="Q265" s="31">
        <v>0.77396517647058793</v>
      </c>
      <c r="R265" s="26" t="s">
        <v>280</v>
      </c>
      <c r="S265" s="26">
        <v>1</v>
      </c>
      <c r="T265" s="71" t="s">
        <v>626</v>
      </c>
    </row>
    <row r="266" spans="1:20">
      <c r="A266" s="26" t="s">
        <v>141</v>
      </c>
      <c r="B266" s="26" t="s">
        <v>229</v>
      </c>
      <c r="C266" s="26" t="s">
        <v>504</v>
      </c>
      <c r="D266" s="25">
        <v>42619</v>
      </c>
      <c r="E266" s="1">
        <f t="shared" si="15"/>
        <v>2016</v>
      </c>
      <c r="F266" s="1">
        <f t="shared" si="16"/>
        <v>9</v>
      </c>
      <c r="G266" s="4">
        <f t="shared" si="17"/>
        <v>6</v>
      </c>
      <c r="H266" s="6">
        <v>2.0520833333333332E-2</v>
      </c>
      <c r="I266" s="22">
        <v>130.41266666666667</v>
      </c>
      <c r="J266" s="22">
        <v>34.704833333333333</v>
      </c>
      <c r="K266" s="27">
        <v>99.745000000000005</v>
      </c>
      <c r="L266" s="27">
        <v>100</v>
      </c>
      <c r="M266" s="27">
        <v>0</v>
      </c>
      <c r="N266" s="21">
        <v>16.158000000000001</v>
      </c>
      <c r="O266" s="24">
        <v>34.277900000000002</v>
      </c>
      <c r="P266" s="31">
        <v>0.17900374705882371</v>
      </c>
      <c r="Q266" s="31">
        <v>1.0391225200000012</v>
      </c>
      <c r="R266" s="26" t="s">
        <v>280</v>
      </c>
      <c r="S266" s="26">
        <v>1</v>
      </c>
      <c r="T266" s="71" t="s">
        <v>626</v>
      </c>
    </row>
    <row r="267" spans="1:20">
      <c r="A267" s="26" t="s">
        <v>141</v>
      </c>
      <c r="B267" s="26" t="s">
        <v>229</v>
      </c>
      <c r="C267" s="26" t="s">
        <v>504</v>
      </c>
      <c r="D267" s="25">
        <v>42619</v>
      </c>
      <c r="E267" s="1">
        <f t="shared" si="15"/>
        <v>2016</v>
      </c>
      <c r="F267" s="1">
        <f t="shared" si="16"/>
        <v>9</v>
      </c>
      <c r="G267" s="4">
        <f t="shared" si="17"/>
        <v>6</v>
      </c>
      <c r="H267" s="6">
        <v>2.0520833333333332E-2</v>
      </c>
      <c r="I267" s="22">
        <v>130.41266666666667</v>
      </c>
      <c r="J267" s="22">
        <v>34.704833333333333</v>
      </c>
      <c r="K267" s="27">
        <v>119.322</v>
      </c>
      <c r="L267" s="27">
        <v>119</v>
      </c>
      <c r="M267" s="27">
        <v>0</v>
      </c>
      <c r="N267" s="21">
        <v>15.534700000000001</v>
      </c>
      <c r="O267" s="24">
        <v>34.315100000000001</v>
      </c>
      <c r="P267" s="31">
        <v>0.17966497647058821</v>
      </c>
      <c r="Q267" s="31">
        <v>0.99236247999999883</v>
      </c>
      <c r="R267" s="26" t="s">
        <v>280</v>
      </c>
      <c r="S267" s="26">
        <v>1</v>
      </c>
      <c r="T267" s="71" t="s">
        <v>626</v>
      </c>
    </row>
    <row r="268" spans="1:20">
      <c r="A268" s="26"/>
      <c r="B268" s="26"/>
      <c r="C268" s="26"/>
      <c r="D268" s="25"/>
      <c r="H268" s="6"/>
      <c r="I268" s="22"/>
      <c r="J268" s="22"/>
      <c r="K268" s="27"/>
      <c r="L268" s="27"/>
      <c r="M268" s="27"/>
      <c r="N268" s="21"/>
      <c r="O268" s="24"/>
      <c r="P268" s="31"/>
      <c r="Q268" s="31"/>
      <c r="R268" s="26"/>
      <c r="S268" s="26"/>
      <c r="T268" s="71"/>
    </row>
    <row r="269" spans="1:20">
      <c r="A269" s="26" t="s">
        <v>141</v>
      </c>
      <c r="B269" s="26" t="s">
        <v>230</v>
      </c>
      <c r="C269" s="26" t="s">
        <v>504</v>
      </c>
      <c r="D269" s="25">
        <v>42619</v>
      </c>
      <c r="E269" s="1">
        <f t="shared" si="15"/>
        <v>2016</v>
      </c>
      <c r="F269" s="1">
        <f t="shared" si="16"/>
        <v>9</v>
      </c>
      <c r="G269" s="4">
        <f t="shared" si="17"/>
        <v>6</v>
      </c>
      <c r="H269" s="6">
        <v>0.65913194444444445</v>
      </c>
      <c r="I269" s="22">
        <v>130.49066666666667</v>
      </c>
      <c r="J269" s="22">
        <v>34.836500000000001</v>
      </c>
      <c r="K269" s="27">
        <v>0</v>
      </c>
      <c r="L269" s="27">
        <v>0</v>
      </c>
      <c r="M269" s="27">
        <v>0</v>
      </c>
      <c r="N269" s="21">
        <v>25</v>
      </c>
      <c r="O269" s="24">
        <v>31.76742570913742</v>
      </c>
      <c r="P269" s="31">
        <v>-0.37967499411764716</v>
      </c>
      <c r="Q269" s="31">
        <v>-2.5925623399999989</v>
      </c>
      <c r="R269" s="26" t="s">
        <v>280</v>
      </c>
      <c r="S269" s="26">
        <v>1</v>
      </c>
      <c r="T269" s="71" t="s">
        <v>626</v>
      </c>
    </row>
    <row r="270" spans="1:20">
      <c r="A270" s="26" t="s">
        <v>141</v>
      </c>
      <c r="B270" s="26" t="s">
        <v>230</v>
      </c>
      <c r="C270" s="26" t="s">
        <v>504</v>
      </c>
      <c r="D270" s="25">
        <v>42619</v>
      </c>
      <c r="E270" s="1">
        <f t="shared" si="15"/>
        <v>2016</v>
      </c>
      <c r="F270" s="1">
        <f t="shared" si="16"/>
        <v>9</v>
      </c>
      <c r="G270" s="4">
        <f t="shared" si="17"/>
        <v>6</v>
      </c>
      <c r="H270" s="6">
        <v>0.65913194444444445</v>
      </c>
      <c r="I270" s="22">
        <v>130.49066666666667</v>
      </c>
      <c r="J270" s="22">
        <v>34.836500000000001</v>
      </c>
      <c r="K270" s="27">
        <v>9.9469999999999992</v>
      </c>
      <c r="L270" s="27">
        <v>10</v>
      </c>
      <c r="M270" s="27">
        <v>0</v>
      </c>
      <c r="N270" s="21">
        <v>25.106000000000002</v>
      </c>
      <c r="O270" s="24">
        <v>31.750900000000001</v>
      </c>
      <c r="P270" s="31">
        <v>-0.30645886470588213</v>
      </c>
      <c r="Q270" s="31">
        <v>-2.2457992399999993</v>
      </c>
      <c r="R270" s="26" t="s">
        <v>280</v>
      </c>
      <c r="S270" s="26">
        <v>1</v>
      </c>
      <c r="T270" s="71" t="s">
        <v>626</v>
      </c>
    </row>
    <row r="271" spans="1:20">
      <c r="A271" s="26" t="s">
        <v>141</v>
      </c>
      <c r="B271" s="26" t="s">
        <v>230</v>
      </c>
      <c r="C271" s="26" t="s">
        <v>504</v>
      </c>
      <c r="D271" s="25">
        <v>42619</v>
      </c>
      <c r="E271" s="1">
        <f t="shared" si="15"/>
        <v>2016</v>
      </c>
      <c r="F271" s="1">
        <f t="shared" si="16"/>
        <v>9</v>
      </c>
      <c r="G271" s="4">
        <f t="shared" si="17"/>
        <v>6</v>
      </c>
      <c r="H271" s="6">
        <v>0.65913194444444445</v>
      </c>
      <c r="I271" s="22">
        <v>130.49066666666667</v>
      </c>
      <c r="J271" s="22">
        <v>34.836500000000001</v>
      </c>
      <c r="K271" s="27">
        <v>19.957000000000001</v>
      </c>
      <c r="L271" s="27">
        <v>20</v>
      </c>
      <c r="M271" s="27">
        <v>0</v>
      </c>
      <c r="N271" s="21">
        <v>24.657599999999999</v>
      </c>
      <c r="O271" s="24">
        <v>32.046599999999998</v>
      </c>
      <c r="P271" s="31">
        <v>-0.23651281529411761</v>
      </c>
      <c r="Q271" s="31">
        <v>-1.9149818000000005</v>
      </c>
      <c r="R271" s="26" t="s">
        <v>280</v>
      </c>
      <c r="S271" s="26">
        <v>1</v>
      </c>
      <c r="T271" s="71" t="s">
        <v>626</v>
      </c>
    </row>
    <row r="272" spans="1:20">
      <c r="A272" s="26" t="s">
        <v>141</v>
      </c>
      <c r="B272" s="26" t="s">
        <v>230</v>
      </c>
      <c r="C272" s="26" t="s">
        <v>504</v>
      </c>
      <c r="D272" s="25">
        <v>42619</v>
      </c>
      <c r="E272" s="1">
        <f t="shared" si="15"/>
        <v>2016</v>
      </c>
      <c r="F272" s="1">
        <f t="shared" si="16"/>
        <v>9</v>
      </c>
      <c r="G272" s="4">
        <f t="shared" si="17"/>
        <v>6</v>
      </c>
      <c r="H272" s="6">
        <v>0.65913194444444445</v>
      </c>
      <c r="I272" s="22">
        <v>130.49066666666667</v>
      </c>
      <c r="J272" s="22">
        <v>34.836500000000001</v>
      </c>
      <c r="K272" s="27">
        <v>30.565000000000001</v>
      </c>
      <c r="L272" s="27">
        <v>30</v>
      </c>
      <c r="M272" s="27">
        <v>0</v>
      </c>
      <c r="N272" s="21">
        <v>23.932300000000001</v>
      </c>
      <c r="O272" s="24">
        <v>32.492600000000003</v>
      </c>
      <c r="P272" s="31">
        <v>-0.15696090588235312</v>
      </c>
      <c r="Q272" s="31">
        <v>-1.5298310000000006</v>
      </c>
      <c r="R272" s="26" t="s">
        <v>280</v>
      </c>
      <c r="S272" s="26">
        <v>1</v>
      </c>
      <c r="T272" s="71" t="s">
        <v>626</v>
      </c>
    </row>
    <row r="273" spans="1:20">
      <c r="A273" s="26" t="s">
        <v>141</v>
      </c>
      <c r="B273" s="26" t="s">
        <v>230</v>
      </c>
      <c r="C273" s="26" t="s">
        <v>504</v>
      </c>
      <c r="D273" s="25">
        <v>42619</v>
      </c>
      <c r="E273" s="1">
        <f t="shared" si="15"/>
        <v>2016</v>
      </c>
      <c r="F273" s="1">
        <f t="shared" si="16"/>
        <v>9</v>
      </c>
      <c r="G273" s="4">
        <f t="shared" si="17"/>
        <v>6</v>
      </c>
      <c r="H273" s="6">
        <v>0.65913194444444445</v>
      </c>
      <c r="I273" s="22">
        <v>130.49066666666667</v>
      </c>
      <c r="J273" s="22">
        <v>34.836500000000001</v>
      </c>
      <c r="K273" s="27">
        <v>50.228000000000002</v>
      </c>
      <c r="L273" s="27">
        <v>50</v>
      </c>
      <c r="M273" s="27">
        <v>0</v>
      </c>
      <c r="N273" s="21">
        <v>20.679300000000001</v>
      </c>
      <c r="O273" s="24">
        <v>34.444200000000002</v>
      </c>
      <c r="P273" s="31">
        <v>0.21751134352941159</v>
      </c>
      <c r="Q273" s="31">
        <v>1.1678342199999996</v>
      </c>
      <c r="R273" s="26" t="s">
        <v>280</v>
      </c>
      <c r="S273" s="26">
        <v>1</v>
      </c>
      <c r="T273" s="71" t="s">
        <v>626</v>
      </c>
    </row>
    <row r="274" spans="1:20">
      <c r="A274" s="26" t="s">
        <v>141</v>
      </c>
      <c r="B274" s="26" t="s">
        <v>230</v>
      </c>
      <c r="C274" s="26" t="s">
        <v>504</v>
      </c>
      <c r="D274" s="25">
        <v>42619</v>
      </c>
      <c r="E274" s="1">
        <f t="shared" si="15"/>
        <v>2016</v>
      </c>
      <c r="F274" s="1">
        <f t="shared" si="16"/>
        <v>9</v>
      </c>
      <c r="G274" s="4">
        <f t="shared" si="17"/>
        <v>6</v>
      </c>
      <c r="H274" s="6">
        <v>0.65913194444444445</v>
      </c>
      <c r="I274" s="22">
        <v>130.49066666666667</v>
      </c>
      <c r="J274" s="22">
        <v>34.836500000000001</v>
      </c>
      <c r="K274" s="27">
        <v>75.173000000000002</v>
      </c>
      <c r="L274" s="27">
        <v>75</v>
      </c>
      <c r="M274" s="27">
        <v>0</v>
      </c>
      <c r="N274" s="21">
        <v>18.095600000000001</v>
      </c>
      <c r="O274" s="24">
        <v>34.4422</v>
      </c>
      <c r="P274" s="31">
        <v>0.25101764117647063</v>
      </c>
      <c r="Q274" s="31">
        <v>1.4688099999999995</v>
      </c>
      <c r="R274" s="26" t="s">
        <v>280</v>
      </c>
      <c r="S274" s="26">
        <v>1</v>
      </c>
      <c r="T274" s="71" t="s">
        <v>626</v>
      </c>
    </row>
    <row r="275" spans="1:20">
      <c r="A275" s="26" t="s">
        <v>141</v>
      </c>
      <c r="B275" s="26" t="s">
        <v>230</v>
      </c>
      <c r="C275" s="26" t="s">
        <v>504</v>
      </c>
      <c r="D275" s="25">
        <v>42619</v>
      </c>
      <c r="E275" s="1">
        <f t="shared" si="15"/>
        <v>2016</v>
      </c>
      <c r="F275" s="1">
        <f t="shared" si="16"/>
        <v>9</v>
      </c>
      <c r="G275" s="4">
        <f t="shared" si="17"/>
        <v>6</v>
      </c>
      <c r="H275" s="6">
        <v>0.65913194444444445</v>
      </c>
      <c r="I275" s="22">
        <v>130.49066666666667</v>
      </c>
      <c r="J275" s="22">
        <v>34.836500000000001</v>
      </c>
      <c r="K275" s="27">
        <v>100.133</v>
      </c>
      <c r="L275" s="27">
        <v>100</v>
      </c>
      <c r="M275" s="27">
        <v>0</v>
      </c>
      <c r="N275" s="21">
        <v>16.704999999999998</v>
      </c>
      <c r="O275" s="24">
        <v>34.373199999999997</v>
      </c>
      <c r="P275" s="31">
        <v>0.26843803058823523</v>
      </c>
      <c r="Q275" s="31">
        <v>1.4407516600000001</v>
      </c>
      <c r="R275" s="26" t="s">
        <v>280</v>
      </c>
      <c r="S275" s="26">
        <v>1</v>
      </c>
      <c r="T275" s="71" t="s">
        <v>626</v>
      </c>
    </row>
    <row r="276" spans="1:20">
      <c r="A276" s="26" t="s">
        <v>141</v>
      </c>
      <c r="B276" s="26" t="s">
        <v>230</v>
      </c>
      <c r="C276" s="26" t="s">
        <v>504</v>
      </c>
      <c r="D276" s="25">
        <v>42619</v>
      </c>
      <c r="E276" s="1">
        <f t="shared" si="15"/>
        <v>2016</v>
      </c>
      <c r="F276" s="1">
        <f t="shared" si="16"/>
        <v>9</v>
      </c>
      <c r="G276" s="4">
        <f t="shared" si="17"/>
        <v>6</v>
      </c>
      <c r="H276" s="6">
        <v>0.65913194444444445</v>
      </c>
      <c r="I276" s="22">
        <v>130.49066666666667</v>
      </c>
      <c r="J276" s="22">
        <v>34.836500000000001</v>
      </c>
      <c r="K276" s="27">
        <v>124.583</v>
      </c>
      <c r="L276" s="27">
        <v>125</v>
      </c>
      <c r="M276" s="27">
        <v>0</v>
      </c>
      <c r="N276" s="21">
        <v>15.6396</v>
      </c>
      <c r="O276" s="24">
        <v>34.404499999999999</v>
      </c>
      <c r="P276" s="31">
        <v>0.18857353999999993</v>
      </c>
      <c r="Q276" s="31">
        <v>1.3156413400000009</v>
      </c>
      <c r="R276" s="26" t="s">
        <v>280</v>
      </c>
      <c r="S276" s="26">
        <v>1</v>
      </c>
      <c r="T276" s="71" t="s">
        <v>626</v>
      </c>
    </row>
    <row r="277" spans="1:20">
      <c r="A277" s="26"/>
      <c r="B277" s="26"/>
      <c r="C277" s="26"/>
      <c r="D277" s="25"/>
      <c r="H277" s="6"/>
      <c r="I277" s="22"/>
      <c r="J277" s="22"/>
      <c r="K277" s="27"/>
      <c r="L277" s="27"/>
      <c r="M277" s="27"/>
      <c r="N277" s="21"/>
      <c r="O277" s="24"/>
      <c r="P277" s="31"/>
      <c r="Q277" s="31"/>
      <c r="R277" s="26"/>
      <c r="S277" s="26"/>
      <c r="T277" s="71"/>
    </row>
    <row r="278" spans="1:20">
      <c r="A278" s="26" t="s">
        <v>141</v>
      </c>
      <c r="B278" s="26" t="s">
        <v>127</v>
      </c>
      <c r="C278" s="26" t="s">
        <v>504</v>
      </c>
      <c r="D278" s="25">
        <v>42619</v>
      </c>
      <c r="E278" s="1">
        <f t="shared" si="15"/>
        <v>2016</v>
      </c>
      <c r="F278" s="1">
        <f t="shared" si="16"/>
        <v>9</v>
      </c>
      <c r="G278" s="4">
        <f t="shared" si="17"/>
        <v>6</v>
      </c>
      <c r="H278" s="6">
        <v>0.91251157407407402</v>
      </c>
      <c r="I278" s="22">
        <v>130.55083333333334</v>
      </c>
      <c r="J278" s="22">
        <v>34.50033333333333</v>
      </c>
      <c r="K278" s="27">
        <v>0</v>
      </c>
      <c r="L278" s="27">
        <v>0</v>
      </c>
      <c r="M278" s="27">
        <v>0</v>
      </c>
      <c r="N278" s="21">
        <v>26.2</v>
      </c>
      <c r="O278" s="24">
        <v>32.41152946391535</v>
      </c>
      <c r="P278" s="31">
        <v>-0.18089741058823505</v>
      </c>
      <c r="Q278" s="31">
        <v>-1.3578216800000007</v>
      </c>
      <c r="R278" s="26" t="s">
        <v>280</v>
      </c>
      <c r="S278" s="26">
        <v>1</v>
      </c>
      <c r="T278" s="71" t="s">
        <v>626</v>
      </c>
    </row>
    <row r="279" spans="1:20">
      <c r="A279" s="26" t="s">
        <v>141</v>
      </c>
      <c r="B279" s="26" t="s">
        <v>127</v>
      </c>
      <c r="C279" s="26" t="s">
        <v>504</v>
      </c>
      <c r="D279" s="25">
        <v>42619</v>
      </c>
      <c r="E279" s="1">
        <f t="shared" si="15"/>
        <v>2016</v>
      </c>
      <c r="F279" s="1">
        <f t="shared" si="16"/>
        <v>9</v>
      </c>
      <c r="G279" s="4">
        <f t="shared" si="17"/>
        <v>6</v>
      </c>
      <c r="H279" s="6">
        <v>0.91251157407407402</v>
      </c>
      <c r="I279" s="22">
        <v>130.55083333333334</v>
      </c>
      <c r="J279" s="22">
        <v>34.50033333333333</v>
      </c>
      <c r="K279" s="27">
        <v>9.9760000000000009</v>
      </c>
      <c r="L279" s="27">
        <v>10</v>
      </c>
      <c r="M279" s="27">
        <v>0</v>
      </c>
      <c r="N279" s="21">
        <v>26.166699999999999</v>
      </c>
      <c r="O279" s="24">
        <v>32.406300000000002</v>
      </c>
      <c r="P279" s="31">
        <v>-0.21845524117647064</v>
      </c>
      <c r="Q279" s="31">
        <v>-1.3224911000000006</v>
      </c>
      <c r="R279" s="26" t="s">
        <v>280</v>
      </c>
      <c r="S279" s="26">
        <v>1</v>
      </c>
      <c r="T279" s="71" t="s">
        <v>626</v>
      </c>
    </row>
    <row r="280" spans="1:20">
      <c r="A280" s="26" t="s">
        <v>141</v>
      </c>
      <c r="B280" s="26" t="s">
        <v>127</v>
      </c>
      <c r="C280" s="26" t="s">
        <v>504</v>
      </c>
      <c r="D280" s="25">
        <v>42619</v>
      </c>
      <c r="E280" s="1">
        <f t="shared" si="15"/>
        <v>2016</v>
      </c>
      <c r="F280" s="1">
        <f t="shared" si="16"/>
        <v>9</v>
      </c>
      <c r="G280" s="4">
        <f t="shared" si="17"/>
        <v>6</v>
      </c>
      <c r="H280" s="6">
        <v>0.91251157407407402</v>
      </c>
      <c r="I280" s="22">
        <v>130.55083333333334</v>
      </c>
      <c r="J280" s="22">
        <v>34.50033333333333</v>
      </c>
      <c r="K280" s="27">
        <v>20.248999999999999</v>
      </c>
      <c r="L280" s="27">
        <v>20</v>
      </c>
      <c r="M280" s="27">
        <v>0</v>
      </c>
      <c r="N280" s="21">
        <v>25.419499999999999</v>
      </c>
      <c r="O280" s="24">
        <v>32.418100000000003</v>
      </c>
      <c r="P280" s="31">
        <v>-0.17283041176470548</v>
      </c>
      <c r="Q280" s="31">
        <v>-1.1944394599999999</v>
      </c>
      <c r="R280" s="26" t="s">
        <v>280</v>
      </c>
      <c r="S280" s="26">
        <v>1</v>
      </c>
      <c r="T280" s="71" t="s">
        <v>626</v>
      </c>
    </row>
    <row r="281" spans="1:20">
      <c r="A281" s="26" t="s">
        <v>141</v>
      </c>
      <c r="B281" s="26" t="s">
        <v>127</v>
      </c>
      <c r="C281" s="26" t="s">
        <v>504</v>
      </c>
      <c r="D281" s="25">
        <v>42619</v>
      </c>
      <c r="E281" s="1">
        <f t="shared" si="15"/>
        <v>2016</v>
      </c>
      <c r="F281" s="1">
        <f t="shared" si="16"/>
        <v>9</v>
      </c>
      <c r="G281" s="4">
        <f t="shared" si="17"/>
        <v>6</v>
      </c>
      <c r="H281" s="6">
        <v>0.91251157407407402</v>
      </c>
      <c r="I281" s="22">
        <v>130.55083333333334</v>
      </c>
      <c r="J281" s="22">
        <v>34.50033333333333</v>
      </c>
      <c r="K281" s="27">
        <v>30.244</v>
      </c>
      <c r="L281" s="27">
        <v>30</v>
      </c>
      <c r="M281" s="27">
        <v>0</v>
      </c>
      <c r="N281" s="21">
        <v>24.428000000000001</v>
      </c>
      <c r="O281" s="24">
        <v>32.965499999999999</v>
      </c>
      <c r="P281" s="31">
        <v>0.10313067764705908</v>
      </c>
      <c r="Q281" s="31">
        <v>0.60948136000000197</v>
      </c>
      <c r="R281" s="26" t="s">
        <v>280</v>
      </c>
      <c r="S281" s="26">
        <v>1</v>
      </c>
      <c r="T281" s="71" t="s">
        <v>626</v>
      </c>
    </row>
    <row r="282" spans="1:20">
      <c r="A282" s="26" t="s">
        <v>141</v>
      </c>
      <c r="B282" s="26" t="s">
        <v>127</v>
      </c>
      <c r="C282" s="26" t="s">
        <v>504</v>
      </c>
      <c r="D282" s="25">
        <v>42619</v>
      </c>
      <c r="E282" s="1">
        <f t="shared" si="15"/>
        <v>2016</v>
      </c>
      <c r="F282" s="1">
        <f t="shared" si="16"/>
        <v>9</v>
      </c>
      <c r="G282" s="4">
        <f t="shared" si="17"/>
        <v>6</v>
      </c>
      <c r="H282" s="6">
        <v>0.91251157407407402</v>
      </c>
      <c r="I282" s="22">
        <v>130.55083333333334</v>
      </c>
      <c r="J282" s="22">
        <v>34.50033333333333</v>
      </c>
      <c r="K282" s="27">
        <v>49.76</v>
      </c>
      <c r="L282" s="27">
        <v>50</v>
      </c>
      <c r="M282" s="27">
        <v>0</v>
      </c>
      <c r="N282" s="21">
        <v>21.706499999999998</v>
      </c>
      <c r="O282" s="24">
        <v>34.243000000000002</v>
      </c>
      <c r="P282" s="31">
        <v>0.20046364705882325</v>
      </c>
      <c r="Q282" s="31">
        <v>1.2544873599999971</v>
      </c>
      <c r="R282" s="26" t="s">
        <v>280</v>
      </c>
      <c r="S282" s="26">
        <v>1</v>
      </c>
      <c r="T282" s="71" t="s">
        <v>626</v>
      </c>
    </row>
    <row r="283" spans="1:20">
      <c r="A283" s="26" t="s">
        <v>141</v>
      </c>
      <c r="B283" s="26" t="s">
        <v>127</v>
      </c>
      <c r="C283" s="26" t="s">
        <v>504</v>
      </c>
      <c r="D283" s="25">
        <v>42619</v>
      </c>
      <c r="E283" s="1">
        <f t="shared" ref="E283:E305" si="18">YEAR(D283)</f>
        <v>2016</v>
      </c>
      <c r="F283" s="1">
        <f t="shared" ref="F283:F305" si="19">MONTH(D283)</f>
        <v>9</v>
      </c>
      <c r="G283" s="4">
        <f t="shared" ref="G283:G305" si="20">DAY(D283)</f>
        <v>6</v>
      </c>
      <c r="H283" s="6">
        <v>0.91251157407407402</v>
      </c>
      <c r="I283" s="22">
        <v>130.55083333333334</v>
      </c>
      <c r="J283" s="22">
        <v>34.50033333333333</v>
      </c>
      <c r="K283" s="27">
        <v>99.959000000000003</v>
      </c>
      <c r="L283" s="27">
        <v>100</v>
      </c>
      <c r="M283" s="27">
        <v>0</v>
      </c>
      <c r="N283" s="21">
        <v>18.7441</v>
      </c>
      <c r="O283" s="24">
        <v>34.434399999999997</v>
      </c>
      <c r="P283" s="31">
        <v>0.29997594588235321</v>
      </c>
      <c r="Q283" s="31">
        <v>1.4364768141176469</v>
      </c>
      <c r="R283" s="26" t="s">
        <v>280</v>
      </c>
      <c r="S283" s="26">
        <v>1</v>
      </c>
      <c r="T283" s="71" t="s">
        <v>626</v>
      </c>
    </row>
    <row r="284" spans="1:20">
      <c r="A284" s="26" t="s">
        <v>141</v>
      </c>
      <c r="B284" s="26" t="s">
        <v>127</v>
      </c>
      <c r="C284" s="26" t="s">
        <v>504</v>
      </c>
      <c r="D284" s="25">
        <v>42619</v>
      </c>
      <c r="E284" s="1">
        <f t="shared" si="18"/>
        <v>2016</v>
      </c>
      <c r="F284" s="1">
        <f t="shared" si="19"/>
        <v>9</v>
      </c>
      <c r="G284" s="4">
        <f t="shared" si="20"/>
        <v>6</v>
      </c>
      <c r="H284" s="6">
        <v>0.91251157407407402</v>
      </c>
      <c r="I284" s="22">
        <v>130.55083333333334</v>
      </c>
      <c r="J284" s="22">
        <v>34.50033333333333</v>
      </c>
      <c r="K284" s="27">
        <v>112.89700000000001</v>
      </c>
      <c r="L284" s="27">
        <v>113</v>
      </c>
      <c r="M284" s="27">
        <v>0</v>
      </c>
      <c r="N284" s="21">
        <v>18.375299999999999</v>
      </c>
      <c r="O284" s="24">
        <v>34.433500000000002</v>
      </c>
      <c r="P284" s="31">
        <v>0.217431027058824</v>
      </c>
      <c r="Q284" s="31">
        <v>1.4090413729411786</v>
      </c>
      <c r="R284" s="26" t="s">
        <v>280</v>
      </c>
      <c r="S284" s="26">
        <v>1</v>
      </c>
      <c r="T284" s="71" t="s">
        <v>626</v>
      </c>
    </row>
    <row r="285" spans="1:20">
      <c r="A285" s="26"/>
      <c r="B285" s="26"/>
      <c r="C285" s="26"/>
      <c r="D285" s="25"/>
      <c r="H285" s="6"/>
      <c r="I285" s="22"/>
      <c r="J285" s="22"/>
      <c r="K285" s="27"/>
      <c r="L285" s="27"/>
      <c r="M285" s="27"/>
      <c r="N285" s="21"/>
      <c r="O285" s="24"/>
      <c r="P285" s="31"/>
      <c r="Q285" s="31"/>
      <c r="R285" s="26"/>
      <c r="S285" s="26"/>
      <c r="T285" s="71"/>
    </row>
    <row r="286" spans="1:20">
      <c r="A286" s="26" t="s">
        <v>141</v>
      </c>
      <c r="B286" s="26" t="s">
        <v>231</v>
      </c>
      <c r="C286" s="26" t="s">
        <v>504</v>
      </c>
      <c r="D286" s="25">
        <v>42620</v>
      </c>
      <c r="E286" s="1">
        <f t="shared" si="18"/>
        <v>2016</v>
      </c>
      <c r="F286" s="1">
        <f t="shared" si="19"/>
        <v>9</v>
      </c>
      <c r="G286" s="4">
        <f t="shared" si="20"/>
        <v>7</v>
      </c>
      <c r="H286" s="6">
        <v>0.6534375</v>
      </c>
      <c r="I286" s="22">
        <v>129.98916666666668</v>
      </c>
      <c r="J286" s="22">
        <v>34.000833333333333</v>
      </c>
      <c r="K286" s="27">
        <v>0</v>
      </c>
      <c r="L286" s="27">
        <v>0</v>
      </c>
      <c r="M286" s="27">
        <v>0</v>
      </c>
      <c r="N286" s="21">
        <v>26.4</v>
      </c>
      <c r="O286" s="24">
        <v>32.049002885611699</v>
      </c>
      <c r="P286" s="31">
        <v>-0.31252243176470573</v>
      </c>
      <c r="Q286" s="31">
        <v>-2.0234268882352948</v>
      </c>
      <c r="R286" s="26" t="s">
        <v>280</v>
      </c>
      <c r="S286" s="26">
        <v>1</v>
      </c>
      <c r="T286" s="71" t="s">
        <v>626</v>
      </c>
    </row>
    <row r="287" spans="1:20">
      <c r="A287" s="26" t="s">
        <v>141</v>
      </c>
      <c r="B287" s="26" t="s">
        <v>231</v>
      </c>
      <c r="C287" s="26" t="s">
        <v>504</v>
      </c>
      <c r="D287" s="25">
        <v>42620</v>
      </c>
      <c r="E287" s="1">
        <f t="shared" si="18"/>
        <v>2016</v>
      </c>
      <c r="F287" s="1">
        <f t="shared" si="19"/>
        <v>9</v>
      </c>
      <c r="G287" s="4">
        <f t="shared" si="20"/>
        <v>7</v>
      </c>
      <c r="H287" s="6">
        <v>0.6534375</v>
      </c>
      <c r="I287" s="22">
        <v>129.98916666666668</v>
      </c>
      <c r="J287" s="22">
        <v>34.000833333333333</v>
      </c>
      <c r="K287" s="27">
        <v>10.468999999999999</v>
      </c>
      <c r="L287" s="27">
        <v>10</v>
      </c>
      <c r="M287" s="27">
        <v>0</v>
      </c>
      <c r="N287" s="21">
        <v>26.012799999999999</v>
      </c>
      <c r="O287" s="24">
        <v>32.127200000000002</v>
      </c>
      <c r="P287" s="31">
        <v>-0.28275743058823521</v>
      </c>
      <c r="Q287" s="31">
        <v>-1.8650868494117647</v>
      </c>
      <c r="R287" s="26" t="s">
        <v>280</v>
      </c>
      <c r="S287" s="26">
        <v>1</v>
      </c>
      <c r="T287" s="71" t="s">
        <v>626</v>
      </c>
    </row>
    <row r="288" spans="1:20">
      <c r="A288" s="26" t="s">
        <v>141</v>
      </c>
      <c r="B288" s="26" t="s">
        <v>231</v>
      </c>
      <c r="C288" s="26" t="s">
        <v>504</v>
      </c>
      <c r="D288" s="25">
        <v>42620</v>
      </c>
      <c r="E288" s="1">
        <f t="shared" si="18"/>
        <v>2016</v>
      </c>
      <c r="F288" s="1">
        <f t="shared" si="19"/>
        <v>9</v>
      </c>
      <c r="G288" s="4">
        <f t="shared" si="20"/>
        <v>7</v>
      </c>
      <c r="H288" s="6">
        <v>0.6534375</v>
      </c>
      <c r="I288" s="22">
        <v>129.98916666666668</v>
      </c>
      <c r="J288" s="22">
        <v>34.000833333333333</v>
      </c>
      <c r="K288" s="27">
        <v>19.873000000000001</v>
      </c>
      <c r="L288" s="27">
        <v>20</v>
      </c>
      <c r="M288" s="27">
        <v>0</v>
      </c>
      <c r="N288" s="21">
        <v>25.482299999999999</v>
      </c>
      <c r="O288" s="24">
        <v>32.508200000000002</v>
      </c>
      <c r="P288" s="31">
        <v>-0.18930944941176442</v>
      </c>
      <c r="Q288" s="31">
        <v>-1.3222347705882349</v>
      </c>
      <c r="R288" s="26" t="s">
        <v>280</v>
      </c>
      <c r="S288" s="26">
        <v>1</v>
      </c>
      <c r="T288" s="71" t="s">
        <v>626</v>
      </c>
    </row>
    <row r="289" spans="1:20">
      <c r="A289" s="26" t="s">
        <v>141</v>
      </c>
      <c r="B289" s="26" t="s">
        <v>231</v>
      </c>
      <c r="C289" s="26" t="s">
        <v>504</v>
      </c>
      <c r="D289" s="25">
        <v>42620</v>
      </c>
      <c r="E289" s="1">
        <f t="shared" si="18"/>
        <v>2016</v>
      </c>
      <c r="F289" s="1">
        <f t="shared" si="19"/>
        <v>9</v>
      </c>
      <c r="G289" s="4">
        <f t="shared" si="20"/>
        <v>7</v>
      </c>
      <c r="H289" s="6">
        <v>0.6534375</v>
      </c>
      <c r="I289" s="22">
        <v>129.98916666666668</v>
      </c>
      <c r="J289" s="22">
        <v>34.000833333333333</v>
      </c>
      <c r="K289" s="27">
        <v>30.471</v>
      </c>
      <c r="L289" s="27">
        <v>30</v>
      </c>
      <c r="M289" s="27">
        <v>0</v>
      </c>
      <c r="N289" s="21">
        <v>24.7333</v>
      </c>
      <c r="O289" s="24">
        <v>32.903300000000002</v>
      </c>
      <c r="P289" s="31">
        <v>-9.1181888235293718E-2</v>
      </c>
      <c r="Q289" s="31">
        <v>-0.73107321176470563</v>
      </c>
      <c r="R289" s="26" t="s">
        <v>280</v>
      </c>
      <c r="S289" s="26">
        <v>1</v>
      </c>
      <c r="T289" s="71" t="s">
        <v>626</v>
      </c>
    </row>
    <row r="290" spans="1:20">
      <c r="A290" s="26" t="s">
        <v>141</v>
      </c>
      <c r="B290" s="26" t="s">
        <v>231</v>
      </c>
      <c r="C290" s="26" t="s">
        <v>504</v>
      </c>
      <c r="D290" s="25">
        <v>42620</v>
      </c>
      <c r="E290" s="1">
        <f t="shared" si="18"/>
        <v>2016</v>
      </c>
      <c r="F290" s="1">
        <f t="shared" si="19"/>
        <v>9</v>
      </c>
      <c r="G290" s="4">
        <f t="shared" si="20"/>
        <v>7</v>
      </c>
      <c r="H290" s="6">
        <v>0.6534375</v>
      </c>
      <c r="I290" s="22">
        <v>129.98916666666668</v>
      </c>
      <c r="J290" s="22">
        <v>34.000833333333333</v>
      </c>
      <c r="K290" s="27">
        <v>50.161000000000001</v>
      </c>
      <c r="L290" s="27">
        <v>50</v>
      </c>
      <c r="M290" s="27">
        <v>0</v>
      </c>
      <c r="N290" s="21">
        <v>22.7834</v>
      </c>
      <c r="O290" s="24">
        <v>34.319499999999998</v>
      </c>
      <c r="P290" s="31">
        <v>0.22057867294117672</v>
      </c>
      <c r="Q290" s="31">
        <v>1.2634198270588239</v>
      </c>
      <c r="R290" s="26" t="s">
        <v>280</v>
      </c>
      <c r="S290" s="26">
        <v>1</v>
      </c>
      <c r="T290" s="71" t="s">
        <v>626</v>
      </c>
    </row>
    <row r="291" spans="1:20">
      <c r="A291" s="26" t="s">
        <v>141</v>
      </c>
      <c r="B291" s="26" t="s">
        <v>231</v>
      </c>
      <c r="C291" s="26" t="s">
        <v>504</v>
      </c>
      <c r="D291" s="25">
        <v>42620</v>
      </c>
      <c r="E291" s="1">
        <f t="shared" si="18"/>
        <v>2016</v>
      </c>
      <c r="F291" s="1">
        <f t="shared" si="19"/>
        <v>9</v>
      </c>
      <c r="G291" s="4">
        <f t="shared" si="20"/>
        <v>7</v>
      </c>
      <c r="H291" s="6">
        <v>0.6534375</v>
      </c>
      <c r="I291" s="22">
        <v>129.98916666666668</v>
      </c>
      <c r="J291" s="22">
        <v>34.000833333333333</v>
      </c>
      <c r="K291" s="27">
        <v>75.036000000000001</v>
      </c>
      <c r="L291" s="27">
        <v>75</v>
      </c>
      <c r="M291" s="27">
        <v>0</v>
      </c>
      <c r="N291" s="21">
        <v>20.292899999999999</v>
      </c>
      <c r="O291" s="24">
        <v>34.409199999999998</v>
      </c>
      <c r="P291" s="31">
        <v>0.22631145764705884</v>
      </c>
      <c r="Q291" s="31">
        <v>1.4484444423529403</v>
      </c>
      <c r="R291" s="26" t="s">
        <v>280</v>
      </c>
      <c r="S291" s="26">
        <v>1</v>
      </c>
      <c r="T291" s="71" t="s">
        <v>626</v>
      </c>
    </row>
    <row r="292" spans="1:20">
      <c r="A292" s="26"/>
      <c r="B292" s="26"/>
      <c r="C292" s="26"/>
      <c r="D292" s="25"/>
      <c r="H292" s="6"/>
      <c r="I292" s="22"/>
      <c r="J292" s="22"/>
      <c r="K292" s="27"/>
      <c r="L292" s="27"/>
      <c r="M292" s="27"/>
      <c r="N292" s="21"/>
      <c r="O292" s="24"/>
      <c r="P292" s="31"/>
      <c r="Q292" s="31"/>
      <c r="R292" s="26"/>
      <c r="S292" s="26"/>
      <c r="T292" s="71"/>
    </row>
    <row r="293" spans="1:20">
      <c r="A293" s="26" t="s">
        <v>141</v>
      </c>
      <c r="B293" s="26" t="s">
        <v>128</v>
      </c>
      <c r="C293" s="26" t="s">
        <v>504</v>
      </c>
      <c r="D293" s="25">
        <v>42620</v>
      </c>
      <c r="E293" s="1">
        <f t="shared" si="18"/>
        <v>2016</v>
      </c>
      <c r="F293" s="1">
        <f t="shared" si="19"/>
        <v>9</v>
      </c>
      <c r="G293" s="4">
        <f t="shared" si="20"/>
        <v>7</v>
      </c>
      <c r="H293" s="6">
        <v>0.73434027777777777</v>
      </c>
      <c r="I293" s="22">
        <v>130.14083333333335</v>
      </c>
      <c r="J293" s="22">
        <v>34.165999999999997</v>
      </c>
      <c r="K293" s="27">
        <v>0</v>
      </c>
      <c r="L293" s="27">
        <v>0</v>
      </c>
      <c r="M293" s="27">
        <v>0</v>
      </c>
      <c r="N293" s="21">
        <v>26.2</v>
      </c>
      <c r="O293" s="24">
        <v>32.214034594342117</v>
      </c>
      <c r="P293" s="31">
        <v>-0.25725312117647059</v>
      </c>
      <c r="Q293" s="31">
        <v>-1.9245206788235301</v>
      </c>
      <c r="R293" s="26" t="s">
        <v>280</v>
      </c>
      <c r="S293" s="26">
        <v>1</v>
      </c>
      <c r="T293" s="71" t="s">
        <v>626</v>
      </c>
    </row>
    <row r="294" spans="1:20">
      <c r="A294" s="26" t="s">
        <v>141</v>
      </c>
      <c r="B294" s="26" t="s">
        <v>128</v>
      </c>
      <c r="C294" s="26" t="s">
        <v>504</v>
      </c>
      <c r="D294" s="25">
        <v>42620</v>
      </c>
      <c r="E294" s="1">
        <f t="shared" si="18"/>
        <v>2016</v>
      </c>
      <c r="F294" s="1">
        <f t="shared" si="19"/>
        <v>9</v>
      </c>
      <c r="G294" s="4">
        <f t="shared" si="20"/>
        <v>7</v>
      </c>
      <c r="H294" s="6">
        <v>0.73434027777777777</v>
      </c>
      <c r="I294" s="22">
        <v>130.14083333333335</v>
      </c>
      <c r="J294" s="22">
        <v>34.165999999999997</v>
      </c>
      <c r="K294" s="27">
        <v>10.105</v>
      </c>
      <c r="L294" s="27">
        <v>10</v>
      </c>
      <c r="M294" s="27">
        <v>0</v>
      </c>
      <c r="N294" s="21">
        <v>25.664000000000001</v>
      </c>
      <c r="O294" s="24">
        <v>32.271500000000003</v>
      </c>
      <c r="P294" s="31">
        <v>-0.24396837999999987</v>
      </c>
      <c r="Q294" s="31">
        <v>-1.7176747799999994</v>
      </c>
      <c r="R294" s="26" t="s">
        <v>280</v>
      </c>
      <c r="S294" s="26">
        <v>1</v>
      </c>
      <c r="T294" s="71" t="s">
        <v>626</v>
      </c>
    </row>
    <row r="295" spans="1:20">
      <c r="A295" s="26" t="s">
        <v>141</v>
      </c>
      <c r="B295" s="26" t="s">
        <v>128</v>
      </c>
      <c r="C295" s="26" t="s">
        <v>504</v>
      </c>
      <c r="D295" s="25">
        <v>42620</v>
      </c>
      <c r="E295" s="1">
        <f t="shared" si="18"/>
        <v>2016</v>
      </c>
      <c r="F295" s="1">
        <f t="shared" si="19"/>
        <v>9</v>
      </c>
      <c r="G295" s="4">
        <f t="shared" si="20"/>
        <v>7</v>
      </c>
      <c r="H295" s="6">
        <v>0.73434027777777777</v>
      </c>
      <c r="I295" s="22">
        <v>130.14083333333335</v>
      </c>
      <c r="J295" s="22">
        <v>34.165999999999997</v>
      </c>
      <c r="K295" s="27">
        <v>20.074000000000002</v>
      </c>
      <c r="L295" s="27">
        <v>20</v>
      </c>
      <c r="M295" s="27">
        <v>0</v>
      </c>
      <c r="N295" s="21">
        <v>25.3399</v>
      </c>
      <c r="O295" s="24">
        <v>32.595300000000002</v>
      </c>
      <c r="P295" s="31">
        <v>-0.11308375882352917</v>
      </c>
      <c r="Q295" s="31">
        <v>-1.0336254811764691</v>
      </c>
      <c r="R295" s="26" t="s">
        <v>280</v>
      </c>
      <c r="S295" s="26">
        <v>1</v>
      </c>
      <c r="T295" s="71" t="s">
        <v>626</v>
      </c>
    </row>
    <row r="296" spans="1:20">
      <c r="A296" s="26" t="s">
        <v>141</v>
      </c>
      <c r="B296" s="26" t="s">
        <v>128</v>
      </c>
      <c r="C296" s="26" t="s">
        <v>504</v>
      </c>
      <c r="D296" s="25">
        <v>42620</v>
      </c>
      <c r="E296" s="1">
        <f t="shared" si="18"/>
        <v>2016</v>
      </c>
      <c r="F296" s="1">
        <f t="shared" si="19"/>
        <v>9</v>
      </c>
      <c r="G296" s="4">
        <f t="shared" si="20"/>
        <v>7</v>
      </c>
      <c r="H296" s="6">
        <v>0.73434027777777777</v>
      </c>
      <c r="I296" s="22">
        <v>130.14083333333335</v>
      </c>
      <c r="J296" s="22">
        <v>34.165999999999997</v>
      </c>
      <c r="K296" s="27">
        <v>30.213999999999999</v>
      </c>
      <c r="L296" s="27">
        <v>30</v>
      </c>
      <c r="M296" s="27">
        <v>0</v>
      </c>
      <c r="N296" s="21">
        <v>24.917400000000001</v>
      </c>
      <c r="O296" s="24">
        <v>33.277099999999997</v>
      </c>
      <c r="P296" s="31">
        <v>-2.1873837647058858E-2</v>
      </c>
      <c r="Q296" s="31">
        <v>-0.178921962352943</v>
      </c>
      <c r="R296" s="26" t="s">
        <v>280</v>
      </c>
      <c r="S296" s="26">
        <v>1</v>
      </c>
      <c r="T296" s="71" t="s">
        <v>626</v>
      </c>
    </row>
    <row r="297" spans="1:20">
      <c r="A297" s="26" t="s">
        <v>141</v>
      </c>
      <c r="B297" s="26" t="s">
        <v>128</v>
      </c>
      <c r="C297" s="26" t="s">
        <v>504</v>
      </c>
      <c r="D297" s="25">
        <v>42620</v>
      </c>
      <c r="E297" s="1">
        <f t="shared" si="18"/>
        <v>2016</v>
      </c>
      <c r="F297" s="1">
        <f t="shared" si="19"/>
        <v>9</v>
      </c>
      <c r="G297" s="4">
        <f t="shared" si="20"/>
        <v>7</v>
      </c>
      <c r="H297" s="6">
        <v>0.73434027777777777</v>
      </c>
      <c r="I297" s="22">
        <v>130.14083333333335</v>
      </c>
      <c r="J297" s="22">
        <v>34.165999999999997</v>
      </c>
      <c r="K297" s="27">
        <v>50.146999999999998</v>
      </c>
      <c r="L297" s="27">
        <v>50</v>
      </c>
      <c r="M297" s="27">
        <v>0</v>
      </c>
      <c r="N297" s="21">
        <v>23.423400000000001</v>
      </c>
      <c r="O297" s="24">
        <v>34.474899999999998</v>
      </c>
      <c r="P297" s="31">
        <v>0.20158508352941196</v>
      </c>
      <c r="Q297" s="31">
        <v>1.3360111164705888</v>
      </c>
      <c r="R297" s="26" t="s">
        <v>280</v>
      </c>
      <c r="S297" s="26">
        <v>1</v>
      </c>
      <c r="T297" s="71" t="s">
        <v>626</v>
      </c>
    </row>
    <row r="298" spans="1:20">
      <c r="A298" s="26" t="s">
        <v>141</v>
      </c>
      <c r="B298" s="26" t="s">
        <v>128</v>
      </c>
      <c r="C298" s="26" t="s">
        <v>504</v>
      </c>
      <c r="D298" s="25">
        <v>42620</v>
      </c>
      <c r="E298" s="1">
        <f t="shared" si="18"/>
        <v>2016</v>
      </c>
      <c r="F298" s="1">
        <f t="shared" si="19"/>
        <v>9</v>
      </c>
      <c r="G298" s="4">
        <f t="shared" si="20"/>
        <v>7</v>
      </c>
      <c r="H298" s="6">
        <v>0.73434027777777777</v>
      </c>
      <c r="I298" s="22">
        <v>130.14083333333335</v>
      </c>
      <c r="J298" s="22">
        <v>34.165999999999997</v>
      </c>
      <c r="K298" s="27">
        <v>79.516000000000005</v>
      </c>
      <c r="L298" s="27">
        <v>80</v>
      </c>
      <c r="M298" s="27">
        <v>0</v>
      </c>
      <c r="N298" s="21">
        <v>18.218599999999999</v>
      </c>
      <c r="O298" s="24">
        <v>34.382399999999997</v>
      </c>
      <c r="P298" s="31">
        <v>0.24335422470588242</v>
      </c>
      <c r="Q298" s="31">
        <v>1.2602661952941165</v>
      </c>
      <c r="R298" s="26" t="s">
        <v>280</v>
      </c>
      <c r="S298" s="26">
        <v>1</v>
      </c>
      <c r="T298" s="71" t="s">
        <v>626</v>
      </c>
    </row>
    <row r="299" spans="1:20">
      <c r="A299" s="26"/>
      <c r="B299" s="26"/>
      <c r="C299" s="26"/>
      <c r="D299" s="25"/>
      <c r="H299" s="6"/>
      <c r="I299" s="22"/>
      <c r="J299" s="22"/>
      <c r="K299" s="27"/>
      <c r="L299" s="27"/>
      <c r="M299" s="27"/>
      <c r="N299" s="21"/>
      <c r="O299" s="24"/>
      <c r="P299" s="31"/>
      <c r="Q299" s="31"/>
      <c r="R299" s="26"/>
      <c r="S299" s="26"/>
      <c r="T299" s="71"/>
    </row>
    <row r="300" spans="1:20">
      <c r="A300" s="26" t="s">
        <v>141</v>
      </c>
      <c r="B300" s="26" t="s">
        <v>232</v>
      </c>
      <c r="C300" s="26" t="s">
        <v>504</v>
      </c>
      <c r="D300" s="25">
        <v>42620</v>
      </c>
      <c r="E300" s="1">
        <f t="shared" si="18"/>
        <v>2016</v>
      </c>
      <c r="F300" s="1">
        <f t="shared" si="19"/>
        <v>9</v>
      </c>
      <c r="G300" s="4">
        <f t="shared" si="20"/>
        <v>7</v>
      </c>
      <c r="H300" s="6">
        <v>0.89474537037037039</v>
      </c>
      <c r="I300" s="22">
        <v>130.221</v>
      </c>
      <c r="J300" s="22">
        <v>34.334833333333336</v>
      </c>
      <c r="K300" s="27">
        <v>0</v>
      </c>
      <c r="L300" s="27">
        <v>0</v>
      </c>
      <c r="M300" s="27">
        <v>0</v>
      </c>
      <c r="N300" s="21">
        <v>25.6</v>
      </c>
      <c r="O300" s="24">
        <v>31.901432562573962</v>
      </c>
      <c r="P300" s="31">
        <v>-0.3486545341176468</v>
      </c>
      <c r="Q300" s="31">
        <v>-2.4139458458823517</v>
      </c>
      <c r="R300" s="26" t="s">
        <v>280</v>
      </c>
      <c r="S300" s="26">
        <v>1</v>
      </c>
      <c r="T300" s="71" t="s">
        <v>626</v>
      </c>
    </row>
    <row r="301" spans="1:20">
      <c r="A301" s="26" t="s">
        <v>141</v>
      </c>
      <c r="B301" s="26" t="s">
        <v>232</v>
      </c>
      <c r="C301" s="26" t="s">
        <v>504</v>
      </c>
      <c r="D301" s="25">
        <v>42620</v>
      </c>
      <c r="E301" s="1">
        <f t="shared" si="18"/>
        <v>2016</v>
      </c>
      <c r="F301" s="1">
        <f t="shared" si="19"/>
        <v>9</v>
      </c>
      <c r="G301" s="4">
        <f t="shared" si="20"/>
        <v>7</v>
      </c>
      <c r="H301" s="6">
        <v>0.89474537037037039</v>
      </c>
      <c r="I301" s="22">
        <v>130.221</v>
      </c>
      <c r="J301" s="22">
        <v>34.334833333333336</v>
      </c>
      <c r="K301" s="27">
        <v>10.37</v>
      </c>
      <c r="L301" s="27">
        <v>10</v>
      </c>
      <c r="M301" s="27">
        <v>0</v>
      </c>
      <c r="N301" s="21">
        <v>24.802099999999999</v>
      </c>
      <c r="O301" s="24">
        <v>32.142600000000002</v>
      </c>
      <c r="P301" s="31">
        <v>-0.28747398000000013</v>
      </c>
      <c r="Q301" s="31">
        <v>-1.8315370705882339</v>
      </c>
      <c r="R301" s="26" t="s">
        <v>280</v>
      </c>
      <c r="S301" s="26">
        <v>1</v>
      </c>
      <c r="T301" s="71" t="s">
        <v>626</v>
      </c>
    </row>
    <row r="302" spans="1:20">
      <c r="A302" s="26" t="s">
        <v>141</v>
      </c>
      <c r="B302" s="26" t="s">
        <v>232</v>
      </c>
      <c r="C302" s="26" t="s">
        <v>504</v>
      </c>
      <c r="D302" s="25">
        <v>42620</v>
      </c>
      <c r="E302" s="1">
        <f t="shared" si="18"/>
        <v>2016</v>
      </c>
      <c r="F302" s="1">
        <f t="shared" si="19"/>
        <v>9</v>
      </c>
      <c r="G302" s="4">
        <f t="shared" si="20"/>
        <v>7</v>
      </c>
      <c r="H302" s="6">
        <v>0.89474537037037039</v>
      </c>
      <c r="I302" s="22">
        <v>130.221</v>
      </c>
      <c r="J302" s="22">
        <v>34.334833333333336</v>
      </c>
      <c r="K302" s="27">
        <v>20.134</v>
      </c>
      <c r="L302" s="27">
        <v>20</v>
      </c>
      <c r="M302" s="27">
        <v>0</v>
      </c>
      <c r="N302" s="21">
        <v>24.636099999999999</v>
      </c>
      <c r="O302" s="24">
        <v>32.445500000000003</v>
      </c>
      <c r="P302" s="31">
        <v>-0.17853600000000025</v>
      </c>
      <c r="Q302" s="31">
        <v>-0.8959751247058847</v>
      </c>
      <c r="R302" s="26" t="s">
        <v>280</v>
      </c>
      <c r="S302" s="26">
        <v>1</v>
      </c>
      <c r="T302" s="71" t="s">
        <v>626</v>
      </c>
    </row>
    <row r="303" spans="1:20">
      <c r="A303" s="26" t="s">
        <v>141</v>
      </c>
      <c r="B303" s="26" t="s">
        <v>232</v>
      </c>
      <c r="C303" s="26" t="s">
        <v>504</v>
      </c>
      <c r="D303" s="25">
        <v>42620</v>
      </c>
      <c r="E303" s="1">
        <f t="shared" si="18"/>
        <v>2016</v>
      </c>
      <c r="F303" s="1">
        <f t="shared" si="19"/>
        <v>9</v>
      </c>
      <c r="G303" s="4">
        <f t="shared" si="20"/>
        <v>7</v>
      </c>
      <c r="H303" s="6">
        <v>0.89474537037037039</v>
      </c>
      <c r="I303" s="22">
        <v>130.221</v>
      </c>
      <c r="J303" s="22">
        <v>34.334833333333336</v>
      </c>
      <c r="K303" s="27">
        <v>30.341999999999999</v>
      </c>
      <c r="L303" s="27">
        <v>30</v>
      </c>
      <c r="M303" s="27">
        <v>0</v>
      </c>
      <c r="N303" s="21">
        <v>22.037500000000001</v>
      </c>
      <c r="O303" s="24">
        <v>33.47</v>
      </c>
      <c r="P303" s="31">
        <v>9.7288260000000015E-2</v>
      </c>
      <c r="Q303" s="31">
        <v>0.62944726117647143</v>
      </c>
      <c r="R303" s="26" t="s">
        <v>280</v>
      </c>
      <c r="S303" s="26">
        <v>1</v>
      </c>
      <c r="T303" s="71" t="s">
        <v>626</v>
      </c>
    </row>
    <row r="304" spans="1:20">
      <c r="A304" s="26" t="s">
        <v>141</v>
      </c>
      <c r="B304" s="26" t="s">
        <v>232</v>
      </c>
      <c r="C304" s="26" t="s">
        <v>504</v>
      </c>
      <c r="D304" s="25">
        <v>42620</v>
      </c>
      <c r="E304" s="1">
        <f t="shared" si="18"/>
        <v>2016</v>
      </c>
      <c r="F304" s="1">
        <f t="shared" si="19"/>
        <v>9</v>
      </c>
      <c r="G304" s="4">
        <f t="shared" si="20"/>
        <v>7</v>
      </c>
      <c r="H304" s="6">
        <v>0.89474537037037039</v>
      </c>
      <c r="I304" s="22">
        <v>130.221</v>
      </c>
      <c r="J304" s="22">
        <v>34.334833333333336</v>
      </c>
      <c r="K304" s="27">
        <v>50.61</v>
      </c>
      <c r="L304" s="27">
        <v>50</v>
      </c>
      <c r="M304" s="27">
        <v>0</v>
      </c>
      <c r="N304" s="21">
        <v>20.382200000000001</v>
      </c>
      <c r="O304" s="24">
        <v>34.251100000000001</v>
      </c>
      <c r="P304" s="31">
        <v>0.16030175999999985</v>
      </c>
      <c r="Q304" s="31">
        <v>1.0695500870588237</v>
      </c>
      <c r="R304" s="26" t="s">
        <v>280</v>
      </c>
      <c r="S304" s="26">
        <v>1</v>
      </c>
      <c r="T304" s="71" t="s">
        <v>626</v>
      </c>
    </row>
    <row r="305" spans="1:20">
      <c r="A305" s="26" t="s">
        <v>141</v>
      </c>
      <c r="B305" s="26" t="s">
        <v>232</v>
      </c>
      <c r="C305" s="26" t="s">
        <v>504</v>
      </c>
      <c r="D305" s="25">
        <v>42620</v>
      </c>
      <c r="E305" s="1">
        <f t="shared" si="18"/>
        <v>2016</v>
      </c>
      <c r="F305" s="1">
        <f t="shared" si="19"/>
        <v>9</v>
      </c>
      <c r="G305" s="4">
        <f t="shared" si="20"/>
        <v>7</v>
      </c>
      <c r="H305" s="6">
        <v>0.89474537037037039</v>
      </c>
      <c r="I305" s="22">
        <v>130.221</v>
      </c>
      <c r="J305" s="22">
        <v>34.334833333333336</v>
      </c>
      <c r="K305" s="27">
        <v>99.605000000000004</v>
      </c>
      <c r="L305" s="27">
        <v>100</v>
      </c>
      <c r="M305" s="27">
        <v>0</v>
      </c>
      <c r="N305" s="21">
        <v>17.527000000000001</v>
      </c>
      <c r="O305" s="24">
        <v>34.4465</v>
      </c>
      <c r="P305" s="31">
        <v>0.19522751999999954</v>
      </c>
      <c r="Q305" s="31">
        <v>1.1363833929411786</v>
      </c>
      <c r="R305" s="26" t="s">
        <v>280</v>
      </c>
      <c r="S305" s="26">
        <v>1</v>
      </c>
      <c r="T305" s="71" t="s">
        <v>626</v>
      </c>
    </row>
    <row r="306" spans="1:20">
      <c r="A306" s="26"/>
      <c r="B306" s="26"/>
      <c r="C306" s="26"/>
      <c r="D306" s="25"/>
      <c r="H306" s="6"/>
      <c r="I306" s="22"/>
      <c r="J306" s="22"/>
      <c r="K306" s="27"/>
      <c r="L306" s="27"/>
      <c r="M306" s="27"/>
      <c r="N306" s="21"/>
      <c r="O306" s="24"/>
      <c r="P306" s="31"/>
      <c r="Q306" s="31"/>
      <c r="R306" s="26"/>
      <c r="S306" s="26"/>
      <c r="T306" s="71"/>
    </row>
    <row r="307" spans="1:20">
      <c r="A307" s="26" t="s">
        <v>144</v>
      </c>
      <c r="B307" s="26" t="s">
        <v>268</v>
      </c>
      <c r="C307" s="26" t="s">
        <v>507</v>
      </c>
      <c r="D307" s="25">
        <v>42915</v>
      </c>
      <c r="E307" s="1">
        <f t="shared" ref="E307:E326" si="21">YEAR(D307)</f>
        <v>2017</v>
      </c>
      <c r="F307" s="1">
        <f t="shared" ref="F307:F326" si="22">MONTH(D307)</f>
        <v>6</v>
      </c>
      <c r="G307" s="4">
        <f t="shared" ref="G307:G326" si="23">DAY(D307)</f>
        <v>29</v>
      </c>
      <c r="H307" s="6">
        <v>1.3888888888888889E-3</v>
      </c>
      <c r="I307" s="22">
        <v>127.24956666666665</v>
      </c>
      <c r="J307" s="22">
        <v>31.749916666666667</v>
      </c>
      <c r="K307" s="27">
        <v>0</v>
      </c>
      <c r="L307" s="27">
        <v>0</v>
      </c>
      <c r="M307" s="27">
        <v>0</v>
      </c>
      <c r="N307" s="21">
        <v>24.1</v>
      </c>
      <c r="O307" s="24">
        <v>31.510008429429501</v>
      </c>
      <c r="P307" s="31">
        <v>-0.3202027905882352</v>
      </c>
      <c r="Q307" s="31">
        <v>-2.4266650164705874</v>
      </c>
      <c r="R307" s="26" t="s">
        <v>280</v>
      </c>
      <c r="S307" s="26">
        <v>1</v>
      </c>
      <c r="T307" s="71" t="s">
        <v>626</v>
      </c>
    </row>
    <row r="308" spans="1:20">
      <c r="A308" s="26" t="s">
        <v>144</v>
      </c>
      <c r="B308" s="26" t="s">
        <v>268</v>
      </c>
      <c r="C308" s="26" t="s">
        <v>507</v>
      </c>
      <c r="D308" s="25">
        <v>42915</v>
      </c>
      <c r="E308" s="1">
        <f t="shared" si="21"/>
        <v>2017</v>
      </c>
      <c r="F308" s="1">
        <f t="shared" si="22"/>
        <v>6</v>
      </c>
      <c r="G308" s="4">
        <f t="shared" si="23"/>
        <v>29</v>
      </c>
      <c r="H308" s="6">
        <v>1.3888888888888889E-3</v>
      </c>
      <c r="I308" s="22">
        <v>127.24956666666665</v>
      </c>
      <c r="J308" s="22">
        <v>31.749916666666667</v>
      </c>
      <c r="K308" s="27">
        <v>10</v>
      </c>
      <c r="L308" s="27">
        <v>10</v>
      </c>
      <c r="M308" s="27">
        <v>0</v>
      </c>
      <c r="N308" s="21">
        <v>23.2925</v>
      </c>
      <c r="O308" s="24">
        <v>33.491653199227024</v>
      </c>
      <c r="P308" s="31">
        <v>-1.6957519999999837E-2</v>
      </c>
      <c r="Q308" s="31">
        <v>-0.48735263999999923</v>
      </c>
      <c r="R308" s="26" t="s">
        <v>280</v>
      </c>
      <c r="S308" s="26">
        <v>1</v>
      </c>
      <c r="T308" s="71" t="s">
        <v>626</v>
      </c>
    </row>
    <row r="309" spans="1:20">
      <c r="A309" s="26" t="s">
        <v>144</v>
      </c>
      <c r="B309" s="26" t="s">
        <v>268</v>
      </c>
      <c r="C309" s="26" t="s">
        <v>507</v>
      </c>
      <c r="D309" s="25">
        <v>42915</v>
      </c>
      <c r="E309" s="1">
        <f t="shared" si="21"/>
        <v>2017</v>
      </c>
      <c r="F309" s="1">
        <f t="shared" si="22"/>
        <v>6</v>
      </c>
      <c r="G309" s="4">
        <f t="shared" si="23"/>
        <v>29</v>
      </c>
      <c r="H309" s="6">
        <v>1.3888888888888889E-3</v>
      </c>
      <c r="I309" s="22">
        <v>127.24956666666665</v>
      </c>
      <c r="J309" s="22">
        <v>31.749916666666667</v>
      </c>
      <c r="K309" s="27">
        <v>20</v>
      </c>
      <c r="L309" s="27">
        <v>20</v>
      </c>
      <c r="M309" s="27">
        <v>0</v>
      </c>
      <c r="N309" s="21">
        <v>20.791</v>
      </c>
      <c r="O309" s="24">
        <v>34.051185418763474</v>
      </c>
      <c r="P309" s="31">
        <v>0.12414607058823579</v>
      </c>
      <c r="Q309" s="31">
        <v>0.3708484164705883</v>
      </c>
      <c r="R309" s="26" t="s">
        <v>280</v>
      </c>
      <c r="S309" s="26">
        <v>1</v>
      </c>
      <c r="T309" s="71" t="s">
        <v>626</v>
      </c>
    </row>
    <row r="310" spans="1:20">
      <c r="A310" s="26" t="s">
        <v>144</v>
      </c>
      <c r="B310" s="26" t="s">
        <v>268</v>
      </c>
      <c r="C310" s="26" t="s">
        <v>507</v>
      </c>
      <c r="D310" s="25">
        <v>42915</v>
      </c>
      <c r="E310" s="1">
        <f t="shared" si="21"/>
        <v>2017</v>
      </c>
      <c r="F310" s="1">
        <f t="shared" si="22"/>
        <v>6</v>
      </c>
      <c r="G310" s="4">
        <f t="shared" si="23"/>
        <v>29</v>
      </c>
      <c r="H310" s="6">
        <v>1.3888888888888889E-3</v>
      </c>
      <c r="I310" s="22">
        <v>127.24956666666665</v>
      </c>
      <c r="J310" s="22">
        <v>31.749916666666667</v>
      </c>
      <c r="K310" s="27">
        <v>30</v>
      </c>
      <c r="L310" s="27">
        <v>30</v>
      </c>
      <c r="M310" s="27">
        <v>0</v>
      </c>
      <c r="N310" s="21">
        <v>20.930700000000002</v>
      </c>
      <c r="O310" s="24">
        <v>34.488633070026012</v>
      </c>
      <c r="P310" s="31">
        <v>0.20381078117647067</v>
      </c>
      <c r="Q310" s="31">
        <v>1.3031223529411768</v>
      </c>
      <c r="R310" s="26" t="s">
        <v>280</v>
      </c>
      <c r="S310" s="26">
        <v>1</v>
      </c>
      <c r="T310" s="71" t="s">
        <v>626</v>
      </c>
    </row>
    <row r="311" spans="1:20">
      <c r="A311" s="26" t="s">
        <v>144</v>
      </c>
      <c r="B311" s="26" t="s">
        <v>268</v>
      </c>
      <c r="C311" s="26" t="s">
        <v>507</v>
      </c>
      <c r="D311" s="25">
        <v>42915</v>
      </c>
      <c r="E311" s="1">
        <f t="shared" si="21"/>
        <v>2017</v>
      </c>
      <c r="F311" s="1">
        <f t="shared" si="22"/>
        <v>6</v>
      </c>
      <c r="G311" s="4">
        <f t="shared" si="23"/>
        <v>29</v>
      </c>
      <c r="H311" s="6">
        <v>1.3888888888888889E-3</v>
      </c>
      <c r="I311" s="22">
        <v>127.24956666666665</v>
      </c>
      <c r="J311" s="22">
        <v>31.749916666666667</v>
      </c>
      <c r="K311" s="27">
        <v>50</v>
      </c>
      <c r="L311" s="27">
        <v>50</v>
      </c>
      <c r="M311" s="27">
        <v>0</v>
      </c>
      <c r="N311" s="21">
        <v>19.640699999999999</v>
      </c>
      <c r="O311" s="24">
        <v>34.701618063288237</v>
      </c>
      <c r="P311" s="31">
        <v>0.27920325176470584</v>
      </c>
      <c r="Q311" s="31">
        <v>1.5759908894117629</v>
      </c>
      <c r="R311" s="26" t="s">
        <v>280</v>
      </c>
      <c r="S311" s="26">
        <v>1</v>
      </c>
      <c r="T311" s="71" t="s">
        <v>626</v>
      </c>
    </row>
    <row r="312" spans="1:20">
      <c r="A312" s="26" t="s">
        <v>144</v>
      </c>
      <c r="B312" s="26" t="s">
        <v>268</v>
      </c>
      <c r="C312" s="26" t="s">
        <v>507</v>
      </c>
      <c r="D312" s="25">
        <v>42915</v>
      </c>
      <c r="E312" s="1">
        <f t="shared" si="21"/>
        <v>2017</v>
      </c>
      <c r="F312" s="1">
        <f t="shared" si="22"/>
        <v>6</v>
      </c>
      <c r="G312" s="4">
        <f t="shared" si="23"/>
        <v>29</v>
      </c>
      <c r="H312" s="6">
        <v>1.3888888888888889E-3</v>
      </c>
      <c r="I312" s="22">
        <v>127.24956666666665</v>
      </c>
      <c r="J312" s="22">
        <v>31.749916666666667</v>
      </c>
      <c r="K312" s="27">
        <v>75</v>
      </c>
      <c r="L312" s="27">
        <v>75</v>
      </c>
      <c r="M312" s="27">
        <v>0</v>
      </c>
      <c r="N312" s="21">
        <v>17.8504</v>
      </c>
      <c r="O312" s="24">
        <v>34.429930192902326</v>
      </c>
      <c r="P312" s="31">
        <v>0.18268892235294154</v>
      </c>
      <c r="Q312" s="31">
        <v>1.1437953458823529</v>
      </c>
      <c r="R312" s="26" t="s">
        <v>280</v>
      </c>
      <c r="S312" s="26">
        <v>1</v>
      </c>
      <c r="T312" s="71" t="s">
        <v>626</v>
      </c>
    </row>
    <row r="313" spans="1:20">
      <c r="A313" s="26" t="s">
        <v>144</v>
      </c>
      <c r="B313" s="26" t="s">
        <v>268</v>
      </c>
      <c r="C313" s="26" t="s">
        <v>507</v>
      </c>
      <c r="D313" s="25">
        <v>42915</v>
      </c>
      <c r="E313" s="1">
        <f t="shared" si="21"/>
        <v>2017</v>
      </c>
      <c r="F313" s="1">
        <f t="shared" si="22"/>
        <v>6</v>
      </c>
      <c r="G313" s="4">
        <f t="shared" si="23"/>
        <v>29</v>
      </c>
      <c r="H313" s="6">
        <v>1.3888888888888889E-3</v>
      </c>
      <c r="I313" s="22">
        <v>127.24956666666665</v>
      </c>
      <c r="J313" s="22">
        <v>31.749916666666667</v>
      </c>
      <c r="K313" s="27">
        <v>100</v>
      </c>
      <c r="L313" s="27">
        <v>100</v>
      </c>
      <c r="M313" s="27">
        <v>0</v>
      </c>
      <c r="N313" s="21">
        <v>14.704000000000001</v>
      </c>
      <c r="O313" s="24">
        <v>34.301151747016476</v>
      </c>
      <c r="P313" s="31">
        <v>0.15595451294117635</v>
      </c>
      <c r="Q313" s="31">
        <v>0.70611292235294165</v>
      </c>
      <c r="R313" s="26" t="s">
        <v>280</v>
      </c>
      <c r="S313" s="26">
        <v>1</v>
      </c>
      <c r="T313" s="71" t="s">
        <v>626</v>
      </c>
    </row>
    <row r="314" spans="1:20">
      <c r="A314" s="26" t="s">
        <v>144</v>
      </c>
      <c r="B314" s="26" t="s">
        <v>268</v>
      </c>
      <c r="C314" s="26" t="s">
        <v>507</v>
      </c>
      <c r="D314" s="25">
        <v>42915</v>
      </c>
      <c r="E314" s="1">
        <f t="shared" si="21"/>
        <v>2017</v>
      </c>
      <c r="F314" s="1">
        <f t="shared" si="22"/>
        <v>6</v>
      </c>
      <c r="G314" s="4">
        <f t="shared" si="23"/>
        <v>29</v>
      </c>
      <c r="H314" s="6">
        <v>1.3888888888888889E-3</v>
      </c>
      <c r="I314" s="22">
        <v>127.24956666666665</v>
      </c>
      <c r="J314" s="22">
        <v>31.749916666666667</v>
      </c>
      <c r="K314" s="27">
        <v>122</v>
      </c>
      <c r="L314" s="27">
        <v>122</v>
      </c>
      <c r="M314" s="27">
        <v>0</v>
      </c>
      <c r="N314" s="21">
        <v>14.5358</v>
      </c>
      <c r="O314" s="24">
        <v>34.36515999789394</v>
      </c>
      <c r="P314" s="31">
        <v>0.15921327647058803</v>
      </c>
      <c r="Q314" s="31">
        <v>0.73151981411764666</v>
      </c>
      <c r="R314" s="26" t="s">
        <v>280</v>
      </c>
      <c r="S314" s="26">
        <v>1</v>
      </c>
      <c r="T314" s="71" t="s">
        <v>626</v>
      </c>
    </row>
    <row r="315" spans="1:20">
      <c r="A315" s="26"/>
      <c r="B315" s="26"/>
      <c r="C315" s="26"/>
      <c r="D315" s="25"/>
      <c r="H315" s="6"/>
      <c r="I315" s="22"/>
      <c r="J315" s="22"/>
      <c r="K315" s="27"/>
      <c r="L315" s="27"/>
      <c r="M315" s="27"/>
      <c r="N315" s="21"/>
      <c r="O315" s="24"/>
      <c r="P315" s="31"/>
      <c r="Q315" s="31"/>
      <c r="R315" s="26"/>
      <c r="S315" s="26"/>
      <c r="T315" s="71"/>
    </row>
    <row r="316" spans="1:20">
      <c r="A316" s="26" t="s">
        <v>144</v>
      </c>
      <c r="B316" s="26" t="s">
        <v>269</v>
      </c>
      <c r="C316" s="26" t="s">
        <v>507</v>
      </c>
      <c r="D316" s="25">
        <v>42917</v>
      </c>
      <c r="E316" s="1">
        <f t="shared" si="21"/>
        <v>2017</v>
      </c>
      <c r="F316" s="1">
        <f t="shared" si="22"/>
        <v>7</v>
      </c>
      <c r="G316" s="4">
        <f t="shared" si="23"/>
        <v>1</v>
      </c>
      <c r="H316" s="6">
        <v>0</v>
      </c>
      <c r="I316" s="22">
        <v>128.75143333333335</v>
      </c>
      <c r="J316" s="22">
        <v>31.748983333333335</v>
      </c>
      <c r="K316" s="27">
        <v>0</v>
      </c>
      <c r="L316" s="27">
        <v>0</v>
      </c>
      <c r="M316" s="27">
        <v>0</v>
      </c>
      <c r="N316" s="21">
        <v>25</v>
      </c>
      <c r="O316" s="24">
        <v>33.702172353922279</v>
      </c>
      <c r="P316" s="31">
        <v>2.2332582352941222E-2</v>
      </c>
      <c r="Q316" s="31">
        <v>0.10093855058823564</v>
      </c>
      <c r="R316" s="26" t="s">
        <v>280</v>
      </c>
      <c r="S316" s="26">
        <v>1</v>
      </c>
      <c r="T316" s="71" t="s">
        <v>626</v>
      </c>
    </row>
    <row r="317" spans="1:20">
      <c r="A317" s="26" t="s">
        <v>144</v>
      </c>
      <c r="B317" s="26" t="s">
        <v>269</v>
      </c>
      <c r="C317" s="26" t="s">
        <v>507</v>
      </c>
      <c r="D317" s="25">
        <v>42917</v>
      </c>
      <c r="E317" s="1">
        <f t="shared" si="21"/>
        <v>2017</v>
      </c>
      <c r="F317" s="1">
        <f t="shared" si="22"/>
        <v>7</v>
      </c>
      <c r="G317" s="4">
        <f t="shared" si="23"/>
        <v>1</v>
      </c>
      <c r="H317" s="6">
        <v>0</v>
      </c>
      <c r="I317" s="22">
        <v>128.75143333333335</v>
      </c>
      <c r="J317" s="22">
        <v>31.748983333333335</v>
      </c>
      <c r="K317" s="27">
        <v>10</v>
      </c>
      <c r="L317" s="27">
        <v>10</v>
      </c>
      <c r="M317" s="27">
        <v>0</v>
      </c>
      <c r="N317" s="21">
        <v>25.180399999999999</v>
      </c>
      <c r="O317" s="24">
        <v>33.834787933467894</v>
      </c>
      <c r="P317" s="31">
        <v>7.5035117647058724E-2</v>
      </c>
      <c r="Q317" s="31">
        <v>0.33104936941176533</v>
      </c>
      <c r="R317" s="26" t="s">
        <v>280</v>
      </c>
      <c r="S317" s="26">
        <v>1</v>
      </c>
      <c r="T317" s="71" t="s">
        <v>626</v>
      </c>
    </row>
    <row r="318" spans="1:20">
      <c r="A318" s="26" t="s">
        <v>144</v>
      </c>
      <c r="B318" s="26" t="s">
        <v>269</v>
      </c>
      <c r="C318" s="26" t="s">
        <v>507</v>
      </c>
      <c r="D318" s="25">
        <v>42917</v>
      </c>
      <c r="E318" s="1">
        <f t="shared" si="21"/>
        <v>2017</v>
      </c>
      <c r="F318" s="1">
        <f t="shared" si="22"/>
        <v>7</v>
      </c>
      <c r="G318" s="4">
        <f t="shared" si="23"/>
        <v>1</v>
      </c>
      <c r="H318" s="6">
        <v>0</v>
      </c>
      <c r="I318" s="22">
        <v>128.75143333333335</v>
      </c>
      <c r="J318" s="22">
        <v>31.748983333333335</v>
      </c>
      <c r="K318" s="27">
        <v>20</v>
      </c>
      <c r="L318" s="27">
        <v>20</v>
      </c>
      <c r="M318" s="27">
        <v>0</v>
      </c>
      <c r="N318" s="21">
        <v>23.770499999999998</v>
      </c>
      <c r="O318" s="24">
        <v>33.911288200653665</v>
      </c>
      <c r="P318" s="31">
        <v>0.11696275294117631</v>
      </c>
      <c r="Q318" s="31">
        <v>0.5819743482352937</v>
      </c>
      <c r="R318" s="26" t="s">
        <v>280</v>
      </c>
      <c r="S318" s="26">
        <v>1</v>
      </c>
      <c r="T318" s="71" t="s">
        <v>626</v>
      </c>
    </row>
    <row r="319" spans="1:20">
      <c r="A319" s="26" t="s">
        <v>144</v>
      </c>
      <c r="B319" s="26" t="s">
        <v>269</v>
      </c>
      <c r="C319" s="26" t="s">
        <v>507</v>
      </c>
      <c r="D319" s="25">
        <v>42917</v>
      </c>
      <c r="E319" s="1">
        <f t="shared" si="21"/>
        <v>2017</v>
      </c>
      <c r="F319" s="1">
        <f t="shared" si="22"/>
        <v>7</v>
      </c>
      <c r="G319" s="4">
        <f t="shared" si="23"/>
        <v>1</v>
      </c>
      <c r="H319" s="6">
        <v>0</v>
      </c>
      <c r="I319" s="22">
        <v>128.75143333333335</v>
      </c>
      <c r="J319" s="22">
        <v>31.748983333333335</v>
      </c>
      <c r="K319" s="27">
        <v>30</v>
      </c>
      <c r="L319" s="27">
        <v>30</v>
      </c>
      <c r="M319" s="27">
        <v>0</v>
      </c>
      <c r="N319" s="21">
        <v>22.718399999999999</v>
      </c>
      <c r="O319" s="24">
        <v>33.95353765290114</v>
      </c>
      <c r="P319" s="31">
        <v>8.3669388235293907E-2</v>
      </c>
      <c r="Q319" s="31">
        <v>0.46727700705882214</v>
      </c>
      <c r="R319" s="26" t="s">
        <v>280</v>
      </c>
      <c r="S319" s="26">
        <v>1</v>
      </c>
      <c r="T319" s="71" t="s">
        <v>626</v>
      </c>
    </row>
    <row r="320" spans="1:20">
      <c r="A320" s="26" t="s">
        <v>144</v>
      </c>
      <c r="B320" s="26" t="s">
        <v>269</v>
      </c>
      <c r="C320" s="26" t="s">
        <v>507</v>
      </c>
      <c r="D320" s="25">
        <v>42917</v>
      </c>
      <c r="E320" s="1">
        <f t="shared" si="21"/>
        <v>2017</v>
      </c>
      <c r="F320" s="1">
        <f t="shared" si="22"/>
        <v>7</v>
      </c>
      <c r="G320" s="4">
        <f t="shared" si="23"/>
        <v>1</v>
      </c>
      <c r="H320" s="6">
        <v>0</v>
      </c>
      <c r="I320" s="22">
        <v>128.75143333333335</v>
      </c>
      <c r="J320" s="22">
        <v>31.748983333333335</v>
      </c>
      <c r="K320" s="27">
        <v>50</v>
      </c>
      <c r="L320" s="27">
        <v>50</v>
      </c>
      <c r="M320" s="27">
        <v>0</v>
      </c>
      <c r="N320" s="21">
        <v>20.7514</v>
      </c>
      <c r="O320" s="24">
        <v>34.120225162635641</v>
      </c>
      <c r="P320" s="31">
        <v>0.11913327941176455</v>
      </c>
      <c r="Q320" s="31">
        <v>0.87112984901960822</v>
      </c>
      <c r="R320" s="26" t="s">
        <v>280</v>
      </c>
      <c r="S320" s="26">
        <v>1</v>
      </c>
      <c r="T320" s="71" t="s">
        <v>626</v>
      </c>
    </row>
    <row r="321" spans="1:20">
      <c r="A321" s="26" t="s">
        <v>144</v>
      </c>
      <c r="B321" s="26" t="s">
        <v>269</v>
      </c>
      <c r="C321" s="26" t="s">
        <v>507</v>
      </c>
      <c r="D321" s="25">
        <v>42917</v>
      </c>
      <c r="E321" s="1">
        <f t="shared" si="21"/>
        <v>2017</v>
      </c>
      <c r="F321" s="1">
        <f t="shared" si="22"/>
        <v>7</v>
      </c>
      <c r="G321" s="4">
        <f t="shared" si="23"/>
        <v>1</v>
      </c>
      <c r="H321" s="6">
        <v>0</v>
      </c>
      <c r="I321" s="22">
        <v>128.75143333333335</v>
      </c>
      <c r="J321" s="22">
        <v>31.748983333333335</v>
      </c>
      <c r="K321" s="27">
        <v>75</v>
      </c>
      <c r="L321" s="27">
        <v>75</v>
      </c>
      <c r="M321" s="27">
        <v>0</v>
      </c>
      <c r="N321" s="21">
        <v>19.7667</v>
      </c>
      <c r="O321" s="24">
        <v>34.621553982221947</v>
      </c>
      <c r="P321" s="31">
        <v>0.22560866470588237</v>
      </c>
      <c r="Q321" s="31">
        <v>1.6150820611764711</v>
      </c>
      <c r="R321" s="26" t="s">
        <v>280</v>
      </c>
      <c r="S321" s="26">
        <v>1</v>
      </c>
      <c r="T321" s="71" t="s">
        <v>626</v>
      </c>
    </row>
    <row r="322" spans="1:20">
      <c r="A322" s="26" t="s">
        <v>144</v>
      </c>
      <c r="B322" s="26" t="s">
        <v>269</v>
      </c>
      <c r="C322" s="26" t="s">
        <v>507</v>
      </c>
      <c r="D322" s="25">
        <v>42917</v>
      </c>
      <c r="E322" s="1">
        <f t="shared" si="21"/>
        <v>2017</v>
      </c>
      <c r="F322" s="1">
        <f t="shared" si="22"/>
        <v>7</v>
      </c>
      <c r="G322" s="4">
        <f t="shared" si="23"/>
        <v>1</v>
      </c>
      <c r="H322" s="6">
        <v>0</v>
      </c>
      <c r="I322" s="22">
        <v>128.75143333333335</v>
      </c>
      <c r="J322" s="22">
        <v>31.748983333333335</v>
      </c>
      <c r="K322" s="27">
        <v>100</v>
      </c>
      <c r="L322" s="27">
        <v>100</v>
      </c>
      <c r="M322" s="27">
        <v>0</v>
      </c>
      <c r="N322" s="21">
        <v>18.6218</v>
      </c>
      <c r="O322" s="24">
        <v>34.660011755128934</v>
      </c>
      <c r="P322" s="31">
        <v>0.27973429999999944</v>
      </c>
      <c r="Q322" s="31">
        <v>1.6904611999999997</v>
      </c>
      <c r="R322" s="26" t="s">
        <v>280</v>
      </c>
      <c r="S322" s="26">
        <v>1</v>
      </c>
      <c r="T322" s="71" t="s">
        <v>626</v>
      </c>
    </row>
    <row r="323" spans="1:20">
      <c r="A323" s="26" t="s">
        <v>144</v>
      </c>
      <c r="B323" s="26" t="s">
        <v>269</v>
      </c>
      <c r="C323" s="26" t="s">
        <v>507</v>
      </c>
      <c r="D323" s="25">
        <v>42917</v>
      </c>
      <c r="E323" s="1">
        <f t="shared" si="21"/>
        <v>2017</v>
      </c>
      <c r="F323" s="1">
        <f t="shared" si="22"/>
        <v>7</v>
      </c>
      <c r="G323" s="4">
        <f t="shared" si="23"/>
        <v>1</v>
      </c>
      <c r="H323" s="6">
        <v>0</v>
      </c>
      <c r="I323" s="22">
        <v>128.75143333333335</v>
      </c>
      <c r="J323" s="22">
        <v>31.748983333333335</v>
      </c>
      <c r="K323" s="27">
        <v>125</v>
      </c>
      <c r="L323" s="27">
        <v>125</v>
      </c>
      <c r="M323" s="27">
        <v>0</v>
      </c>
      <c r="N323" s="21">
        <v>17.142600000000002</v>
      </c>
      <c r="O323" s="24">
        <v>34.644044093335211</v>
      </c>
      <c r="P323" s="31">
        <v>0.26555113529411756</v>
      </c>
      <c r="Q323" s="31">
        <v>1.6140540588235304</v>
      </c>
      <c r="R323" s="26" t="s">
        <v>280</v>
      </c>
      <c r="S323" s="26">
        <v>1</v>
      </c>
      <c r="T323" s="71" t="s">
        <v>626</v>
      </c>
    </row>
    <row r="324" spans="1:20">
      <c r="A324" s="26" t="s">
        <v>144</v>
      </c>
      <c r="B324" s="26" t="s">
        <v>269</v>
      </c>
      <c r="C324" s="26" t="s">
        <v>507</v>
      </c>
      <c r="D324" s="25">
        <v>42917</v>
      </c>
      <c r="E324" s="1">
        <f t="shared" si="21"/>
        <v>2017</v>
      </c>
      <c r="F324" s="1">
        <f t="shared" si="22"/>
        <v>7</v>
      </c>
      <c r="G324" s="4">
        <f t="shared" si="23"/>
        <v>1</v>
      </c>
      <c r="H324" s="6">
        <v>0</v>
      </c>
      <c r="I324" s="22">
        <v>128.75143333333335</v>
      </c>
      <c r="J324" s="22">
        <v>31.748983333333335</v>
      </c>
      <c r="K324" s="27">
        <v>150</v>
      </c>
      <c r="L324" s="27">
        <v>150</v>
      </c>
      <c r="M324" s="27">
        <v>0</v>
      </c>
      <c r="N324" s="21">
        <v>16.0746</v>
      </c>
      <c r="O324" s="24">
        <v>34.626702342062472</v>
      </c>
      <c r="P324" s="31">
        <v>0.25096137058823498</v>
      </c>
      <c r="Q324" s="31">
        <v>1.3049603176470601</v>
      </c>
      <c r="R324" s="26" t="s">
        <v>280</v>
      </c>
      <c r="S324" s="26">
        <v>1</v>
      </c>
      <c r="T324" s="71" t="s">
        <v>626</v>
      </c>
    </row>
    <row r="325" spans="1:20">
      <c r="A325" s="26" t="s">
        <v>144</v>
      </c>
      <c r="B325" s="26" t="s">
        <v>269</v>
      </c>
      <c r="C325" s="26" t="s">
        <v>507</v>
      </c>
      <c r="D325" s="25">
        <v>42917</v>
      </c>
      <c r="E325" s="1">
        <f t="shared" si="21"/>
        <v>2017</v>
      </c>
      <c r="F325" s="1">
        <f t="shared" si="22"/>
        <v>7</v>
      </c>
      <c r="G325" s="4">
        <f t="shared" si="23"/>
        <v>1</v>
      </c>
      <c r="H325" s="6">
        <v>0</v>
      </c>
      <c r="I325" s="22">
        <v>128.75143333333335</v>
      </c>
      <c r="J325" s="22">
        <v>31.748983333333335</v>
      </c>
      <c r="K325" s="27">
        <v>200</v>
      </c>
      <c r="L325" s="27">
        <v>200</v>
      </c>
      <c r="M325" s="27">
        <v>0</v>
      </c>
      <c r="N325" s="21">
        <v>14.614000000000001</v>
      </c>
      <c r="O325" s="24">
        <v>34.570370089194341</v>
      </c>
      <c r="P325" s="31">
        <v>0.18920600588235259</v>
      </c>
      <c r="Q325" s="31">
        <v>1.0869776164705893</v>
      </c>
      <c r="R325" s="26" t="s">
        <v>280</v>
      </c>
      <c r="S325" s="26">
        <v>1</v>
      </c>
      <c r="T325" s="71" t="s">
        <v>626</v>
      </c>
    </row>
    <row r="326" spans="1:20">
      <c r="A326" s="26" t="s">
        <v>144</v>
      </c>
      <c r="B326" s="26" t="s">
        <v>269</v>
      </c>
      <c r="C326" s="26" t="s">
        <v>507</v>
      </c>
      <c r="D326" s="25">
        <v>42917</v>
      </c>
      <c r="E326" s="1">
        <f t="shared" si="21"/>
        <v>2017</v>
      </c>
      <c r="F326" s="1">
        <f t="shared" si="22"/>
        <v>7</v>
      </c>
      <c r="G326" s="4">
        <f t="shared" si="23"/>
        <v>1</v>
      </c>
      <c r="H326" s="6">
        <v>0</v>
      </c>
      <c r="I326" s="22">
        <v>128.75143333333335</v>
      </c>
      <c r="J326" s="22">
        <v>31.748983333333335</v>
      </c>
      <c r="K326" s="27">
        <v>300</v>
      </c>
      <c r="L326" s="27">
        <v>300</v>
      </c>
      <c r="M326" s="27">
        <v>0</v>
      </c>
      <c r="N326" s="21">
        <v>12.0878</v>
      </c>
      <c r="O326" s="24">
        <v>34.456819770669519</v>
      </c>
      <c r="P326" s="31">
        <v>0.16865277450980409</v>
      </c>
      <c r="Q326" s="31">
        <v>0.64750083529411739</v>
      </c>
      <c r="R326" s="26" t="s">
        <v>280</v>
      </c>
      <c r="S326" s="26">
        <v>1</v>
      </c>
      <c r="T326" s="71" t="s">
        <v>626</v>
      </c>
    </row>
    <row r="327" spans="1:20">
      <c r="A327" s="26" t="s">
        <v>144</v>
      </c>
      <c r="B327" s="26" t="s">
        <v>269</v>
      </c>
      <c r="C327" s="26" t="s">
        <v>507</v>
      </c>
      <c r="D327" s="25">
        <v>42917</v>
      </c>
      <c r="E327" s="1">
        <f t="shared" ref="E327:E391" si="24">YEAR(D327)</f>
        <v>2017</v>
      </c>
      <c r="F327" s="1">
        <f t="shared" ref="F327:F391" si="25">MONTH(D327)</f>
        <v>7</v>
      </c>
      <c r="G327" s="4">
        <f t="shared" ref="G327:G391" si="26">DAY(D327)</f>
        <v>1</v>
      </c>
      <c r="H327" s="6">
        <v>0</v>
      </c>
      <c r="I327" s="22">
        <v>128.75143333333335</v>
      </c>
      <c r="J327" s="22">
        <v>31.748983333333335</v>
      </c>
      <c r="K327" s="27">
        <v>500</v>
      </c>
      <c r="L327" s="27">
        <v>500</v>
      </c>
      <c r="M327" s="27">
        <v>0</v>
      </c>
      <c r="N327" s="21">
        <v>7.7553999999999998</v>
      </c>
      <c r="O327" s="24">
        <v>34.346468130610468</v>
      </c>
      <c r="P327" s="31">
        <v>-5.0998923529411933E-2</v>
      </c>
      <c r="Q327" s="31">
        <v>-0.59096478588235257</v>
      </c>
      <c r="R327" s="26" t="s">
        <v>280</v>
      </c>
      <c r="S327" s="26">
        <v>1</v>
      </c>
      <c r="T327" s="71" t="s">
        <v>626</v>
      </c>
    </row>
    <row r="328" spans="1:20">
      <c r="A328" s="26"/>
      <c r="B328" s="26"/>
      <c r="C328" s="26"/>
      <c r="D328" s="25"/>
      <c r="H328" s="6"/>
      <c r="I328" s="22"/>
      <c r="J328" s="22"/>
      <c r="K328" s="27"/>
      <c r="L328" s="27"/>
      <c r="M328" s="27"/>
      <c r="N328" s="21"/>
      <c r="O328" s="24"/>
      <c r="P328" s="31"/>
      <c r="Q328" s="31"/>
      <c r="R328" s="26"/>
      <c r="S328" s="26"/>
      <c r="T328" s="71"/>
    </row>
    <row r="329" spans="1:20">
      <c r="A329" s="26" t="s">
        <v>145</v>
      </c>
      <c r="B329" s="26" t="s">
        <v>216</v>
      </c>
      <c r="C329" s="26" t="s">
        <v>509</v>
      </c>
      <c r="D329" s="25">
        <v>42972</v>
      </c>
      <c r="E329" s="1">
        <f t="shared" si="24"/>
        <v>2017</v>
      </c>
      <c r="F329" s="1">
        <f t="shared" si="25"/>
        <v>8</v>
      </c>
      <c r="G329" s="4">
        <f t="shared" si="26"/>
        <v>25</v>
      </c>
      <c r="H329" s="6">
        <v>0.72958333333333336</v>
      </c>
      <c r="I329" s="22">
        <v>136.04116666666667</v>
      </c>
      <c r="J329" s="22">
        <v>37.819499999999998</v>
      </c>
      <c r="K329" s="27">
        <v>0</v>
      </c>
      <c r="L329" s="27">
        <v>0</v>
      </c>
      <c r="M329" s="27">
        <v>0</v>
      </c>
      <c r="N329" s="21">
        <v>26.9</v>
      </c>
      <c r="O329" s="24">
        <v>32.883316364561253</v>
      </c>
      <c r="P329" s="31">
        <v>-0.17080874823529379</v>
      </c>
      <c r="Q329" s="31">
        <v>-1.6015746376470572</v>
      </c>
      <c r="R329" s="26" t="s">
        <v>280</v>
      </c>
      <c r="S329" s="26"/>
      <c r="T329" s="71" t="s">
        <v>626</v>
      </c>
    </row>
    <row r="330" spans="1:20">
      <c r="A330" s="26" t="s">
        <v>145</v>
      </c>
      <c r="B330" s="26" t="s">
        <v>216</v>
      </c>
      <c r="C330" s="26" t="s">
        <v>509</v>
      </c>
      <c r="D330" s="25">
        <v>42972</v>
      </c>
      <c r="E330" s="1">
        <f t="shared" si="24"/>
        <v>2017</v>
      </c>
      <c r="F330" s="1">
        <f t="shared" si="25"/>
        <v>8</v>
      </c>
      <c r="G330" s="4">
        <f t="shared" si="26"/>
        <v>25</v>
      </c>
      <c r="H330" s="6">
        <v>0.72958333333333336</v>
      </c>
      <c r="I330" s="22">
        <v>136.04116666666667</v>
      </c>
      <c r="J330" s="22">
        <v>37.819499999999998</v>
      </c>
      <c r="K330" s="27">
        <v>20</v>
      </c>
      <c r="L330" s="27">
        <v>20</v>
      </c>
      <c r="M330" s="27">
        <v>0</v>
      </c>
      <c r="N330" s="21">
        <v>25.766999999999999</v>
      </c>
      <c r="O330" s="24">
        <v>34.082000000000001</v>
      </c>
      <c r="P330" s="31">
        <v>8.0336950588235423E-2</v>
      </c>
      <c r="Q330" s="31">
        <v>-0.24867306588235216</v>
      </c>
      <c r="R330" s="26" t="s">
        <v>280</v>
      </c>
      <c r="S330" s="26"/>
      <c r="T330" s="71" t="s">
        <v>626</v>
      </c>
    </row>
    <row r="331" spans="1:20">
      <c r="A331" s="26" t="s">
        <v>145</v>
      </c>
      <c r="B331" s="26" t="s">
        <v>216</v>
      </c>
      <c r="C331" s="26" t="s">
        <v>509</v>
      </c>
      <c r="D331" s="25">
        <v>42972</v>
      </c>
      <c r="E331" s="1">
        <f t="shared" si="24"/>
        <v>2017</v>
      </c>
      <c r="F331" s="1">
        <f t="shared" si="25"/>
        <v>8</v>
      </c>
      <c r="G331" s="4">
        <f t="shared" si="26"/>
        <v>25</v>
      </c>
      <c r="H331" s="6">
        <v>0.72958333333333336</v>
      </c>
      <c r="I331" s="22">
        <v>136.04116666666667</v>
      </c>
      <c r="J331" s="22">
        <v>37.819499999999998</v>
      </c>
      <c r="K331" s="27">
        <v>50</v>
      </c>
      <c r="L331" s="27">
        <v>50</v>
      </c>
      <c r="M331" s="27">
        <v>0</v>
      </c>
      <c r="N331" s="21">
        <v>15.62</v>
      </c>
      <c r="O331" s="24">
        <v>34.488</v>
      </c>
      <c r="P331" s="31">
        <v>0.29674638941176457</v>
      </c>
      <c r="Q331" s="31">
        <v>1.0573377458823554</v>
      </c>
      <c r="R331" s="26" t="s">
        <v>280</v>
      </c>
      <c r="S331" s="26"/>
      <c r="T331" s="71" t="s">
        <v>626</v>
      </c>
    </row>
    <row r="332" spans="1:20">
      <c r="A332" s="26"/>
      <c r="B332" s="26"/>
      <c r="C332" s="26"/>
      <c r="D332" s="25"/>
      <c r="H332" s="6"/>
      <c r="I332" s="22"/>
      <c r="J332" s="22"/>
      <c r="K332" s="27"/>
      <c r="L332" s="27"/>
      <c r="M332" s="27"/>
      <c r="N332" s="21"/>
      <c r="O332" s="24"/>
      <c r="P332" s="31"/>
      <c r="Q332" s="31"/>
      <c r="R332" s="26"/>
      <c r="S332" s="26"/>
      <c r="T332" s="71"/>
    </row>
    <row r="333" spans="1:20">
      <c r="A333" s="26" t="s">
        <v>145</v>
      </c>
      <c r="B333" s="26" t="s">
        <v>217</v>
      </c>
      <c r="C333" s="26" t="s">
        <v>509</v>
      </c>
      <c r="D333" s="25">
        <v>42972</v>
      </c>
      <c r="E333" s="1">
        <f t="shared" si="24"/>
        <v>2017</v>
      </c>
      <c r="F333" s="1">
        <f t="shared" si="25"/>
        <v>8</v>
      </c>
      <c r="G333" s="4">
        <f t="shared" si="26"/>
        <v>25</v>
      </c>
      <c r="H333" s="6">
        <v>0.61736111111111114</v>
      </c>
      <c r="I333" s="22">
        <v>135.79666666666665</v>
      </c>
      <c r="J333" s="22">
        <v>37.945666666666668</v>
      </c>
      <c r="K333" s="27">
        <v>0</v>
      </c>
      <c r="L333" s="27">
        <v>0</v>
      </c>
      <c r="M333" s="27">
        <v>0</v>
      </c>
      <c r="N333" s="21">
        <v>25.6</v>
      </c>
      <c r="O333" s="24">
        <v>34.050728732191949</v>
      </c>
      <c r="P333" s="15">
        <v>5.7171342352940746E-2</v>
      </c>
      <c r="Q333" s="15">
        <v>-0.1555177647058823</v>
      </c>
      <c r="R333" s="26" t="s">
        <v>280</v>
      </c>
      <c r="S333" s="26"/>
      <c r="T333" s="71" t="s">
        <v>626</v>
      </c>
    </row>
    <row r="334" spans="1:20">
      <c r="A334" s="26" t="s">
        <v>145</v>
      </c>
      <c r="B334" s="26" t="s">
        <v>217</v>
      </c>
      <c r="C334" s="26" t="s">
        <v>509</v>
      </c>
      <c r="D334" s="25">
        <v>42972</v>
      </c>
      <c r="E334" s="1">
        <f t="shared" si="24"/>
        <v>2017</v>
      </c>
      <c r="F334" s="1">
        <f t="shared" si="25"/>
        <v>8</v>
      </c>
      <c r="G334" s="4">
        <f t="shared" si="26"/>
        <v>25</v>
      </c>
      <c r="H334" s="6">
        <v>0.61736111111111114</v>
      </c>
      <c r="I334" s="22">
        <v>135.79666666666665</v>
      </c>
      <c r="J334" s="22">
        <v>37.945666666666668</v>
      </c>
      <c r="K334" s="27">
        <v>20</v>
      </c>
      <c r="L334" s="27">
        <v>20</v>
      </c>
      <c r="M334" s="27">
        <v>0</v>
      </c>
      <c r="N334" s="21">
        <v>22.238</v>
      </c>
      <c r="O334" s="24">
        <v>34.14</v>
      </c>
      <c r="P334" s="31">
        <v>0.11027324705882369</v>
      </c>
      <c r="Q334" s="31">
        <v>-8.5841830588236689E-2</v>
      </c>
      <c r="R334" s="26" t="s">
        <v>280</v>
      </c>
      <c r="S334" s="26"/>
      <c r="T334" s="71" t="s">
        <v>626</v>
      </c>
    </row>
    <row r="335" spans="1:20">
      <c r="A335" s="26" t="s">
        <v>145</v>
      </c>
      <c r="B335" s="26" t="s">
        <v>217</v>
      </c>
      <c r="C335" s="26" t="s">
        <v>509</v>
      </c>
      <c r="D335" s="25">
        <v>42972</v>
      </c>
      <c r="E335" s="1">
        <f t="shared" si="24"/>
        <v>2017</v>
      </c>
      <c r="F335" s="1">
        <f t="shared" si="25"/>
        <v>8</v>
      </c>
      <c r="G335" s="4">
        <f t="shared" si="26"/>
        <v>25</v>
      </c>
      <c r="H335" s="6">
        <v>0.61736111111111114</v>
      </c>
      <c r="I335" s="22">
        <v>135.79666666666665</v>
      </c>
      <c r="J335" s="22">
        <v>37.945666666666668</v>
      </c>
      <c r="K335" s="27">
        <v>50</v>
      </c>
      <c r="L335" s="27">
        <v>50</v>
      </c>
      <c r="M335" s="27">
        <v>0</v>
      </c>
      <c r="N335" s="21">
        <v>15.385</v>
      </c>
      <c r="O335" s="24">
        <v>34.523000000000003</v>
      </c>
      <c r="P335" s="31">
        <v>0.25631546235294156</v>
      </c>
      <c r="Q335" s="31">
        <v>1.3039951964705878</v>
      </c>
      <c r="R335" s="26" t="s">
        <v>280</v>
      </c>
      <c r="S335" s="26"/>
      <c r="T335" s="71" t="s">
        <v>626</v>
      </c>
    </row>
    <row r="336" spans="1:20">
      <c r="A336" s="26"/>
      <c r="B336" s="26"/>
      <c r="C336" s="26"/>
      <c r="D336" s="25"/>
      <c r="H336" s="6"/>
      <c r="I336" s="22"/>
      <c r="J336" s="22"/>
      <c r="K336" s="27"/>
      <c r="L336" s="27"/>
      <c r="M336" s="27"/>
      <c r="N336" s="21"/>
      <c r="O336" s="24"/>
      <c r="P336" s="31"/>
      <c r="Q336" s="31"/>
      <c r="R336" s="26"/>
      <c r="S336" s="26"/>
      <c r="T336" s="71"/>
    </row>
    <row r="337" spans="1:20">
      <c r="A337" s="26" t="s">
        <v>145</v>
      </c>
      <c r="B337" s="26" t="s">
        <v>270</v>
      </c>
      <c r="C337" s="26" t="s">
        <v>509</v>
      </c>
      <c r="D337" s="25">
        <v>42973</v>
      </c>
      <c r="E337" s="1">
        <f t="shared" si="24"/>
        <v>2017</v>
      </c>
      <c r="F337" s="1">
        <f t="shared" si="25"/>
        <v>8</v>
      </c>
      <c r="G337" s="4">
        <f t="shared" si="26"/>
        <v>26</v>
      </c>
      <c r="H337" s="6">
        <v>0.63534722222222217</v>
      </c>
      <c r="I337" s="22">
        <v>136.00049999999999</v>
      </c>
      <c r="J337" s="22">
        <v>39.590166666666669</v>
      </c>
      <c r="K337" s="27">
        <v>0</v>
      </c>
      <c r="L337" s="27">
        <v>0</v>
      </c>
      <c r="M337" s="27">
        <v>0</v>
      </c>
      <c r="N337" s="21">
        <v>25.2</v>
      </c>
      <c r="O337" s="24">
        <v>33.88884029008365</v>
      </c>
      <c r="P337" s="31">
        <v>1.1287601176471096E-2</v>
      </c>
      <c r="Q337" s="31">
        <v>-0.18590481176470242</v>
      </c>
      <c r="R337" s="26" t="s">
        <v>280</v>
      </c>
      <c r="S337" s="26"/>
      <c r="T337" s="71" t="s">
        <v>626</v>
      </c>
    </row>
    <row r="338" spans="1:20">
      <c r="A338" s="26" t="s">
        <v>145</v>
      </c>
      <c r="B338" s="26" t="s">
        <v>270</v>
      </c>
      <c r="C338" s="26" t="s">
        <v>509</v>
      </c>
      <c r="D338" s="25">
        <v>42973</v>
      </c>
      <c r="E338" s="1">
        <f t="shared" si="24"/>
        <v>2017</v>
      </c>
      <c r="F338" s="1">
        <f t="shared" si="25"/>
        <v>8</v>
      </c>
      <c r="G338" s="4">
        <f t="shared" si="26"/>
        <v>26</v>
      </c>
      <c r="H338" s="6">
        <v>0.63534722222222217</v>
      </c>
      <c r="I338" s="22">
        <v>136.00049999999999</v>
      </c>
      <c r="J338" s="22">
        <v>39.590166666666669</v>
      </c>
      <c r="K338" s="27">
        <v>20</v>
      </c>
      <c r="L338" s="27">
        <v>20</v>
      </c>
      <c r="M338" s="27">
        <v>0</v>
      </c>
      <c r="N338" s="21">
        <v>20.995999999999999</v>
      </c>
      <c r="O338" s="24">
        <v>34.316000000000003</v>
      </c>
      <c r="P338" s="31">
        <v>0.17096800000000001</v>
      </c>
      <c r="Q338" s="31">
        <v>0.62519175999999987</v>
      </c>
      <c r="R338" s="26" t="s">
        <v>280</v>
      </c>
      <c r="S338" s="26"/>
      <c r="T338" s="71" t="s">
        <v>626</v>
      </c>
    </row>
    <row r="339" spans="1:20">
      <c r="A339" s="26" t="s">
        <v>145</v>
      </c>
      <c r="B339" s="26" t="s">
        <v>270</v>
      </c>
      <c r="C339" s="26" t="s">
        <v>509</v>
      </c>
      <c r="D339" s="25">
        <v>42973</v>
      </c>
      <c r="E339" s="1">
        <f t="shared" si="24"/>
        <v>2017</v>
      </c>
      <c r="F339" s="1">
        <f t="shared" si="25"/>
        <v>8</v>
      </c>
      <c r="G339" s="4">
        <f t="shared" si="26"/>
        <v>26</v>
      </c>
      <c r="H339" s="6">
        <v>0.63534722222222217</v>
      </c>
      <c r="I339" s="22">
        <v>136.00049999999999</v>
      </c>
      <c r="J339" s="22">
        <v>39.590166666666669</v>
      </c>
      <c r="K339" s="27">
        <v>50</v>
      </c>
      <c r="L339" s="27">
        <v>50</v>
      </c>
      <c r="M339" s="27">
        <v>0</v>
      </c>
      <c r="N339" s="21">
        <v>12.144</v>
      </c>
      <c r="O339" s="24">
        <v>34.290999999999997</v>
      </c>
      <c r="P339" s="31">
        <v>0.19211443882352985</v>
      </c>
      <c r="Q339" s="31">
        <v>0.74514217176470687</v>
      </c>
      <c r="R339" s="26" t="s">
        <v>280</v>
      </c>
      <c r="S339" s="26"/>
      <c r="T339" s="71" t="s">
        <v>626</v>
      </c>
    </row>
    <row r="340" spans="1:20">
      <c r="A340" s="26"/>
      <c r="B340" s="26"/>
      <c r="C340" s="26"/>
      <c r="D340" s="25"/>
      <c r="H340" s="6"/>
      <c r="I340" s="22"/>
      <c r="J340" s="22"/>
      <c r="K340" s="27"/>
      <c r="L340" s="27"/>
      <c r="M340" s="27"/>
      <c r="N340" s="21"/>
      <c r="O340" s="24"/>
      <c r="P340" s="31"/>
      <c r="Q340" s="31"/>
      <c r="R340" s="26"/>
      <c r="S340" s="26"/>
      <c r="T340" s="71"/>
    </row>
    <row r="341" spans="1:20">
      <c r="A341" s="26" t="s">
        <v>145</v>
      </c>
      <c r="B341" s="26" t="s">
        <v>271</v>
      </c>
      <c r="C341" s="26" t="s">
        <v>509</v>
      </c>
      <c r="D341" s="25">
        <v>42974</v>
      </c>
      <c r="E341" s="1">
        <f t="shared" si="24"/>
        <v>2017</v>
      </c>
      <c r="F341" s="1">
        <f t="shared" si="25"/>
        <v>8</v>
      </c>
      <c r="G341" s="4">
        <f t="shared" si="26"/>
        <v>27</v>
      </c>
      <c r="H341" s="6">
        <v>0.55700231481481477</v>
      </c>
      <c r="I341" s="22">
        <v>135.999</v>
      </c>
      <c r="J341" s="22">
        <v>40.176833333333335</v>
      </c>
      <c r="K341" s="27">
        <v>0</v>
      </c>
      <c r="L341" s="27">
        <v>0</v>
      </c>
      <c r="M341" s="27">
        <v>0</v>
      </c>
      <c r="N341" s="21">
        <v>25.6</v>
      </c>
      <c r="O341" s="24">
        <v>33.779514213477469</v>
      </c>
      <c r="P341" s="31">
        <v>2.0632221176470678E-2</v>
      </c>
      <c r="Q341" s="31">
        <v>-0.43459224470588165</v>
      </c>
      <c r="R341" s="26" t="s">
        <v>280</v>
      </c>
      <c r="S341" s="26"/>
      <c r="T341" s="71" t="s">
        <v>626</v>
      </c>
    </row>
    <row r="342" spans="1:20">
      <c r="A342" s="26" t="s">
        <v>145</v>
      </c>
      <c r="B342" s="26" t="s">
        <v>271</v>
      </c>
      <c r="C342" s="26" t="s">
        <v>509</v>
      </c>
      <c r="D342" s="25">
        <v>42974</v>
      </c>
      <c r="E342" s="1">
        <f t="shared" si="24"/>
        <v>2017</v>
      </c>
      <c r="F342" s="1">
        <f t="shared" si="25"/>
        <v>8</v>
      </c>
      <c r="G342" s="4">
        <f t="shared" si="26"/>
        <v>27</v>
      </c>
      <c r="H342" s="6">
        <v>0.55700231481481477</v>
      </c>
      <c r="I342" s="22">
        <v>135.999</v>
      </c>
      <c r="J342" s="22">
        <v>40.176833333333335</v>
      </c>
      <c r="K342" s="27">
        <v>20</v>
      </c>
      <c r="L342" s="27">
        <v>20</v>
      </c>
      <c r="M342" s="27">
        <v>0</v>
      </c>
      <c r="N342" s="21">
        <v>25.234999999999999</v>
      </c>
      <c r="O342" s="24">
        <v>33.765999999999998</v>
      </c>
      <c r="P342" s="31">
        <v>2.1467876470588232E-2</v>
      </c>
      <c r="Q342" s="31">
        <v>-0.57752262470588356</v>
      </c>
      <c r="R342" s="26" t="s">
        <v>280</v>
      </c>
      <c r="S342" s="26"/>
      <c r="T342" s="71" t="s">
        <v>626</v>
      </c>
    </row>
    <row r="343" spans="1:20">
      <c r="A343" s="26" t="s">
        <v>145</v>
      </c>
      <c r="B343" s="26" t="s">
        <v>271</v>
      </c>
      <c r="C343" s="26" t="s">
        <v>509</v>
      </c>
      <c r="D343" s="25">
        <v>42974</v>
      </c>
      <c r="E343" s="1">
        <f t="shared" si="24"/>
        <v>2017</v>
      </c>
      <c r="F343" s="1">
        <f t="shared" si="25"/>
        <v>8</v>
      </c>
      <c r="G343" s="4">
        <f t="shared" si="26"/>
        <v>27</v>
      </c>
      <c r="H343" s="6">
        <v>0.55700231481481477</v>
      </c>
      <c r="I343" s="22">
        <v>135.999</v>
      </c>
      <c r="J343" s="22">
        <v>40.176833333333335</v>
      </c>
      <c r="K343" s="27">
        <v>50</v>
      </c>
      <c r="L343" s="27">
        <v>50</v>
      </c>
      <c r="M343" s="27">
        <v>0</v>
      </c>
      <c r="N343" s="21">
        <v>6.9039999999999999</v>
      </c>
      <c r="O343" s="24">
        <v>33.932000000000002</v>
      </c>
      <c r="P343" s="31">
        <v>3.1309615294117465E-2</v>
      </c>
      <c r="Q343" s="31">
        <v>-0.44791823294117528</v>
      </c>
      <c r="R343" s="26" t="s">
        <v>280</v>
      </c>
      <c r="S343" s="26"/>
      <c r="T343" s="71" t="s">
        <v>626</v>
      </c>
    </row>
    <row r="344" spans="1:20">
      <c r="A344" s="26"/>
      <c r="B344" s="26"/>
      <c r="C344" s="26"/>
      <c r="D344" s="25"/>
      <c r="H344" s="6"/>
      <c r="I344" s="22"/>
      <c r="J344" s="22"/>
      <c r="K344" s="27"/>
      <c r="L344" s="27"/>
      <c r="M344" s="27"/>
      <c r="N344" s="21"/>
      <c r="O344" s="24"/>
      <c r="P344" s="31"/>
      <c r="Q344" s="31"/>
      <c r="R344" s="26"/>
      <c r="S344" s="26"/>
      <c r="T344" s="71"/>
    </row>
    <row r="345" spans="1:20">
      <c r="A345" s="26" t="s">
        <v>145</v>
      </c>
      <c r="B345" s="26" t="s">
        <v>272</v>
      </c>
      <c r="C345" s="26" t="s">
        <v>509</v>
      </c>
      <c r="D345" s="25">
        <v>42975</v>
      </c>
      <c r="E345" s="1">
        <f t="shared" si="24"/>
        <v>2017</v>
      </c>
      <c r="F345" s="1">
        <f t="shared" si="25"/>
        <v>8</v>
      </c>
      <c r="G345" s="4">
        <f t="shared" si="26"/>
        <v>28</v>
      </c>
      <c r="H345" s="6">
        <v>0.56967592592592597</v>
      </c>
      <c r="I345" s="22">
        <v>135.99866666666668</v>
      </c>
      <c r="J345" s="22">
        <v>38.491500000000002</v>
      </c>
      <c r="K345" s="27">
        <v>0</v>
      </c>
      <c r="L345" s="27">
        <v>0</v>
      </c>
      <c r="M345" s="27">
        <v>0</v>
      </c>
      <c r="N345" s="21">
        <v>26.1</v>
      </c>
      <c r="O345" s="24">
        <v>33.846258203453047</v>
      </c>
      <c r="P345" s="31">
        <v>-8.5893258823526164E-3</v>
      </c>
      <c r="Q345" s="31">
        <v>-0.679845541176471</v>
      </c>
      <c r="R345" s="26" t="s">
        <v>280</v>
      </c>
      <c r="S345" s="26"/>
      <c r="T345" s="71" t="s">
        <v>626</v>
      </c>
    </row>
    <row r="346" spans="1:20">
      <c r="A346" s="26" t="s">
        <v>145</v>
      </c>
      <c r="B346" s="26" t="s">
        <v>272</v>
      </c>
      <c r="C346" s="26" t="s">
        <v>509</v>
      </c>
      <c r="D346" s="25">
        <v>42975</v>
      </c>
      <c r="E346" s="1">
        <f t="shared" si="24"/>
        <v>2017</v>
      </c>
      <c r="F346" s="1">
        <f t="shared" si="25"/>
        <v>8</v>
      </c>
      <c r="G346" s="4">
        <f t="shared" si="26"/>
        <v>28</v>
      </c>
      <c r="H346" s="6">
        <v>0.56967592592592597</v>
      </c>
      <c r="I346" s="22">
        <v>135.99866666666668</v>
      </c>
      <c r="J346" s="22">
        <v>38.491500000000002</v>
      </c>
      <c r="K346" s="27">
        <v>20</v>
      </c>
      <c r="L346" s="27">
        <v>20</v>
      </c>
      <c r="M346" s="27">
        <v>0</v>
      </c>
      <c r="N346" s="21">
        <v>21.224</v>
      </c>
      <c r="O346" s="24">
        <v>34.359000000000002</v>
      </c>
      <c r="P346" s="16">
        <v>9.6767978823529388E-2</v>
      </c>
      <c r="Q346" s="16">
        <v>0.4774997882352956</v>
      </c>
      <c r="R346" s="26" t="s">
        <v>280</v>
      </c>
      <c r="S346" s="26"/>
      <c r="T346" s="71" t="s">
        <v>626</v>
      </c>
    </row>
    <row r="347" spans="1:20">
      <c r="A347" s="26" t="s">
        <v>145</v>
      </c>
      <c r="B347" s="26" t="s">
        <v>272</v>
      </c>
      <c r="C347" s="26" t="s">
        <v>509</v>
      </c>
      <c r="D347" s="25">
        <v>42975</v>
      </c>
      <c r="E347" s="1">
        <f t="shared" si="24"/>
        <v>2017</v>
      </c>
      <c r="F347" s="1">
        <f t="shared" si="25"/>
        <v>8</v>
      </c>
      <c r="G347" s="4">
        <f t="shared" si="26"/>
        <v>28</v>
      </c>
      <c r="H347" s="6">
        <v>0.56967592592592597</v>
      </c>
      <c r="I347" s="22">
        <v>135.99866666666668</v>
      </c>
      <c r="J347" s="22">
        <v>38.491500000000002</v>
      </c>
      <c r="K347" s="27">
        <v>50</v>
      </c>
      <c r="L347" s="27">
        <v>50</v>
      </c>
      <c r="M347" s="27">
        <v>0</v>
      </c>
      <c r="N347" s="21">
        <v>11.233000000000001</v>
      </c>
      <c r="O347" s="24">
        <v>34.252000000000002</v>
      </c>
      <c r="P347" s="16">
        <v>0.14258847058823521</v>
      </c>
      <c r="Q347" s="16">
        <v>0.52386010588235443</v>
      </c>
      <c r="R347" s="26" t="s">
        <v>280</v>
      </c>
      <c r="S347" s="26"/>
      <c r="T347" s="71" t="s">
        <v>626</v>
      </c>
    </row>
    <row r="348" spans="1:20">
      <c r="A348" s="26"/>
      <c r="B348" s="26"/>
      <c r="C348" s="26"/>
      <c r="D348" s="25"/>
      <c r="H348" s="6"/>
      <c r="I348" s="22"/>
      <c r="J348" s="22"/>
      <c r="K348" s="27"/>
      <c r="L348" s="27"/>
      <c r="M348" s="27"/>
      <c r="N348" s="21"/>
      <c r="O348" s="24"/>
      <c r="P348" s="16"/>
      <c r="Q348" s="16"/>
      <c r="R348" s="26"/>
      <c r="S348" s="26"/>
      <c r="T348" s="71"/>
    </row>
    <row r="349" spans="1:20">
      <c r="A349" s="26" t="s">
        <v>145</v>
      </c>
      <c r="B349" s="26" t="s">
        <v>229</v>
      </c>
      <c r="C349" s="26" t="s">
        <v>505</v>
      </c>
      <c r="D349" s="25">
        <v>42983</v>
      </c>
      <c r="E349" s="1">
        <f t="shared" si="24"/>
        <v>2017</v>
      </c>
      <c r="F349" s="1">
        <f t="shared" si="25"/>
        <v>9</v>
      </c>
      <c r="G349" s="4">
        <f t="shared" si="26"/>
        <v>5</v>
      </c>
      <c r="H349" s="6">
        <v>0.72986111111111107</v>
      </c>
      <c r="I349" s="22">
        <v>130.4025</v>
      </c>
      <c r="J349" s="22">
        <v>34.464166666666664</v>
      </c>
      <c r="K349" s="27">
        <v>0</v>
      </c>
      <c r="L349" s="27">
        <v>0</v>
      </c>
      <c r="M349" s="27">
        <v>0</v>
      </c>
      <c r="N349" s="21">
        <v>27.3</v>
      </c>
      <c r="O349" s="24">
        <v>31.744054708203372</v>
      </c>
      <c r="P349" s="16">
        <v>-0.43405605764705868</v>
      </c>
      <c r="Q349" s="16">
        <v>-3.0844408764705875</v>
      </c>
      <c r="R349" s="26" t="s">
        <v>280</v>
      </c>
      <c r="S349" s="26"/>
      <c r="T349" s="71" t="s">
        <v>626</v>
      </c>
    </row>
    <row r="350" spans="1:20">
      <c r="A350" s="26" t="s">
        <v>145</v>
      </c>
      <c r="B350" s="26" t="s">
        <v>229</v>
      </c>
      <c r="C350" s="26" t="s">
        <v>505</v>
      </c>
      <c r="D350" s="25">
        <v>42983</v>
      </c>
      <c r="E350" s="1">
        <f t="shared" si="24"/>
        <v>2017</v>
      </c>
      <c r="F350" s="1">
        <f t="shared" si="25"/>
        <v>9</v>
      </c>
      <c r="G350" s="4">
        <f t="shared" si="26"/>
        <v>5</v>
      </c>
      <c r="H350" s="6">
        <v>0.72986111111111107</v>
      </c>
      <c r="I350" s="22">
        <v>130.4025</v>
      </c>
      <c r="J350" s="22">
        <v>34.464166666666664</v>
      </c>
      <c r="K350" s="27">
        <v>20</v>
      </c>
      <c r="L350" s="27">
        <v>20</v>
      </c>
      <c r="M350" s="27">
        <v>0</v>
      </c>
      <c r="N350" s="21">
        <v>26.706</v>
      </c>
      <c r="O350" s="24">
        <v>31.768000000000001</v>
      </c>
      <c r="P350" s="16">
        <v>-0.42108278588235293</v>
      </c>
      <c r="Q350" s="16">
        <v>-3.247199118823529</v>
      </c>
      <c r="R350" s="26" t="s">
        <v>280</v>
      </c>
      <c r="S350" s="26"/>
      <c r="T350" s="71" t="s">
        <v>626</v>
      </c>
    </row>
    <row r="351" spans="1:20">
      <c r="A351" s="26" t="s">
        <v>145</v>
      </c>
      <c r="B351" s="26" t="s">
        <v>229</v>
      </c>
      <c r="C351" s="26" t="s">
        <v>505</v>
      </c>
      <c r="D351" s="25">
        <v>42983</v>
      </c>
      <c r="E351" s="1">
        <f t="shared" si="24"/>
        <v>2017</v>
      </c>
      <c r="F351" s="1">
        <f t="shared" si="25"/>
        <v>9</v>
      </c>
      <c r="G351" s="4">
        <f t="shared" si="26"/>
        <v>5</v>
      </c>
      <c r="H351" s="6">
        <v>0.72986111111111107</v>
      </c>
      <c r="I351" s="22">
        <v>130.4025</v>
      </c>
      <c r="J351" s="22">
        <v>34.464166666666664</v>
      </c>
      <c r="K351" s="27">
        <v>50</v>
      </c>
      <c r="L351" s="27">
        <v>50</v>
      </c>
      <c r="M351" s="27">
        <v>0</v>
      </c>
      <c r="N351" s="21">
        <v>20.981999999999999</v>
      </c>
      <c r="O351" s="24">
        <v>34.582999999999998</v>
      </c>
      <c r="P351" s="16">
        <v>0.2480188058823527</v>
      </c>
      <c r="Q351" s="16">
        <v>1.4585349788235309</v>
      </c>
      <c r="R351" s="26" t="s">
        <v>280</v>
      </c>
      <c r="S351" s="26"/>
      <c r="T351" s="71" t="s">
        <v>626</v>
      </c>
    </row>
    <row r="352" spans="1:20">
      <c r="A352" s="26"/>
      <c r="B352" s="26"/>
      <c r="C352" s="26"/>
      <c r="D352" s="25"/>
      <c r="H352" s="6"/>
      <c r="I352" s="22"/>
      <c r="J352" s="22"/>
      <c r="K352" s="27"/>
      <c r="L352" s="27"/>
      <c r="M352" s="27"/>
      <c r="N352" s="21"/>
      <c r="O352" s="24"/>
      <c r="P352" s="16"/>
      <c r="Q352" s="16"/>
      <c r="R352" s="26"/>
      <c r="S352" s="26"/>
      <c r="T352" s="71"/>
    </row>
    <row r="353" spans="1:20">
      <c r="A353" s="26" t="s">
        <v>145</v>
      </c>
      <c r="B353" s="26" t="s">
        <v>273</v>
      </c>
      <c r="C353" s="26" t="s">
        <v>505</v>
      </c>
      <c r="D353" s="25">
        <v>42984</v>
      </c>
      <c r="E353" s="1">
        <f t="shared" si="24"/>
        <v>2017</v>
      </c>
      <c r="F353" s="1">
        <f t="shared" si="25"/>
        <v>9</v>
      </c>
      <c r="G353" s="4">
        <f t="shared" si="26"/>
        <v>6</v>
      </c>
      <c r="H353" s="6">
        <v>0.65590277777777783</v>
      </c>
      <c r="I353" s="22">
        <v>130.52199999999999</v>
      </c>
      <c r="J353" s="22">
        <v>34.834333333333333</v>
      </c>
      <c r="K353" s="27">
        <v>0</v>
      </c>
      <c r="L353" s="27">
        <v>0</v>
      </c>
      <c r="M353" s="27">
        <v>0</v>
      </c>
      <c r="N353" s="21">
        <v>26.6</v>
      </c>
      <c r="O353" s="24">
        <v>32.160837288263878</v>
      </c>
      <c r="P353" s="16">
        <v>-0.36208500235294139</v>
      </c>
      <c r="Q353" s="16">
        <v>-2.5697719835294111</v>
      </c>
      <c r="R353" s="26" t="s">
        <v>280</v>
      </c>
      <c r="S353" s="26"/>
      <c r="T353" s="71" t="s">
        <v>626</v>
      </c>
    </row>
    <row r="354" spans="1:20">
      <c r="A354" s="26" t="s">
        <v>145</v>
      </c>
      <c r="B354" s="26" t="s">
        <v>273</v>
      </c>
      <c r="C354" s="26" t="s">
        <v>505</v>
      </c>
      <c r="D354" s="25">
        <v>42984</v>
      </c>
      <c r="E354" s="1">
        <f t="shared" si="24"/>
        <v>2017</v>
      </c>
      <c r="F354" s="1">
        <f t="shared" si="25"/>
        <v>9</v>
      </c>
      <c r="G354" s="4">
        <f t="shared" si="26"/>
        <v>6</v>
      </c>
      <c r="H354" s="6">
        <v>0.65590277777777783</v>
      </c>
      <c r="I354" s="22">
        <v>130.52199999999999</v>
      </c>
      <c r="J354" s="22">
        <v>34.834333333333333</v>
      </c>
      <c r="K354" s="27">
        <v>20</v>
      </c>
      <c r="L354" s="27">
        <v>20</v>
      </c>
      <c r="M354" s="27">
        <v>0</v>
      </c>
      <c r="N354" s="21">
        <v>25.922000000000001</v>
      </c>
      <c r="O354" s="24">
        <v>32.890999999999998</v>
      </c>
      <c r="P354" s="16">
        <v>-0.27579654352941163</v>
      </c>
      <c r="Q354" s="16">
        <v>-2.0280268152941181</v>
      </c>
      <c r="R354" s="26" t="s">
        <v>280</v>
      </c>
      <c r="S354" s="26"/>
      <c r="T354" s="71" t="s">
        <v>626</v>
      </c>
    </row>
    <row r="355" spans="1:20">
      <c r="A355" s="26" t="s">
        <v>145</v>
      </c>
      <c r="B355" s="26" t="s">
        <v>273</v>
      </c>
      <c r="C355" s="26" t="s">
        <v>505</v>
      </c>
      <c r="D355" s="25">
        <v>42984</v>
      </c>
      <c r="E355" s="1">
        <f t="shared" si="24"/>
        <v>2017</v>
      </c>
      <c r="F355" s="1">
        <f t="shared" si="25"/>
        <v>9</v>
      </c>
      <c r="G355" s="4">
        <f t="shared" si="26"/>
        <v>6</v>
      </c>
      <c r="H355" s="6">
        <v>0.65590277777777783</v>
      </c>
      <c r="I355" s="22">
        <v>130.52199999999999</v>
      </c>
      <c r="J355" s="22">
        <v>34.834333333333333</v>
      </c>
      <c r="K355" s="27">
        <v>50</v>
      </c>
      <c r="L355" s="27">
        <v>50</v>
      </c>
      <c r="M355" s="27">
        <v>0</v>
      </c>
      <c r="N355" s="21">
        <v>17.640999999999998</v>
      </c>
      <c r="O355" s="24">
        <v>34.209000000000003</v>
      </c>
      <c r="P355" s="16">
        <v>0.15094128941176477</v>
      </c>
      <c r="Q355" s="16">
        <v>0.85118013411764615</v>
      </c>
      <c r="R355" s="26" t="s">
        <v>280</v>
      </c>
      <c r="S355" s="26"/>
      <c r="T355" s="71" t="s">
        <v>626</v>
      </c>
    </row>
    <row r="356" spans="1:20">
      <c r="A356" s="26"/>
      <c r="B356" s="26"/>
      <c r="C356" s="26"/>
      <c r="D356" s="25"/>
      <c r="H356" s="6"/>
      <c r="I356" s="22"/>
      <c r="J356" s="22"/>
      <c r="K356" s="27"/>
      <c r="L356" s="27"/>
      <c r="M356" s="27"/>
      <c r="N356" s="21"/>
      <c r="O356" s="24"/>
      <c r="P356" s="16"/>
      <c r="Q356" s="16"/>
      <c r="R356" s="26"/>
      <c r="S356" s="26"/>
      <c r="T356" s="71"/>
    </row>
    <row r="357" spans="1:20">
      <c r="A357" s="26" t="s">
        <v>145</v>
      </c>
      <c r="B357" s="26" t="s">
        <v>232</v>
      </c>
      <c r="C357" s="26" t="s">
        <v>505</v>
      </c>
      <c r="D357" s="25">
        <v>42985</v>
      </c>
      <c r="E357" s="1">
        <f t="shared" si="24"/>
        <v>2017</v>
      </c>
      <c r="F357" s="1">
        <f t="shared" si="25"/>
        <v>9</v>
      </c>
      <c r="G357" s="4">
        <f t="shared" si="26"/>
        <v>7</v>
      </c>
      <c r="H357" s="6">
        <v>0.75423611111111111</v>
      </c>
      <c r="I357" s="22">
        <v>130.148</v>
      </c>
      <c r="J357" s="22">
        <v>34.129333333333335</v>
      </c>
      <c r="K357" s="27">
        <v>0</v>
      </c>
      <c r="L357" s="27">
        <v>0</v>
      </c>
      <c r="M357" s="27">
        <v>0</v>
      </c>
      <c r="N357" s="21">
        <v>26.6</v>
      </c>
      <c r="O357" s="24">
        <v>31.839058396503866</v>
      </c>
      <c r="P357" s="16">
        <v>-0.47377995176470544</v>
      </c>
      <c r="Q357" s="16">
        <v>-3.1292635576470573</v>
      </c>
      <c r="R357" s="26" t="s">
        <v>280</v>
      </c>
      <c r="S357" s="26"/>
      <c r="T357" s="71" t="s">
        <v>626</v>
      </c>
    </row>
    <row r="358" spans="1:20">
      <c r="A358" s="26" t="s">
        <v>145</v>
      </c>
      <c r="B358" s="26" t="s">
        <v>232</v>
      </c>
      <c r="C358" s="26" t="s">
        <v>505</v>
      </c>
      <c r="D358" s="25">
        <v>42985</v>
      </c>
      <c r="E358" s="1">
        <f t="shared" si="24"/>
        <v>2017</v>
      </c>
      <c r="F358" s="1">
        <f t="shared" si="25"/>
        <v>9</v>
      </c>
      <c r="G358" s="4">
        <f t="shared" si="26"/>
        <v>7</v>
      </c>
      <c r="H358" s="6">
        <v>0.75423611111111111</v>
      </c>
      <c r="I358" s="22">
        <v>130.148</v>
      </c>
      <c r="J358" s="22">
        <v>34.129333333333335</v>
      </c>
      <c r="K358" s="27">
        <v>20</v>
      </c>
      <c r="L358" s="27">
        <v>20</v>
      </c>
      <c r="M358" s="27">
        <v>0</v>
      </c>
      <c r="N358" s="21">
        <v>26.152999999999999</v>
      </c>
      <c r="O358" s="24">
        <v>33.529000000000003</v>
      </c>
      <c r="P358" s="16">
        <v>-7.2760640000000043E-2</v>
      </c>
      <c r="Q358" s="16">
        <v>-0.72835404000000104</v>
      </c>
      <c r="R358" s="26" t="s">
        <v>280</v>
      </c>
      <c r="S358" s="26"/>
      <c r="T358" s="71" t="s">
        <v>626</v>
      </c>
    </row>
    <row r="359" spans="1:20">
      <c r="A359" s="26" t="s">
        <v>145</v>
      </c>
      <c r="B359" s="26" t="s">
        <v>232</v>
      </c>
      <c r="C359" s="26" t="s">
        <v>505</v>
      </c>
      <c r="D359" s="25">
        <v>42985</v>
      </c>
      <c r="E359" s="1">
        <f t="shared" si="24"/>
        <v>2017</v>
      </c>
      <c r="F359" s="1">
        <f t="shared" si="25"/>
        <v>9</v>
      </c>
      <c r="G359" s="4">
        <f t="shared" si="26"/>
        <v>7</v>
      </c>
      <c r="H359" s="6">
        <v>0.75423611111111111</v>
      </c>
      <c r="I359" s="22">
        <v>130.148</v>
      </c>
      <c r="J359" s="22">
        <v>34.129333333333335</v>
      </c>
      <c r="K359" s="27">
        <v>50</v>
      </c>
      <c r="L359" s="27">
        <v>50</v>
      </c>
      <c r="M359" s="27">
        <v>0</v>
      </c>
      <c r="N359" s="21">
        <v>23.873000000000001</v>
      </c>
      <c r="O359" s="24">
        <v>33.969000000000001</v>
      </c>
      <c r="P359" s="16">
        <v>0.15749393176470572</v>
      </c>
      <c r="Q359" s="16">
        <v>0.23466883764705848</v>
      </c>
      <c r="R359" s="26" t="s">
        <v>280</v>
      </c>
      <c r="S359" s="26"/>
      <c r="T359" s="71" t="s">
        <v>626</v>
      </c>
    </row>
    <row r="360" spans="1:20">
      <c r="A360" s="26"/>
      <c r="B360" s="26"/>
      <c r="C360" s="26"/>
      <c r="D360" s="25"/>
      <c r="H360" s="6"/>
      <c r="I360" s="22"/>
      <c r="J360" s="22"/>
      <c r="K360" s="27"/>
      <c r="L360" s="27"/>
      <c r="M360" s="27"/>
      <c r="N360" s="21"/>
      <c r="O360" s="24"/>
      <c r="P360" s="16"/>
      <c r="Q360" s="16"/>
      <c r="R360" s="26"/>
      <c r="S360" s="26"/>
      <c r="T360" s="71"/>
    </row>
    <row r="361" spans="1:20">
      <c r="A361" s="26" t="s">
        <v>145</v>
      </c>
      <c r="B361" s="26" t="s">
        <v>134</v>
      </c>
      <c r="C361" s="26" t="s">
        <v>505</v>
      </c>
      <c r="D361" s="25">
        <v>42986</v>
      </c>
      <c r="E361" s="1">
        <f t="shared" si="24"/>
        <v>2017</v>
      </c>
      <c r="F361" s="1">
        <f t="shared" si="25"/>
        <v>9</v>
      </c>
      <c r="G361" s="4">
        <f t="shared" si="26"/>
        <v>8</v>
      </c>
      <c r="H361" s="6">
        <v>0.7333912037037037</v>
      </c>
      <c r="I361" s="22">
        <v>129.79933333333332</v>
      </c>
      <c r="J361" s="22">
        <v>34.19016666666667</v>
      </c>
      <c r="K361" s="27">
        <v>0</v>
      </c>
      <c r="L361" s="27">
        <v>0</v>
      </c>
      <c r="M361" s="27">
        <v>0</v>
      </c>
      <c r="N361" s="21">
        <v>27.4</v>
      </c>
      <c r="O361" s="24">
        <v>31.64267416444628</v>
      </c>
      <c r="P361" s="16">
        <v>-0.35345615647058826</v>
      </c>
      <c r="Q361" s="16">
        <v>-2.7354667647058815</v>
      </c>
      <c r="R361" s="26" t="s">
        <v>280</v>
      </c>
      <c r="S361" s="26"/>
      <c r="T361" s="71" t="s">
        <v>626</v>
      </c>
    </row>
    <row r="362" spans="1:20">
      <c r="A362" s="26" t="s">
        <v>145</v>
      </c>
      <c r="B362" s="26" t="s">
        <v>134</v>
      </c>
      <c r="C362" s="26" t="s">
        <v>505</v>
      </c>
      <c r="D362" s="25">
        <v>42986</v>
      </c>
      <c r="E362" s="1">
        <f t="shared" si="24"/>
        <v>2017</v>
      </c>
      <c r="F362" s="1">
        <f t="shared" si="25"/>
        <v>9</v>
      </c>
      <c r="G362" s="4">
        <f t="shared" si="26"/>
        <v>8</v>
      </c>
      <c r="H362" s="6">
        <v>0.7333912037037037</v>
      </c>
      <c r="I362" s="22">
        <v>129.79933333333332</v>
      </c>
      <c r="J362" s="22">
        <v>34.19016666666667</v>
      </c>
      <c r="K362" s="27">
        <v>20</v>
      </c>
      <c r="L362" s="27">
        <v>20</v>
      </c>
      <c r="M362" s="27">
        <v>0</v>
      </c>
      <c r="N362" s="21">
        <v>27.486999999999998</v>
      </c>
      <c r="O362" s="24">
        <v>32.237000000000002</v>
      </c>
      <c r="P362" s="16">
        <v>-0.37557432470588226</v>
      </c>
      <c r="Q362" s="16">
        <v>-2.5782578870588226</v>
      </c>
      <c r="R362" s="26" t="s">
        <v>280</v>
      </c>
      <c r="S362" s="26"/>
      <c r="T362" s="71" t="s">
        <v>626</v>
      </c>
    </row>
    <row r="363" spans="1:20">
      <c r="A363" s="26" t="s">
        <v>145</v>
      </c>
      <c r="B363" s="26" t="s">
        <v>134</v>
      </c>
      <c r="C363" s="26" t="s">
        <v>505</v>
      </c>
      <c r="D363" s="25">
        <v>42986</v>
      </c>
      <c r="E363" s="1">
        <f t="shared" si="24"/>
        <v>2017</v>
      </c>
      <c r="F363" s="1">
        <f t="shared" si="25"/>
        <v>9</v>
      </c>
      <c r="G363" s="4">
        <f t="shared" si="26"/>
        <v>8</v>
      </c>
      <c r="H363" s="6">
        <v>0.7333912037037037</v>
      </c>
      <c r="I363" s="22">
        <v>129.79933333333332</v>
      </c>
      <c r="J363" s="22">
        <v>34.19016666666667</v>
      </c>
      <c r="K363" s="27">
        <v>50</v>
      </c>
      <c r="L363" s="27">
        <v>50</v>
      </c>
      <c r="M363" s="27">
        <v>0</v>
      </c>
      <c r="N363" s="21">
        <v>19.782</v>
      </c>
      <c r="O363" s="24">
        <v>33.942999999999998</v>
      </c>
      <c r="P363" s="16">
        <v>2.0752527058823356E-2</v>
      </c>
      <c r="Q363" s="16">
        <v>-0.26461212941176449</v>
      </c>
      <c r="R363" s="26" t="s">
        <v>280</v>
      </c>
      <c r="S363" s="26"/>
      <c r="T363" s="71" t="s">
        <v>626</v>
      </c>
    </row>
    <row r="364" spans="1:20">
      <c r="A364" s="26"/>
      <c r="B364" s="26"/>
      <c r="C364" s="26"/>
      <c r="D364" s="25"/>
      <c r="H364" s="6"/>
      <c r="I364" s="22"/>
      <c r="J364" s="22"/>
      <c r="K364" s="27"/>
      <c r="L364" s="27"/>
      <c r="M364" s="27"/>
      <c r="N364" s="21"/>
      <c r="O364" s="24"/>
      <c r="P364" s="16"/>
      <c r="Q364" s="16"/>
      <c r="R364" s="26"/>
      <c r="S364" s="26"/>
      <c r="T364" s="71"/>
    </row>
    <row r="365" spans="1:20">
      <c r="A365" s="26" t="s">
        <v>145</v>
      </c>
      <c r="B365" s="26" t="s">
        <v>136</v>
      </c>
      <c r="C365" s="26" t="s">
        <v>505</v>
      </c>
      <c r="D365" s="25">
        <v>42987</v>
      </c>
      <c r="E365" s="1">
        <f t="shared" si="24"/>
        <v>2017</v>
      </c>
      <c r="F365" s="1">
        <f t="shared" si="25"/>
        <v>9</v>
      </c>
      <c r="G365" s="4">
        <f t="shared" si="26"/>
        <v>9</v>
      </c>
      <c r="H365" s="6">
        <v>0.76504629629629628</v>
      </c>
      <c r="I365" s="22">
        <v>128.3005</v>
      </c>
      <c r="J365" s="22">
        <v>33.165500000000002</v>
      </c>
      <c r="K365" s="27">
        <v>0</v>
      </c>
      <c r="L365" s="27">
        <v>0</v>
      </c>
      <c r="M365" s="27">
        <v>0</v>
      </c>
      <c r="N365" s="21">
        <v>27.1</v>
      </c>
      <c r="O365" s="24">
        <v>32.453827579610547</v>
      </c>
      <c r="P365" s="16">
        <v>-0.23150020117647063</v>
      </c>
      <c r="Q365" s="16">
        <v>-1.6182062317647059</v>
      </c>
      <c r="R365" s="26" t="s">
        <v>280</v>
      </c>
      <c r="S365" s="26"/>
      <c r="T365" s="71" t="s">
        <v>626</v>
      </c>
    </row>
    <row r="366" spans="1:20">
      <c r="A366" s="26" t="s">
        <v>145</v>
      </c>
      <c r="B366" s="26" t="s">
        <v>136</v>
      </c>
      <c r="C366" s="26" t="s">
        <v>505</v>
      </c>
      <c r="D366" s="25">
        <v>42987</v>
      </c>
      <c r="E366" s="1">
        <f t="shared" si="24"/>
        <v>2017</v>
      </c>
      <c r="F366" s="1">
        <f t="shared" si="25"/>
        <v>9</v>
      </c>
      <c r="G366" s="4">
        <f t="shared" si="26"/>
        <v>9</v>
      </c>
      <c r="H366" s="6">
        <v>0.76504629629629628</v>
      </c>
      <c r="I366" s="22">
        <v>128.3005</v>
      </c>
      <c r="J366" s="22">
        <v>33.165500000000002</v>
      </c>
      <c r="K366" s="27">
        <v>20</v>
      </c>
      <c r="L366" s="27">
        <v>20</v>
      </c>
      <c r="M366" s="27">
        <v>0</v>
      </c>
      <c r="N366" s="21">
        <v>26.855</v>
      </c>
      <c r="O366" s="24">
        <v>32.859000000000002</v>
      </c>
      <c r="P366" s="16">
        <v>-0.27660488823529406</v>
      </c>
      <c r="Q366" s="16">
        <v>-1.6322520470588238</v>
      </c>
      <c r="R366" s="26" t="s">
        <v>280</v>
      </c>
      <c r="S366" s="26"/>
      <c r="T366" s="71" t="s">
        <v>626</v>
      </c>
    </row>
    <row r="367" spans="1:20">
      <c r="A367" s="26" t="s">
        <v>145</v>
      </c>
      <c r="B367" s="26" t="s">
        <v>136</v>
      </c>
      <c r="C367" s="26" t="s">
        <v>505</v>
      </c>
      <c r="D367" s="25">
        <v>42987</v>
      </c>
      <c r="E367" s="1">
        <f t="shared" si="24"/>
        <v>2017</v>
      </c>
      <c r="F367" s="1">
        <f t="shared" si="25"/>
        <v>9</v>
      </c>
      <c r="G367" s="4">
        <f t="shared" si="26"/>
        <v>9</v>
      </c>
      <c r="H367" s="6">
        <v>0.76504629629629628</v>
      </c>
      <c r="I367" s="22">
        <v>128.3005</v>
      </c>
      <c r="J367" s="22">
        <v>33.165500000000002</v>
      </c>
      <c r="K367" s="27">
        <v>50</v>
      </c>
      <c r="L367" s="27">
        <v>50</v>
      </c>
      <c r="M367" s="27">
        <v>0</v>
      </c>
      <c r="N367" s="21">
        <v>25.141999999999999</v>
      </c>
      <c r="O367" s="24">
        <v>34.244999999999997</v>
      </c>
      <c r="P367" s="16">
        <v>0.35769319411764711</v>
      </c>
      <c r="Q367" s="16">
        <v>1.297598023529412</v>
      </c>
      <c r="R367" s="26" t="s">
        <v>280</v>
      </c>
      <c r="S367" s="26"/>
      <c r="T367" s="71" t="s">
        <v>626</v>
      </c>
    </row>
    <row r="368" spans="1:20">
      <c r="A368" s="26"/>
      <c r="B368" s="26"/>
      <c r="C368" s="26"/>
      <c r="D368" s="25"/>
      <c r="H368" s="6"/>
      <c r="I368" s="22"/>
      <c r="J368" s="22"/>
      <c r="K368" s="27"/>
      <c r="L368" s="27"/>
      <c r="M368" s="27"/>
      <c r="N368" s="21"/>
      <c r="O368" s="24"/>
      <c r="P368" s="16"/>
      <c r="Q368" s="16"/>
      <c r="R368" s="26"/>
      <c r="S368" s="26"/>
      <c r="T368" s="71"/>
    </row>
    <row r="369" spans="1:20">
      <c r="A369" s="26" t="s">
        <v>145</v>
      </c>
      <c r="B369" s="26" t="s">
        <v>239</v>
      </c>
      <c r="C369" s="26" t="s">
        <v>505</v>
      </c>
      <c r="D369" s="25">
        <v>42988</v>
      </c>
      <c r="E369" s="1">
        <f t="shared" si="24"/>
        <v>2017</v>
      </c>
      <c r="F369" s="1">
        <f t="shared" si="25"/>
        <v>9</v>
      </c>
      <c r="G369" s="4">
        <f t="shared" si="26"/>
        <v>10</v>
      </c>
      <c r="H369" s="6">
        <v>0.71875</v>
      </c>
      <c r="I369" s="22">
        <v>128.66116666666667</v>
      </c>
      <c r="J369" s="22">
        <v>33.664499999999997</v>
      </c>
      <c r="K369" s="27">
        <v>0</v>
      </c>
      <c r="L369" s="27">
        <v>0</v>
      </c>
      <c r="M369" s="27">
        <v>0</v>
      </c>
      <c r="N369" s="21">
        <v>28</v>
      </c>
      <c r="O369" s="24">
        <v>32.474664254174854</v>
      </c>
      <c r="P369" s="16">
        <v>-0.17614362352941204</v>
      </c>
      <c r="Q369" s="16">
        <v>-1.1541879058823534</v>
      </c>
      <c r="R369" s="26" t="s">
        <v>280</v>
      </c>
      <c r="S369" s="26"/>
      <c r="T369" s="71" t="s">
        <v>626</v>
      </c>
    </row>
    <row r="370" spans="1:20">
      <c r="A370" s="26" t="s">
        <v>145</v>
      </c>
      <c r="B370" s="26" t="s">
        <v>239</v>
      </c>
      <c r="C370" s="26" t="s">
        <v>505</v>
      </c>
      <c r="D370" s="25">
        <v>42988</v>
      </c>
      <c r="E370" s="1">
        <f t="shared" si="24"/>
        <v>2017</v>
      </c>
      <c r="F370" s="1">
        <f t="shared" si="25"/>
        <v>9</v>
      </c>
      <c r="G370" s="4">
        <f t="shared" si="26"/>
        <v>10</v>
      </c>
      <c r="H370" s="6">
        <v>0.71875</v>
      </c>
      <c r="I370" s="22">
        <v>128.66116666666667</v>
      </c>
      <c r="J370" s="22">
        <v>33.664499999999997</v>
      </c>
      <c r="K370" s="27">
        <v>20</v>
      </c>
      <c r="L370" s="27">
        <v>20</v>
      </c>
      <c r="M370" s="27">
        <v>0</v>
      </c>
      <c r="N370" s="21">
        <v>28.387</v>
      </c>
      <c r="O370" s="24">
        <v>33.267000000000003</v>
      </c>
      <c r="P370" s="31">
        <v>-0.13290693176470603</v>
      </c>
      <c r="Q370" s="31">
        <v>-1.1281877929411763</v>
      </c>
      <c r="R370" s="26" t="s">
        <v>280</v>
      </c>
      <c r="S370" s="26"/>
      <c r="T370" s="71" t="s">
        <v>626</v>
      </c>
    </row>
    <row r="371" spans="1:20">
      <c r="A371" s="26" t="s">
        <v>145</v>
      </c>
      <c r="B371" s="26" t="s">
        <v>239</v>
      </c>
      <c r="C371" s="26" t="s">
        <v>505</v>
      </c>
      <c r="D371" s="25">
        <v>42988</v>
      </c>
      <c r="E371" s="1">
        <f t="shared" si="24"/>
        <v>2017</v>
      </c>
      <c r="F371" s="1">
        <f t="shared" si="25"/>
        <v>9</v>
      </c>
      <c r="G371" s="4">
        <f t="shared" si="26"/>
        <v>10</v>
      </c>
      <c r="H371" s="6">
        <v>0.71875</v>
      </c>
      <c r="I371" s="22">
        <v>128.66116666666667</v>
      </c>
      <c r="J371" s="22">
        <v>33.664499999999997</v>
      </c>
      <c r="K371" s="27">
        <v>50</v>
      </c>
      <c r="L371" s="27">
        <v>50</v>
      </c>
      <c r="M371" s="27">
        <v>0</v>
      </c>
      <c r="N371" s="21">
        <v>24.065000000000001</v>
      </c>
      <c r="O371" s="24">
        <v>34.417000000000002</v>
      </c>
      <c r="P371" s="16">
        <v>0.16343594117647053</v>
      </c>
      <c r="Q371" s="16">
        <v>1.2372370352941182</v>
      </c>
      <c r="R371" s="26" t="s">
        <v>280</v>
      </c>
      <c r="S371" s="26"/>
      <c r="T371" s="71" t="s">
        <v>626</v>
      </c>
    </row>
    <row r="372" spans="1:20">
      <c r="A372" s="26"/>
      <c r="B372" s="26"/>
      <c r="C372" s="26"/>
      <c r="D372" s="25"/>
      <c r="H372" s="6"/>
      <c r="I372" s="22"/>
      <c r="J372" s="22"/>
      <c r="K372" s="27"/>
      <c r="L372" s="27"/>
      <c r="M372" s="27"/>
      <c r="N372" s="21"/>
      <c r="O372" s="24"/>
      <c r="P372" s="16"/>
      <c r="Q372" s="16"/>
      <c r="R372" s="26"/>
      <c r="S372" s="26"/>
      <c r="T372" s="71"/>
    </row>
    <row r="373" spans="1:20">
      <c r="A373" s="26" t="s">
        <v>145</v>
      </c>
      <c r="B373" s="26" t="s">
        <v>240</v>
      </c>
      <c r="C373" s="26" t="s">
        <v>505</v>
      </c>
      <c r="D373" s="25">
        <v>42996</v>
      </c>
      <c r="E373" s="1">
        <f t="shared" si="24"/>
        <v>2017</v>
      </c>
      <c r="F373" s="1">
        <f t="shared" si="25"/>
        <v>9</v>
      </c>
      <c r="G373" s="4">
        <f t="shared" si="26"/>
        <v>18</v>
      </c>
      <c r="H373" s="6">
        <v>0.78680555555555554</v>
      </c>
      <c r="I373" s="22">
        <v>127.9885</v>
      </c>
      <c r="J373" s="22">
        <v>32.487000000000002</v>
      </c>
      <c r="K373" s="27">
        <v>0</v>
      </c>
      <c r="L373" s="27">
        <v>0</v>
      </c>
      <c r="M373" s="27">
        <v>0</v>
      </c>
      <c r="N373" s="21">
        <v>27.7</v>
      </c>
      <c r="O373" s="24">
        <v>33.522965282965409</v>
      </c>
      <c r="P373" s="16">
        <v>4.6775523529411611E-2</v>
      </c>
      <c r="Q373" s="16">
        <v>0.32811430588235346</v>
      </c>
      <c r="R373" s="26" t="s">
        <v>280</v>
      </c>
      <c r="S373" s="26"/>
      <c r="T373" s="71" t="s">
        <v>626</v>
      </c>
    </row>
    <row r="374" spans="1:20">
      <c r="A374" s="26" t="s">
        <v>145</v>
      </c>
      <c r="B374" s="26" t="s">
        <v>240</v>
      </c>
      <c r="C374" s="26" t="s">
        <v>505</v>
      </c>
      <c r="D374" s="25">
        <v>42996</v>
      </c>
      <c r="E374" s="1">
        <f t="shared" si="24"/>
        <v>2017</v>
      </c>
      <c r="F374" s="1">
        <f t="shared" si="25"/>
        <v>9</v>
      </c>
      <c r="G374" s="4">
        <f t="shared" si="26"/>
        <v>18</v>
      </c>
      <c r="H374" s="6">
        <v>0.78680555555555554</v>
      </c>
      <c r="I374" s="22">
        <v>127.9885</v>
      </c>
      <c r="J374" s="22">
        <v>32.487000000000002</v>
      </c>
      <c r="K374" s="27">
        <v>20</v>
      </c>
      <c r="L374" s="27">
        <v>20</v>
      </c>
      <c r="M374" s="27">
        <v>0</v>
      </c>
      <c r="N374" s="21">
        <v>27.646999999999998</v>
      </c>
      <c r="O374" s="24">
        <v>34.048999999999999</v>
      </c>
      <c r="P374" s="16">
        <v>0.13829350588235267</v>
      </c>
      <c r="Q374" s="16">
        <v>0.46963077647058959</v>
      </c>
      <c r="R374" s="26" t="s">
        <v>280</v>
      </c>
      <c r="S374" s="26"/>
      <c r="T374" s="71" t="s">
        <v>626</v>
      </c>
    </row>
    <row r="375" spans="1:20">
      <c r="A375" s="26" t="s">
        <v>145</v>
      </c>
      <c r="B375" s="26" t="s">
        <v>240</v>
      </c>
      <c r="C375" s="26" t="s">
        <v>505</v>
      </c>
      <c r="D375" s="25">
        <v>42996</v>
      </c>
      <c r="E375" s="1">
        <f t="shared" si="24"/>
        <v>2017</v>
      </c>
      <c r="F375" s="1">
        <f t="shared" si="25"/>
        <v>9</v>
      </c>
      <c r="G375" s="4">
        <f t="shared" si="26"/>
        <v>18</v>
      </c>
      <c r="H375" s="6">
        <v>0.78680555555555554</v>
      </c>
      <c r="I375" s="22">
        <v>127.9885</v>
      </c>
      <c r="J375" s="22">
        <v>32.487000000000002</v>
      </c>
      <c r="K375" s="27">
        <v>50</v>
      </c>
      <c r="L375" s="27">
        <v>50</v>
      </c>
      <c r="M375" s="27">
        <v>0</v>
      </c>
      <c r="N375" s="21">
        <v>27.62</v>
      </c>
      <c r="O375" s="24">
        <v>34.07</v>
      </c>
      <c r="P375" s="16">
        <v>8.1451835294117592E-2</v>
      </c>
      <c r="Q375" s="16">
        <v>0.33599505882352965</v>
      </c>
      <c r="R375" s="26" t="s">
        <v>280</v>
      </c>
      <c r="S375" s="26"/>
      <c r="T375" s="71" t="s">
        <v>626</v>
      </c>
    </row>
    <row r="376" spans="1:20">
      <c r="A376" s="26"/>
      <c r="B376" s="26"/>
      <c r="C376" s="26"/>
      <c r="D376" s="25"/>
      <c r="H376" s="6"/>
      <c r="I376" s="22"/>
      <c r="J376" s="22"/>
      <c r="K376" s="27"/>
      <c r="L376" s="27"/>
      <c r="M376" s="27"/>
      <c r="N376" s="21"/>
      <c r="O376" s="24"/>
      <c r="P376" s="16"/>
      <c r="Q376" s="16"/>
      <c r="R376" s="26"/>
      <c r="S376" s="26"/>
      <c r="T376" s="71"/>
    </row>
    <row r="377" spans="1:20">
      <c r="A377" s="26" t="s">
        <v>145</v>
      </c>
      <c r="B377" s="26" t="s">
        <v>274</v>
      </c>
      <c r="C377" s="26" t="s">
        <v>505</v>
      </c>
      <c r="D377" s="25">
        <v>42997</v>
      </c>
      <c r="E377" s="1">
        <f t="shared" si="24"/>
        <v>2017</v>
      </c>
      <c r="F377" s="1">
        <f t="shared" si="25"/>
        <v>9</v>
      </c>
      <c r="G377" s="4">
        <f t="shared" si="26"/>
        <v>19</v>
      </c>
      <c r="H377" s="6">
        <v>0.66736111111111107</v>
      </c>
      <c r="I377" s="22">
        <v>128.49683333333334</v>
      </c>
      <c r="J377" s="22">
        <v>31.499166666666667</v>
      </c>
      <c r="K377" s="27">
        <v>0</v>
      </c>
      <c r="L377" s="27">
        <v>0</v>
      </c>
      <c r="M377" s="27">
        <v>0</v>
      </c>
      <c r="N377" s="21">
        <v>28.2</v>
      </c>
      <c r="O377" s="24">
        <v>32.859969109714243</v>
      </c>
      <c r="P377" s="16">
        <v>-7.1885682352941238E-2</v>
      </c>
      <c r="Q377" s="16">
        <v>-0.66362847058823426</v>
      </c>
      <c r="R377" s="26" t="s">
        <v>280</v>
      </c>
      <c r="S377" s="26"/>
      <c r="T377" s="71" t="s">
        <v>626</v>
      </c>
    </row>
    <row r="378" spans="1:20">
      <c r="A378" s="26" t="s">
        <v>145</v>
      </c>
      <c r="B378" s="26" t="s">
        <v>274</v>
      </c>
      <c r="C378" s="26" t="s">
        <v>505</v>
      </c>
      <c r="D378" s="25">
        <v>42997</v>
      </c>
      <c r="E378" s="1">
        <f t="shared" si="24"/>
        <v>2017</v>
      </c>
      <c r="F378" s="1">
        <f t="shared" si="25"/>
        <v>9</v>
      </c>
      <c r="G378" s="4">
        <f t="shared" si="26"/>
        <v>19</v>
      </c>
      <c r="H378" s="6">
        <v>0.66736111111111107</v>
      </c>
      <c r="I378" s="22">
        <v>128.49683333333334</v>
      </c>
      <c r="J378" s="22">
        <v>31.499166666666667</v>
      </c>
      <c r="K378" s="27">
        <v>20</v>
      </c>
      <c r="L378" s="27">
        <v>20</v>
      </c>
      <c r="M378" s="27">
        <v>0</v>
      </c>
      <c r="N378" s="21">
        <v>27.893000000000001</v>
      </c>
      <c r="O378" s="24">
        <v>33.451000000000001</v>
      </c>
      <c r="P378" s="16">
        <v>-7.4621700000000013E-2</v>
      </c>
      <c r="Q378" s="16">
        <v>-0.66319839999999886</v>
      </c>
      <c r="R378" s="26" t="s">
        <v>280</v>
      </c>
      <c r="S378" s="26"/>
      <c r="T378" s="71" t="s">
        <v>626</v>
      </c>
    </row>
    <row r="379" spans="1:20">
      <c r="A379" s="26" t="s">
        <v>145</v>
      </c>
      <c r="B379" s="26" t="s">
        <v>274</v>
      </c>
      <c r="C379" s="26" t="s">
        <v>505</v>
      </c>
      <c r="D379" s="25">
        <v>42997</v>
      </c>
      <c r="E379" s="1">
        <f t="shared" si="24"/>
        <v>2017</v>
      </c>
      <c r="F379" s="1">
        <f t="shared" si="25"/>
        <v>9</v>
      </c>
      <c r="G379" s="4">
        <f t="shared" si="26"/>
        <v>19</v>
      </c>
      <c r="H379" s="6">
        <v>0.66736111111111107</v>
      </c>
      <c r="I379" s="22">
        <v>128.49683333333334</v>
      </c>
      <c r="J379" s="22">
        <v>31.499166666666667</v>
      </c>
      <c r="K379" s="27">
        <v>50</v>
      </c>
      <c r="L379" s="27">
        <v>50</v>
      </c>
      <c r="M379" s="27">
        <v>0</v>
      </c>
      <c r="N379" s="21">
        <v>27.844999999999999</v>
      </c>
      <c r="O379" s="24">
        <v>33.460999999999999</v>
      </c>
      <c r="P379" s="16">
        <v>-1.322401764705905E-2</v>
      </c>
      <c r="Q379" s="16">
        <v>-0.44600112941176384</v>
      </c>
      <c r="R379" s="26" t="s">
        <v>280</v>
      </c>
      <c r="S379" s="26"/>
      <c r="T379" s="71" t="s">
        <v>626</v>
      </c>
    </row>
    <row r="380" spans="1:20">
      <c r="A380" s="26"/>
      <c r="B380" s="26"/>
      <c r="C380" s="26"/>
      <c r="D380" s="25"/>
      <c r="H380" s="6"/>
      <c r="I380" s="22"/>
      <c r="J380" s="22"/>
      <c r="K380" s="27"/>
      <c r="L380" s="27"/>
      <c r="M380" s="27"/>
      <c r="N380" s="21"/>
      <c r="O380" s="24"/>
      <c r="P380" s="16"/>
      <c r="Q380" s="16"/>
      <c r="R380" s="26"/>
      <c r="S380" s="26"/>
      <c r="T380" s="71"/>
    </row>
    <row r="381" spans="1:20">
      <c r="A381" s="26" t="s">
        <v>145</v>
      </c>
      <c r="B381" s="26" t="s">
        <v>245</v>
      </c>
      <c r="C381" s="26" t="s">
        <v>505</v>
      </c>
      <c r="D381" s="25">
        <v>42998</v>
      </c>
      <c r="E381" s="1">
        <f t="shared" si="24"/>
        <v>2017</v>
      </c>
      <c r="F381" s="1">
        <f t="shared" si="25"/>
        <v>9</v>
      </c>
      <c r="G381" s="4">
        <f t="shared" si="26"/>
        <v>20</v>
      </c>
      <c r="H381" s="6">
        <v>0.71300925925925929</v>
      </c>
      <c r="I381" s="22">
        <v>129.52783333333332</v>
      </c>
      <c r="J381" s="22">
        <v>32.160833333333336</v>
      </c>
      <c r="K381" s="27">
        <v>0</v>
      </c>
      <c r="L381" s="27">
        <v>0</v>
      </c>
      <c r="M381" s="27">
        <v>0</v>
      </c>
      <c r="N381" s="21">
        <v>26.8</v>
      </c>
      <c r="O381" s="24">
        <v>33.01344279805916</v>
      </c>
      <c r="P381" s="16">
        <v>-7.5381035294117549E-2</v>
      </c>
      <c r="Q381" s="16">
        <v>-0.33689105882352877</v>
      </c>
      <c r="R381" s="26" t="s">
        <v>280</v>
      </c>
      <c r="S381" s="26"/>
      <c r="T381" s="71" t="s">
        <v>626</v>
      </c>
    </row>
    <row r="382" spans="1:20">
      <c r="A382" s="26" t="s">
        <v>145</v>
      </c>
      <c r="B382" s="26" t="s">
        <v>245</v>
      </c>
      <c r="C382" s="26" t="s">
        <v>505</v>
      </c>
      <c r="D382" s="25">
        <v>42998</v>
      </c>
      <c r="E382" s="1">
        <f t="shared" si="24"/>
        <v>2017</v>
      </c>
      <c r="F382" s="1">
        <f t="shared" si="25"/>
        <v>9</v>
      </c>
      <c r="G382" s="4">
        <f t="shared" si="26"/>
        <v>20</v>
      </c>
      <c r="H382" s="6">
        <v>0.71300925925925929</v>
      </c>
      <c r="I382" s="22">
        <v>129.52783333333332</v>
      </c>
      <c r="J382" s="22">
        <v>32.160833333333336</v>
      </c>
      <c r="K382" s="27">
        <v>20</v>
      </c>
      <c r="L382" s="27">
        <v>20</v>
      </c>
      <c r="M382" s="27">
        <v>0</v>
      </c>
      <c r="N382" s="21">
        <v>27.117999999999999</v>
      </c>
      <c r="O382" s="24">
        <v>33.734000000000002</v>
      </c>
      <c r="P382" s="16">
        <v>-9.7992352941176586E-2</v>
      </c>
      <c r="Q382" s="16">
        <v>-0.56291058823529383</v>
      </c>
      <c r="R382" s="26" t="s">
        <v>280</v>
      </c>
      <c r="S382" s="26"/>
      <c r="T382" s="71" t="s">
        <v>626</v>
      </c>
    </row>
    <row r="383" spans="1:20">
      <c r="A383" s="26" t="s">
        <v>145</v>
      </c>
      <c r="B383" s="26" t="s">
        <v>245</v>
      </c>
      <c r="C383" s="26" t="s">
        <v>505</v>
      </c>
      <c r="D383" s="25">
        <v>42998</v>
      </c>
      <c r="E383" s="1">
        <f t="shared" si="24"/>
        <v>2017</v>
      </c>
      <c r="F383" s="1">
        <f t="shared" si="25"/>
        <v>9</v>
      </c>
      <c r="G383" s="4">
        <f t="shared" si="26"/>
        <v>20</v>
      </c>
      <c r="H383" s="6">
        <v>0.71300925925925929</v>
      </c>
      <c r="I383" s="22">
        <v>129.52783333333332</v>
      </c>
      <c r="J383" s="22">
        <v>32.160833333333336</v>
      </c>
      <c r="K383" s="27">
        <v>50</v>
      </c>
      <c r="L383" s="27">
        <v>50</v>
      </c>
      <c r="M383" s="27">
        <v>0</v>
      </c>
      <c r="N383" s="21">
        <v>24.620999999999999</v>
      </c>
      <c r="O383" s="24">
        <v>33.978999999999999</v>
      </c>
      <c r="P383" s="16">
        <v>8.7574729411764807E-2</v>
      </c>
      <c r="Q383" s="16">
        <v>0.52254108235294261</v>
      </c>
      <c r="R383" s="26" t="s">
        <v>280</v>
      </c>
      <c r="S383" s="26"/>
      <c r="T383" s="71" t="s">
        <v>626</v>
      </c>
    </row>
    <row r="384" spans="1:20">
      <c r="A384" s="26"/>
      <c r="B384" s="26"/>
      <c r="C384" s="26"/>
      <c r="D384" s="25"/>
      <c r="H384" s="6"/>
      <c r="I384" s="22"/>
      <c r="J384" s="22"/>
      <c r="K384" s="27"/>
      <c r="L384" s="27"/>
      <c r="M384" s="27"/>
      <c r="N384" s="21"/>
      <c r="O384" s="24"/>
      <c r="P384" s="16"/>
      <c r="Q384" s="16"/>
      <c r="R384" s="26"/>
      <c r="S384" s="26"/>
      <c r="T384" s="71"/>
    </row>
    <row r="385" spans="1:20">
      <c r="A385" s="26" t="s">
        <v>145</v>
      </c>
      <c r="B385" s="26" t="s">
        <v>215</v>
      </c>
      <c r="C385" s="26" t="s">
        <v>509</v>
      </c>
      <c r="D385" s="25">
        <v>42972</v>
      </c>
      <c r="E385" s="1">
        <f t="shared" si="24"/>
        <v>2017</v>
      </c>
      <c r="F385" s="1">
        <f t="shared" si="25"/>
        <v>8</v>
      </c>
      <c r="G385" s="4">
        <f t="shared" si="26"/>
        <v>25</v>
      </c>
      <c r="H385" s="6">
        <v>0.56736111111111109</v>
      </c>
      <c r="I385" s="22">
        <v>135.99950000000001</v>
      </c>
      <c r="J385" s="22">
        <v>38.093499999999999</v>
      </c>
      <c r="K385" s="27">
        <v>0</v>
      </c>
      <c r="L385" s="27">
        <v>0</v>
      </c>
      <c r="M385" s="27">
        <v>0</v>
      </c>
      <c r="N385" s="21">
        <v>27.1</v>
      </c>
      <c r="O385" s="24">
        <v>32.99423472375139</v>
      </c>
      <c r="P385" s="16">
        <v>-0.17558918823529468</v>
      </c>
      <c r="Q385" s="16">
        <v>-1.3830784470588231</v>
      </c>
      <c r="R385" s="26" t="s">
        <v>280</v>
      </c>
      <c r="S385" s="26"/>
      <c r="T385" s="71" t="s">
        <v>626</v>
      </c>
    </row>
    <row r="386" spans="1:20">
      <c r="A386" s="26" t="s">
        <v>145</v>
      </c>
      <c r="B386" s="26" t="s">
        <v>215</v>
      </c>
      <c r="C386" s="26" t="s">
        <v>509</v>
      </c>
      <c r="D386" s="25">
        <v>42972</v>
      </c>
      <c r="E386" s="1">
        <f t="shared" si="24"/>
        <v>2017</v>
      </c>
      <c r="F386" s="1">
        <f t="shared" si="25"/>
        <v>8</v>
      </c>
      <c r="G386" s="4">
        <f t="shared" si="26"/>
        <v>25</v>
      </c>
      <c r="H386" s="6">
        <v>0.56736111111111109</v>
      </c>
      <c r="I386" s="22">
        <v>135.99950000000001</v>
      </c>
      <c r="J386" s="22">
        <v>38.093499999999999</v>
      </c>
      <c r="K386" s="27">
        <v>20</v>
      </c>
      <c r="L386" s="27">
        <v>20</v>
      </c>
      <c r="M386" s="27">
        <v>0</v>
      </c>
      <c r="N386" s="21">
        <v>23.126999999999999</v>
      </c>
      <c r="O386" s="24">
        <v>34.213000000000001</v>
      </c>
      <c r="P386" s="16">
        <v>3.2038405882353072E-2</v>
      </c>
      <c r="Q386" s="16">
        <v>-8.1133352941176184E-2</v>
      </c>
      <c r="R386" s="26" t="s">
        <v>280</v>
      </c>
      <c r="S386" s="26"/>
      <c r="T386" s="71" t="s">
        <v>626</v>
      </c>
    </row>
    <row r="387" spans="1:20">
      <c r="A387" s="26" t="s">
        <v>145</v>
      </c>
      <c r="B387" s="26" t="s">
        <v>215</v>
      </c>
      <c r="C387" s="26" t="s">
        <v>509</v>
      </c>
      <c r="D387" s="25">
        <v>42972</v>
      </c>
      <c r="E387" s="1">
        <f t="shared" si="24"/>
        <v>2017</v>
      </c>
      <c r="F387" s="1">
        <f t="shared" si="25"/>
        <v>8</v>
      </c>
      <c r="G387" s="4">
        <f t="shared" si="26"/>
        <v>25</v>
      </c>
      <c r="H387" s="6">
        <v>0.56736111111111109</v>
      </c>
      <c r="I387" s="22">
        <v>135.99950000000001</v>
      </c>
      <c r="J387" s="22">
        <v>38.093499999999999</v>
      </c>
      <c r="K387" s="27">
        <v>50</v>
      </c>
      <c r="L387" s="27">
        <v>50</v>
      </c>
      <c r="M387" s="27">
        <v>0</v>
      </c>
      <c r="N387" s="21">
        <v>14.102</v>
      </c>
      <c r="O387" s="24">
        <v>34.43</v>
      </c>
      <c r="P387" s="16">
        <v>0.14267214705882325</v>
      </c>
      <c r="Q387" s="16">
        <v>0.90016017647058888</v>
      </c>
      <c r="R387" s="26" t="s">
        <v>280</v>
      </c>
      <c r="S387" s="26"/>
      <c r="T387" s="71" t="s">
        <v>626</v>
      </c>
    </row>
    <row r="388" spans="1:20">
      <c r="A388" s="26"/>
      <c r="B388" s="26"/>
      <c r="C388" s="26"/>
      <c r="D388" s="25"/>
      <c r="H388" s="6"/>
      <c r="I388" s="22"/>
      <c r="J388" s="22"/>
      <c r="K388" s="27"/>
      <c r="L388" s="27"/>
      <c r="M388" s="27"/>
      <c r="N388" s="21"/>
      <c r="O388" s="24"/>
      <c r="P388" s="16"/>
      <c r="Q388" s="16"/>
      <c r="R388" s="26"/>
      <c r="S388" s="26"/>
      <c r="T388" s="71"/>
    </row>
    <row r="389" spans="1:20">
      <c r="A389" s="26" t="s">
        <v>145</v>
      </c>
      <c r="B389" s="26" t="s">
        <v>227</v>
      </c>
      <c r="C389" s="26" t="s">
        <v>509</v>
      </c>
      <c r="D389" s="25">
        <v>42976</v>
      </c>
      <c r="E389" s="1">
        <f t="shared" si="24"/>
        <v>2017</v>
      </c>
      <c r="F389" s="1">
        <f t="shared" si="25"/>
        <v>8</v>
      </c>
      <c r="G389" s="4">
        <f t="shared" si="26"/>
        <v>29</v>
      </c>
      <c r="H389" s="6">
        <v>0.60028935185185184</v>
      </c>
      <c r="I389" s="22">
        <v>136.00266666666667</v>
      </c>
      <c r="J389" s="22">
        <v>36.991999999999997</v>
      </c>
      <c r="K389" s="27">
        <v>0</v>
      </c>
      <c r="L389" s="27">
        <v>0</v>
      </c>
      <c r="M389" s="27">
        <v>0</v>
      </c>
      <c r="N389" s="21">
        <v>28.1</v>
      </c>
      <c r="O389" s="24">
        <v>32.469003654172099</v>
      </c>
      <c r="P389" s="16">
        <v>-0.3117010117647061</v>
      </c>
      <c r="Q389" s="16">
        <v>-2.2353455541176475</v>
      </c>
      <c r="R389" s="26" t="s">
        <v>280</v>
      </c>
      <c r="S389" s="26"/>
      <c r="T389" s="71" t="s">
        <v>626</v>
      </c>
    </row>
    <row r="390" spans="1:20">
      <c r="A390" s="26" t="s">
        <v>145</v>
      </c>
      <c r="B390" s="26" t="s">
        <v>227</v>
      </c>
      <c r="C390" s="26" t="s">
        <v>509</v>
      </c>
      <c r="D390" s="25">
        <v>42976</v>
      </c>
      <c r="E390" s="1">
        <f t="shared" si="24"/>
        <v>2017</v>
      </c>
      <c r="F390" s="1">
        <f t="shared" si="25"/>
        <v>8</v>
      </c>
      <c r="G390" s="4">
        <f t="shared" si="26"/>
        <v>29</v>
      </c>
      <c r="H390" s="6">
        <v>0.60028935185185184</v>
      </c>
      <c r="I390" s="22">
        <v>136.00266666666667</v>
      </c>
      <c r="J390" s="22">
        <v>36.991999999999997</v>
      </c>
      <c r="K390" s="27">
        <v>20</v>
      </c>
      <c r="L390" s="27">
        <v>20</v>
      </c>
      <c r="M390" s="27">
        <v>0</v>
      </c>
      <c r="N390" s="21">
        <v>22.966999999999999</v>
      </c>
      <c r="O390" s="24">
        <v>33.671999999999997</v>
      </c>
      <c r="P390" s="16">
        <v>-0.11828387058823497</v>
      </c>
      <c r="Q390" s="16">
        <v>-1.0400487447058824</v>
      </c>
      <c r="R390" s="26" t="s">
        <v>280</v>
      </c>
      <c r="S390" s="26"/>
      <c r="T390" s="71" t="s">
        <v>626</v>
      </c>
    </row>
    <row r="391" spans="1:20">
      <c r="A391" s="26" t="s">
        <v>145</v>
      </c>
      <c r="B391" s="26" t="s">
        <v>227</v>
      </c>
      <c r="C391" s="26" t="s">
        <v>509</v>
      </c>
      <c r="D391" s="25">
        <v>42976</v>
      </c>
      <c r="E391" s="1">
        <f t="shared" si="24"/>
        <v>2017</v>
      </c>
      <c r="F391" s="1">
        <f t="shared" si="25"/>
        <v>8</v>
      </c>
      <c r="G391" s="4">
        <f t="shared" si="26"/>
        <v>29</v>
      </c>
      <c r="H391" s="6">
        <v>0.60028935185185184</v>
      </c>
      <c r="I391" s="22">
        <v>136.00266666666667</v>
      </c>
      <c r="J391" s="22">
        <v>36.991999999999997</v>
      </c>
      <c r="K391" s="27">
        <v>50</v>
      </c>
      <c r="L391" s="27">
        <v>50</v>
      </c>
      <c r="M391" s="27">
        <v>0</v>
      </c>
      <c r="N391" s="21">
        <v>19.843</v>
      </c>
      <c r="O391" s="24">
        <v>34.311999999999998</v>
      </c>
      <c r="P391" s="16">
        <v>0.11836007058823528</v>
      </c>
      <c r="Q391" s="16">
        <v>0.50705050470588198</v>
      </c>
      <c r="R391" s="26" t="s">
        <v>280</v>
      </c>
      <c r="S391" s="26"/>
      <c r="T391" s="71" t="s">
        <v>626</v>
      </c>
    </row>
    <row r="392" spans="1:20">
      <c r="A392" s="26"/>
      <c r="B392" s="26"/>
      <c r="C392" s="26"/>
      <c r="D392" s="25"/>
      <c r="H392" s="6"/>
      <c r="I392" s="22"/>
      <c r="J392" s="22"/>
      <c r="K392" s="27"/>
      <c r="L392" s="27"/>
      <c r="M392" s="27"/>
      <c r="N392" s="21"/>
      <c r="O392" s="24"/>
      <c r="P392" s="16"/>
      <c r="Q392" s="16"/>
      <c r="R392" s="26"/>
      <c r="S392" s="26"/>
      <c r="T392" s="71"/>
    </row>
    <row r="393" spans="1:20" ht="12.75" customHeight="1">
      <c r="A393" s="1" t="s">
        <v>288</v>
      </c>
      <c r="B393" s="1">
        <v>89</v>
      </c>
      <c r="C393" s="1" t="s">
        <v>505</v>
      </c>
      <c r="D393" s="5">
        <v>43220</v>
      </c>
      <c r="E393" s="1">
        <f t="shared" ref="E393" si="27">YEAR(D393)</f>
        <v>2018</v>
      </c>
      <c r="F393" s="1">
        <f t="shared" ref="F393" si="28">MONTH(D393)</f>
        <v>4</v>
      </c>
      <c r="G393" s="4">
        <f t="shared" ref="G393" si="29">DAY(D393)</f>
        <v>30</v>
      </c>
      <c r="H393" s="8">
        <v>0.63124999999999998</v>
      </c>
      <c r="I393" s="11">
        <f t="shared" ref="I393:I400" si="30">130+14.99/60</f>
        <v>130.24983333333333</v>
      </c>
      <c r="J393" s="11">
        <f t="shared" ref="J393:J400" si="31">34+59.99/60</f>
        <v>34.999833333333335</v>
      </c>
      <c r="K393" s="9">
        <v>0</v>
      </c>
      <c r="L393" s="9">
        <v>0</v>
      </c>
      <c r="M393" s="27">
        <v>0</v>
      </c>
      <c r="N393" s="12">
        <v>16.100000000000001</v>
      </c>
      <c r="O393" s="11">
        <v>34.578205438635749</v>
      </c>
      <c r="P393" s="31">
        <v>0.30036339999999973</v>
      </c>
      <c r="Q393" s="31">
        <v>1.2705292941176474</v>
      </c>
      <c r="R393" s="26" t="s">
        <v>280</v>
      </c>
      <c r="S393" s="26">
        <v>1</v>
      </c>
      <c r="T393" s="71" t="s">
        <v>626</v>
      </c>
    </row>
    <row r="394" spans="1:20" ht="12.75" customHeight="1">
      <c r="A394" s="1" t="s">
        <v>288</v>
      </c>
      <c r="B394" s="1">
        <v>89</v>
      </c>
      <c r="C394" s="1" t="s">
        <v>505</v>
      </c>
      <c r="D394" s="5">
        <v>43220</v>
      </c>
      <c r="E394" s="1">
        <f t="shared" ref="E394:E400" si="32">YEAR(D394)</f>
        <v>2018</v>
      </c>
      <c r="F394" s="1">
        <f t="shared" ref="F394:F400" si="33">MONTH(D394)</f>
        <v>4</v>
      </c>
      <c r="G394" s="4">
        <f t="shared" ref="G394:G400" si="34">DAY(D394)</f>
        <v>30</v>
      </c>
      <c r="H394" s="8">
        <v>0.63124999999999998</v>
      </c>
      <c r="I394" s="11">
        <f t="shared" si="30"/>
        <v>130.24983333333333</v>
      </c>
      <c r="J394" s="11">
        <f t="shared" si="31"/>
        <v>34.999833333333335</v>
      </c>
      <c r="K394" s="9">
        <v>10.481</v>
      </c>
      <c r="L394" s="9">
        <v>10</v>
      </c>
      <c r="M394" s="9">
        <v>0</v>
      </c>
      <c r="N394" s="12">
        <v>16.101400000000002</v>
      </c>
      <c r="O394" s="11">
        <v>34.576799999999999</v>
      </c>
      <c r="P394" s="31">
        <v>0.23543480000000017</v>
      </c>
      <c r="Q394" s="31">
        <v>1.2083619176470606</v>
      </c>
      <c r="R394" s="26" t="s">
        <v>280</v>
      </c>
      <c r="S394" s="26">
        <v>1</v>
      </c>
      <c r="T394" s="71" t="s">
        <v>626</v>
      </c>
    </row>
    <row r="395" spans="1:20" ht="12.75" customHeight="1">
      <c r="A395" s="1" t="s">
        <v>288</v>
      </c>
      <c r="B395" s="1">
        <v>89</v>
      </c>
      <c r="C395" s="1" t="s">
        <v>505</v>
      </c>
      <c r="D395" s="5">
        <v>43220</v>
      </c>
      <c r="E395" s="1">
        <f t="shared" si="32"/>
        <v>2018</v>
      </c>
      <c r="F395" s="1">
        <f t="shared" si="33"/>
        <v>4</v>
      </c>
      <c r="G395" s="4">
        <f t="shared" si="34"/>
        <v>30</v>
      </c>
      <c r="H395" s="8">
        <v>0.63124999999999998</v>
      </c>
      <c r="I395" s="11">
        <f t="shared" si="30"/>
        <v>130.24983333333333</v>
      </c>
      <c r="J395" s="11">
        <f t="shared" si="31"/>
        <v>34.999833333333335</v>
      </c>
      <c r="K395" s="9">
        <v>19.956</v>
      </c>
      <c r="L395" s="9">
        <v>20</v>
      </c>
      <c r="M395" s="9">
        <v>0</v>
      </c>
      <c r="N395" s="12">
        <v>15.632400000000001</v>
      </c>
      <c r="O395" s="11">
        <v>34.582099999999997</v>
      </c>
      <c r="P395" s="31">
        <v>0.2495797000000004</v>
      </c>
      <c r="Q395" s="31">
        <v>1.1787966352941162</v>
      </c>
      <c r="R395" s="26" t="s">
        <v>280</v>
      </c>
      <c r="S395" s="26">
        <v>1</v>
      </c>
      <c r="T395" s="71" t="s">
        <v>626</v>
      </c>
    </row>
    <row r="396" spans="1:20" ht="12.75" customHeight="1">
      <c r="A396" s="1" t="s">
        <v>288</v>
      </c>
      <c r="B396" s="1">
        <v>89</v>
      </c>
      <c r="C396" s="1" t="s">
        <v>505</v>
      </c>
      <c r="D396" s="5">
        <v>43220</v>
      </c>
      <c r="E396" s="1">
        <f t="shared" si="32"/>
        <v>2018</v>
      </c>
      <c r="F396" s="1">
        <f t="shared" si="33"/>
        <v>4</v>
      </c>
      <c r="G396" s="4">
        <f t="shared" si="34"/>
        <v>30</v>
      </c>
      <c r="H396" s="8">
        <v>0.63124999999999998</v>
      </c>
      <c r="I396" s="11">
        <f t="shared" si="30"/>
        <v>130.24983333333333</v>
      </c>
      <c r="J396" s="11">
        <f t="shared" si="31"/>
        <v>34.999833333333335</v>
      </c>
      <c r="K396" s="9">
        <v>30.315999999999999</v>
      </c>
      <c r="L396" s="9">
        <v>30</v>
      </c>
      <c r="M396" s="9">
        <v>0</v>
      </c>
      <c r="N396" s="12">
        <v>15.4589</v>
      </c>
      <c r="O396" s="11">
        <v>34.573999999999998</v>
      </c>
      <c r="P396" s="31">
        <v>0.38535379999999986</v>
      </c>
      <c r="Q396" s="31">
        <v>1.5449477058823522</v>
      </c>
      <c r="R396" s="26" t="s">
        <v>280</v>
      </c>
      <c r="S396" s="26">
        <v>1</v>
      </c>
      <c r="T396" s="71" t="s">
        <v>626</v>
      </c>
    </row>
    <row r="397" spans="1:20" ht="12.75" customHeight="1">
      <c r="A397" s="1" t="s">
        <v>288</v>
      </c>
      <c r="B397" s="1">
        <v>89</v>
      </c>
      <c r="C397" s="1" t="s">
        <v>505</v>
      </c>
      <c r="D397" s="5">
        <v>43220</v>
      </c>
      <c r="E397" s="1">
        <f t="shared" si="32"/>
        <v>2018</v>
      </c>
      <c r="F397" s="1">
        <f t="shared" si="33"/>
        <v>4</v>
      </c>
      <c r="G397" s="4">
        <f t="shared" si="34"/>
        <v>30</v>
      </c>
      <c r="H397" s="8">
        <v>0.63124999999999998</v>
      </c>
      <c r="I397" s="11">
        <f t="shared" si="30"/>
        <v>130.24983333333333</v>
      </c>
      <c r="J397" s="11">
        <f t="shared" si="31"/>
        <v>34.999833333333335</v>
      </c>
      <c r="K397" s="9">
        <v>50.351999999999997</v>
      </c>
      <c r="L397" s="9">
        <v>50</v>
      </c>
      <c r="M397" s="9">
        <v>0</v>
      </c>
      <c r="N397" s="12">
        <v>15.0741</v>
      </c>
      <c r="O397" s="11">
        <v>34.601900000000001</v>
      </c>
      <c r="P397" s="31">
        <v>0.28389530000000018</v>
      </c>
      <c r="Q397" s="31">
        <v>1.389383823529414</v>
      </c>
      <c r="R397" s="26" t="s">
        <v>280</v>
      </c>
      <c r="S397" s="26">
        <v>1</v>
      </c>
      <c r="T397" s="71" t="s">
        <v>626</v>
      </c>
    </row>
    <row r="398" spans="1:20" ht="12.75" customHeight="1">
      <c r="A398" s="1" t="s">
        <v>288</v>
      </c>
      <c r="B398" s="1">
        <v>89</v>
      </c>
      <c r="C398" s="1" t="s">
        <v>505</v>
      </c>
      <c r="D398" s="5">
        <v>43220</v>
      </c>
      <c r="E398" s="1">
        <f t="shared" si="32"/>
        <v>2018</v>
      </c>
      <c r="F398" s="1">
        <f t="shared" si="33"/>
        <v>4</v>
      </c>
      <c r="G398" s="4">
        <f t="shared" si="34"/>
        <v>30</v>
      </c>
      <c r="H398" s="8">
        <v>0.63124999999999998</v>
      </c>
      <c r="I398" s="11">
        <f t="shared" si="30"/>
        <v>130.24983333333333</v>
      </c>
      <c r="J398" s="11">
        <f t="shared" si="31"/>
        <v>34.999833333333335</v>
      </c>
      <c r="K398" s="9">
        <v>74.900000000000006</v>
      </c>
      <c r="L398" s="9">
        <v>75</v>
      </c>
      <c r="M398" s="9">
        <v>0</v>
      </c>
      <c r="N398" s="12">
        <v>14.5182</v>
      </c>
      <c r="O398" s="11">
        <v>34.586300000000001</v>
      </c>
      <c r="P398" s="31">
        <v>0.29186919999999983</v>
      </c>
      <c r="Q398" s="31">
        <v>1.4678173411764703</v>
      </c>
      <c r="R398" s="26" t="s">
        <v>280</v>
      </c>
      <c r="S398" s="26">
        <v>1</v>
      </c>
      <c r="T398" s="71" t="s">
        <v>626</v>
      </c>
    </row>
    <row r="399" spans="1:20" ht="12.75" customHeight="1">
      <c r="A399" s="1" t="s">
        <v>288</v>
      </c>
      <c r="B399" s="1">
        <v>89</v>
      </c>
      <c r="C399" s="1" t="s">
        <v>505</v>
      </c>
      <c r="D399" s="5">
        <v>43220</v>
      </c>
      <c r="E399" s="1">
        <f t="shared" si="32"/>
        <v>2018</v>
      </c>
      <c r="F399" s="1">
        <f t="shared" si="33"/>
        <v>4</v>
      </c>
      <c r="G399" s="4">
        <f t="shared" si="34"/>
        <v>30</v>
      </c>
      <c r="H399" s="8">
        <v>0.63124999999999998</v>
      </c>
      <c r="I399" s="11">
        <f t="shared" si="30"/>
        <v>130.24983333333333</v>
      </c>
      <c r="J399" s="11">
        <f t="shared" si="31"/>
        <v>34.999833333333335</v>
      </c>
      <c r="K399" s="9">
        <v>99.739000000000004</v>
      </c>
      <c r="L399" s="9">
        <v>100</v>
      </c>
      <c r="M399" s="9">
        <v>0</v>
      </c>
      <c r="N399" s="12">
        <v>14.395</v>
      </c>
      <c r="O399" s="11">
        <v>34.572000000000003</v>
      </c>
      <c r="P399" s="31">
        <v>0.4123610000000002</v>
      </c>
      <c r="Q399" s="31">
        <v>1.5090644588235307</v>
      </c>
      <c r="R399" s="26" t="s">
        <v>280</v>
      </c>
      <c r="S399" s="26">
        <v>1</v>
      </c>
      <c r="T399" s="71" t="s">
        <v>626</v>
      </c>
    </row>
    <row r="400" spans="1:20" ht="12.75" customHeight="1">
      <c r="A400" s="1" t="s">
        <v>288</v>
      </c>
      <c r="B400" s="1">
        <v>89</v>
      </c>
      <c r="C400" s="1" t="s">
        <v>505</v>
      </c>
      <c r="D400" s="5">
        <v>43220</v>
      </c>
      <c r="E400" s="1">
        <f t="shared" si="32"/>
        <v>2018</v>
      </c>
      <c r="F400" s="1">
        <f t="shared" si="33"/>
        <v>4</v>
      </c>
      <c r="G400" s="4">
        <f t="shared" si="34"/>
        <v>30</v>
      </c>
      <c r="H400" s="8">
        <v>0.63124999999999998</v>
      </c>
      <c r="I400" s="11">
        <f t="shared" si="30"/>
        <v>130.24983333333333</v>
      </c>
      <c r="J400" s="11">
        <f t="shared" si="31"/>
        <v>34.999833333333335</v>
      </c>
      <c r="K400" s="9">
        <v>119.679</v>
      </c>
      <c r="L400" s="9">
        <v>120</v>
      </c>
      <c r="M400" s="9">
        <v>0</v>
      </c>
      <c r="N400" s="12">
        <v>14.0786</v>
      </c>
      <c r="O400" s="11">
        <v>34.561</v>
      </c>
      <c r="P400" s="31">
        <v>0.23643910000000012</v>
      </c>
      <c r="Q400" s="31">
        <v>1.2209745764705868</v>
      </c>
      <c r="R400" s="26" t="s">
        <v>280</v>
      </c>
      <c r="S400" s="26">
        <v>1</v>
      </c>
      <c r="T400" s="71" t="s">
        <v>626</v>
      </c>
    </row>
    <row r="401" spans="1:20" ht="12.75" customHeight="1">
      <c r="P401" s="31"/>
      <c r="Q401" s="31"/>
      <c r="R401" s="26"/>
      <c r="S401" s="26"/>
      <c r="T401" s="71"/>
    </row>
    <row r="402" spans="1:20" ht="12.75" customHeight="1">
      <c r="A402" s="1" t="s">
        <v>288</v>
      </c>
      <c r="B402" s="1">
        <v>82</v>
      </c>
      <c r="C402" s="1" t="s">
        <v>505</v>
      </c>
      <c r="D402" s="5">
        <v>43218</v>
      </c>
      <c r="E402" s="1">
        <f t="shared" ref="E402:E411" si="35">YEAR(D402)</f>
        <v>2018</v>
      </c>
      <c r="F402" s="1">
        <f t="shared" ref="F402:F411" si="36">MONTH(D402)</f>
        <v>4</v>
      </c>
      <c r="G402" s="4">
        <f t="shared" ref="G402:G411" si="37">DAY(D402)</f>
        <v>28</v>
      </c>
      <c r="H402" s="8">
        <v>0.33263888888888887</v>
      </c>
      <c r="I402" s="11">
        <f t="shared" ref="I402:I411" si="38">128+15.04/60</f>
        <v>128.25066666666666</v>
      </c>
      <c r="J402" s="11">
        <f t="shared" ref="J402:J411" si="39">33+15.04/60</f>
        <v>33.250666666666667</v>
      </c>
      <c r="K402" s="9">
        <v>0</v>
      </c>
      <c r="L402" s="9">
        <v>0</v>
      </c>
      <c r="M402" s="27">
        <v>0</v>
      </c>
      <c r="N402" s="12">
        <v>17.899999999999999</v>
      </c>
      <c r="O402" s="11">
        <v>34.494482964446313</v>
      </c>
      <c r="P402" s="31">
        <v>0.29966159999999942</v>
      </c>
      <c r="Q402" s="31">
        <v>1.5108912000000014</v>
      </c>
      <c r="R402" s="26" t="s">
        <v>280</v>
      </c>
      <c r="S402" s="26">
        <v>1</v>
      </c>
      <c r="T402" s="71" t="s">
        <v>626</v>
      </c>
    </row>
    <row r="403" spans="1:20" ht="12.75" customHeight="1">
      <c r="A403" s="1" t="s">
        <v>288</v>
      </c>
      <c r="B403" s="1">
        <v>82</v>
      </c>
      <c r="C403" s="1" t="s">
        <v>505</v>
      </c>
      <c r="D403" s="5">
        <v>43218</v>
      </c>
      <c r="E403" s="1">
        <f t="shared" si="35"/>
        <v>2018</v>
      </c>
      <c r="F403" s="1">
        <f t="shared" si="36"/>
        <v>4</v>
      </c>
      <c r="G403" s="4">
        <f t="shared" si="37"/>
        <v>28</v>
      </c>
      <c r="H403" s="8">
        <v>0.33263888888888887</v>
      </c>
      <c r="I403" s="11">
        <f t="shared" si="38"/>
        <v>128.25066666666666</v>
      </c>
      <c r="J403" s="11">
        <f t="shared" si="39"/>
        <v>33.250666666666667</v>
      </c>
      <c r="K403" s="9">
        <v>10.372</v>
      </c>
      <c r="L403" s="9">
        <v>10</v>
      </c>
      <c r="M403" s="9">
        <v>0</v>
      </c>
      <c r="N403" s="12">
        <v>17.931699999999999</v>
      </c>
      <c r="O403" s="11">
        <v>34.494500000000002</v>
      </c>
      <c r="P403" s="31">
        <v>0.26441234823529491</v>
      </c>
      <c r="Q403" s="31">
        <v>1.536162452941177</v>
      </c>
      <c r="R403" s="26" t="s">
        <v>280</v>
      </c>
      <c r="S403" s="26">
        <v>1</v>
      </c>
      <c r="T403" s="71" t="s">
        <v>626</v>
      </c>
    </row>
    <row r="404" spans="1:20" ht="12.75" customHeight="1">
      <c r="A404" s="1" t="s">
        <v>288</v>
      </c>
      <c r="B404" s="1">
        <v>82</v>
      </c>
      <c r="C404" s="1" t="s">
        <v>505</v>
      </c>
      <c r="D404" s="5">
        <v>43218</v>
      </c>
      <c r="E404" s="1">
        <f t="shared" si="35"/>
        <v>2018</v>
      </c>
      <c r="F404" s="1">
        <f t="shared" si="36"/>
        <v>4</v>
      </c>
      <c r="G404" s="4">
        <f t="shared" si="37"/>
        <v>28</v>
      </c>
      <c r="H404" s="8">
        <v>0.33263888888888887</v>
      </c>
      <c r="I404" s="11">
        <f t="shared" si="38"/>
        <v>128.25066666666666</v>
      </c>
      <c r="J404" s="11">
        <f t="shared" si="39"/>
        <v>33.250666666666667</v>
      </c>
      <c r="K404" s="9">
        <v>19.731999999999999</v>
      </c>
      <c r="L404" s="9">
        <v>20</v>
      </c>
      <c r="M404" s="9">
        <v>0</v>
      </c>
      <c r="N404" s="12">
        <v>17.847899999999999</v>
      </c>
      <c r="O404" s="11">
        <v>34.498100000000001</v>
      </c>
      <c r="P404" s="31">
        <v>0.27571000470588292</v>
      </c>
      <c r="Q404" s="31">
        <v>1.3313052988235299</v>
      </c>
      <c r="R404" s="26" t="s">
        <v>280</v>
      </c>
      <c r="S404" s="26">
        <v>1</v>
      </c>
      <c r="T404" s="71" t="s">
        <v>626</v>
      </c>
    </row>
    <row r="405" spans="1:20" ht="12.75" customHeight="1">
      <c r="A405" s="1" t="s">
        <v>288</v>
      </c>
      <c r="B405" s="1">
        <v>82</v>
      </c>
      <c r="C405" s="1" t="s">
        <v>505</v>
      </c>
      <c r="D405" s="5">
        <v>43218</v>
      </c>
      <c r="E405" s="1">
        <f t="shared" si="35"/>
        <v>2018</v>
      </c>
      <c r="F405" s="1">
        <f t="shared" si="36"/>
        <v>4</v>
      </c>
      <c r="G405" s="4">
        <f t="shared" si="37"/>
        <v>28</v>
      </c>
      <c r="H405" s="8">
        <v>0.33263888888888887</v>
      </c>
      <c r="I405" s="11">
        <f t="shared" si="38"/>
        <v>128.25066666666666</v>
      </c>
      <c r="J405" s="11">
        <f t="shared" si="39"/>
        <v>33.250666666666667</v>
      </c>
      <c r="K405" s="9">
        <v>29.998999999999999</v>
      </c>
      <c r="L405" s="9">
        <v>30</v>
      </c>
      <c r="M405" s="9">
        <v>0</v>
      </c>
      <c r="N405" s="12">
        <v>17.662500000000001</v>
      </c>
      <c r="O405" s="11">
        <v>34.565300000000001</v>
      </c>
      <c r="P405" s="31">
        <v>0.27410494117647088</v>
      </c>
      <c r="Q405" s="31">
        <v>1.4389277847058857</v>
      </c>
      <c r="R405" s="26" t="s">
        <v>280</v>
      </c>
      <c r="S405" s="26">
        <v>1</v>
      </c>
      <c r="T405" s="71" t="s">
        <v>626</v>
      </c>
    </row>
    <row r="406" spans="1:20" ht="12.75" customHeight="1">
      <c r="A406" s="1" t="s">
        <v>288</v>
      </c>
      <c r="B406" s="1">
        <v>82</v>
      </c>
      <c r="C406" s="1" t="s">
        <v>505</v>
      </c>
      <c r="D406" s="5">
        <v>43218</v>
      </c>
      <c r="E406" s="1">
        <f t="shared" si="35"/>
        <v>2018</v>
      </c>
      <c r="F406" s="1">
        <f t="shared" si="36"/>
        <v>4</v>
      </c>
      <c r="G406" s="4">
        <f t="shared" si="37"/>
        <v>28</v>
      </c>
      <c r="H406" s="8">
        <v>0.33263888888888887</v>
      </c>
      <c r="I406" s="11">
        <f t="shared" si="38"/>
        <v>128.25066666666666</v>
      </c>
      <c r="J406" s="11">
        <f t="shared" si="39"/>
        <v>33.250666666666667</v>
      </c>
      <c r="K406" s="9">
        <v>49.728000000000002</v>
      </c>
      <c r="L406" s="9">
        <v>50</v>
      </c>
      <c r="M406" s="9">
        <v>0</v>
      </c>
      <c r="N406" s="12">
        <v>17.122900000000001</v>
      </c>
      <c r="O406" s="11">
        <v>34.651899999999998</v>
      </c>
      <c r="P406" s="31">
        <v>0.259174117647059</v>
      </c>
      <c r="Q406" s="31">
        <v>1.5345778705882349</v>
      </c>
      <c r="R406" s="26" t="s">
        <v>280</v>
      </c>
      <c r="S406" s="26">
        <v>1</v>
      </c>
      <c r="T406" s="71" t="s">
        <v>626</v>
      </c>
    </row>
    <row r="407" spans="1:20" ht="12.75" customHeight="1">
      <c r="A407" s="1" t="s">
        <v>288</v>
      </c>
      <c r="B407" s="1">
        <v>82</v>
      </c>
      <c r="C407" s="1" t="s">
        <v>505</v>
      </c>
      <c r="D407" s="5">
        <v>43218</v>
      </c>
      <c r="E407" s="1">
        <f t="shared" si="35"/>
        <v>2018</v>
      </c>
      <c r="F407" s="1">
        <f t="shared" si="36"/>
        <v>4</v>
      </c>
      <c r="G407" s="4">
        <f t="shared" si="37"/>
        <v>28</v>
      </c>
      <c r="H407" s="8">
        <v>0.33263888888888887</v>
      </c>
      <c r="I407" s="11">
        <f t="shared" si="38"/>
        <v>128.25066666666666</v>
      </c>
      <c r="J407" s="11">
        <f t="shared" si="39"/>
        <v>33.250666666666667</v>
      </c>
      <c r="K407" s="9">
        <v>74.947000000000003</v>
      </c>
      <c r="L407" s="9">
        <v>75</v>
      </c>
      <c r="M407" s="9">
        <v>0</v>
      </c>
      <c r="N407" s="12">
        <v>16.556999999999999</v>
      </c>
      <c r="O407" s="11">
        <v>34.6312</v>
      </c>
      <c r="P407" s="31">
        <v>0.22955419999999993</v>
      </c>
      <c r="Q407" s="31">
        <v>1.1919096117647054</v>
      </c>
      <c r="R407" s="26" t="s">
        <v>280</v>
      </c>
      <c r="S407" s="26">
        <v>1</v>
      </c>
      <c r="T407" s="71" t="s">
        <v>626</v>
      </c>
    </row>
    <row r="408" spans="1:20" ht="12.75" customHeight="1">
      <c r="A408" s="1" t="s">
        <v>288</v>
      </c>
      <c r="B408" s="1">
        <v>82</v>
      </c>
      <c r="C408" s="1" t="s">
        <v>505</v>
      </c>
      <c r="D408" s="5">
        <v>43218</v>
      </c>
      <c r="E408" s="1">
        <f t="shared" si="35"/>
        <v>2018</v>
      </c>
      <c r="F408" s="1">
        <f t="shared" si="36"/>
        <v>4</v>
      </c>
      <c r="G408" s="4">
        <f t="shared" si="37"/>
        <v>28</v>
      </c>
      <c r="H408" s="8">
        <v>0.33263888888888887</v>
      </c>
      <c r="I408" s="11">
        <f t="shared" si="38"/>
        <v>128.25066666666666</v>
      </c>
      <c r="J408" s="11">
        <f t="shared" si="39"/>
        <v>33.250666666666667</v>
      </c>
      <c r="K408" s="9">
        <v>99.751999999999995</v>
      </c>
      <c r="L408" s="9">
        <v>100</v>
      </c>
      <c r="M408" s="9">
        <v>0</v>
      </c>
      <c r="N408" s="12">
        <v>15.6767</v>
      </c>
      <c r="O408" s="11">
        <v>34.6051</v>
      </c>
      <c r="P408" s="31">
        <v>0.22888870000000061</v>
      </c>
      <c r="Q408" s="31">
        <v>1.2066515294117668</v>
      </c>
      <c r="R408" s="26" t="s">
        <v>280</v>
      </c>
      <c r="S408" s="26">
        <v>1</v>
      </c>
      <c r="T408" s="71" t="s">
        <v>626</v>
      </c>
    </row>
    <row r="409" spans="1:20" ht="12.75" customHeight="1">
      <c r="A409" s="1" t="s">
        <v>288</v>
      </c>
      <c r="B409" s="1">
        <v>82</v>
      </c>
      <c r="C409" s="1" t="s">
        <v>505</v>
      </c>
      <c r="D409" s="5">
        <v>43218</v>
      </c>
      <c r="E409" s="1">
        <f t="shared" si="35"/>
        <v>2018</v>
      </c>
      <c r="F409" s="1">
        <f t="shared" si="36"/>
        <v>4</v>
      </c>
      <c r="G409" s="4">
        <f t="shared" si="37"/>
        <v>28</v>
      </c>
      <c r="H409" s="8">
        <v>0.33263888888888887</v>
      </c>
      <c r="I409" s="11">
        <f t="shared" si="38"/>
        <v>128.25066666666666</v>
      </c>
      <c r="J409" s="11">
        <f t="shared" si="39"/>
        <v>33.250666666666667</v>
      </c>
      <c r="K409" s="9">
        <v>124.601</v>
      </c>
      <c r="L409" s="9">
        <v>125</v>
      </c>
      <c r="M409" s="9">
        <v>0</v>
      </c>
      <c r="N409" s="12">
        <v>14.838800000000001</v>
      </c>
      <c r="O409" s="11">
        <v>34.579500000000003</v>
      </c>
      <c r="P409" s="31">
        <v>0.32099390000000039</v>
      </c>
      <c r="Q409" s="31">
        <v>1.5020716470588216</v>
      </c>
      <c r="R409" s="26" t="s">
        <v>280</v>
      </c>
      <c r="S409" s="26">
        <v>1</v>
      </c>
      <c r="T409" s="71" t="s">
        <v>626</v>
      </c>
    </row>
    <row r="410" spans="1:20" ht="12.75" customHeight="1">
      <c r="A410" s="1" t="s">
        <v>288</v>
      </c>
      <c r="B410" s="1">
        <v>82</v>
      </c>
      <c r="C410" s="1" t="s">
        <v>505</v>
      </c>
      <c r="D410" s="5">
        <v>43218</v>
      </c>
      <c r="E410" s="1">
        <f t="shared" si="35"/>
        <v>2018</v>
      </c>
      <c r="F410" s="1">
        <f t="shared" si="36"/>
        <v>4</v>
      </c>
      <c r="G410" s="4">
        <f t="shared" si="37"/>
        <v>28</v>
      </c>
      <c r="H410" s="8">
        <v>0.33263888888888887</v>
      </c>
      <c r="I410" s="11">
        <f t="shared" si="38"/>
        <v>128.25066666666666</v>
      </c>
      <c r="J410" s="11">
        <f t="shared" si="39"/>
        <v>33.250666666666667</v>
      </c>
      <c r="K410" s="9">
        <v>149.303</v>
      </c>
      <c r="L410" s="9">
        <v>150</v>
      </c>
      <c r="M410" s="9">
        <v>0</v>
      </c>
      <c r="N410" s="12">
        <v>14.133100000000001</v>
      </c>
      <c r="O410" s="11">
        <v>34.555700000000002</v>
      </c>
      <c r="P410" s="31">
        <v>0.15268289999999984</v>
      </c>
      <c r="Q410" s="31">
        <v>0.64510896470588364</v>
      </c>
      <c r="R410" s="26" t="s">
        <v>280</v>
      </c>
      <c r="S410" s="26">
        <v>1</v>
      </c>
      <c r="T410" s="71" t="s">
        <v>626</v>
      </c>
    </row>
    <row r="411" spans="1:20" ht="12.75" customHeight="1">
      <c r="A411" s="1" t="s">
        <v>288</v>
      </c>
      <c r="B411" s="1">
        <v>82</v>
      </c>
      <c r="C411" s="1" t="s">
        <v>505</v>
      </c>
      <c r="D411" s="5">
        <v>43218</v>
      </c>
      <c r="E411" s="1">
        <f t="shared" si="35"/>
        <v>2018</v>
      </c>
      <c r="F411" s="1">
        <f t="shared" si="36"/>
        <v>4</v>
      </c>
      <c r="G411" s="4">
        <f t="shared" si="37"/>
        <v>28</v>
      </c>
      <c r="H411" s="8">
        <v>0.33263888888888887</v>
      </c>
      <c r="I411" s="11">
        <f t="shared" si="38"/>
        <v>128.25066666666666</v>
      </c>
      <c r="J411" s="11">
        <f t="shared" si="39"/>
        <v>33.250666666666667</v>
      </c>
      <c r="K411" s="9">
        <v>155.01499999999999</v>
      </c>
      <c r="L411" s="9">
        <v>155</v>
      </c>
      <c r="M411" s="9">
        <v>0</v>
      </c>
      <c r="N411" s="12">
        <v>14.052099999999999</v>
      </c>
      <c r="O411" s="11">
        <v>34.554299999999998</v>
      </c>
      <c r="P411" s="31">
        <v>0.16765060000000043</v>
      </c>
      <c r="Q411" s="31">
        <v>0.8107722823529393</v>
      </c>
      <c r="R411" s="26" t="s">
        <v>280</v>
      </c>
      <c r="S411" s="26">
        <v>1</v>
      </c>
      <c r="T411" s="71" t="s">
        <v>626</v>
      </c>
    </row>
    <row r="412" spans="1:20" ht="12.75" customHeight="1">
      <c r="P412" s="31"/>
      <c r="Q412" s="31"/>
      <c r="R412" s="26"/>
      <c r="S412" s="26"/>
      <c r="T412" s="71"/>
    </row>
    <row r="413" spans="1:20" ht="12.75" customHeight="1">
      <c r="A413" s="1" t="s">
        <v>288</v>
      </c>
      <c r="B413" s="1">
        <v>77</v>
      </c>
      <c r="C413" s="1" t="s">
        <v>507</v>
      </c>
      <c r="D413" s="5">
        <v>43218</v>
      </c>
      <c r="E413" s="1">
        <f t="shared" ref="E413:E426" si="40">YEAR(D413)</f>
        <v>2018</v>
      </c>
      <c r="F413" s="1">
        <f t="shared" ref="F413:F426" si="41">MONTH(D413)</f>
        <v>4</v>
      </c>
      <c r="G413" s="4">
        <f t="shared" ref="G413:G426" si="42">DAY(D413)</f>
        <v>28</v>
      </c>
      <c r="H413" s="8">
        <v>0.1388888888888889</v>
      </c>
      <c r="I413" s="11">
        <f t="shared" ref="I413:I424" si="43">128+45.03/60</f>
        <v>128.75049999999999</v>
      </c>
      <c r="J413" s="11">
        <f t="shared" ref="J413:J424" si="44">31+45.11/60</f>
        <v>31.751833333333334</v>
      </c>
      <c r="K413" s="9">
        <v>0</v>
      </c>
      <c r="L413" s="9">
        <v>0</v>
      </c>
      <c r="M413" s="27">
        <v>0</v>
      </c>
      <c r="N413" s="12">
        <v>20.399999999999999</v>
      </c>
      <c r="O413" s="11">
        <v>34.539070808994424</v>
      </c>
      <c r="P413" s="31">
        <v>0.23809677176470689</v>
      </c>
      <c r="Q413" s="31">
        <v>1.6143117070588247</v>
      </c>
      <c r="R413" s="26" t="s">
        <v>280</v>
      </c>
      <c r="S413" s="26">
        <v>1</v>
      </c>
      <c r="T413" s="71" t="s">
        <v>626</v>
      </c>
    </row>
    <row r="414" spans="1:20" ht="12.75" customHeight="1">
      <c r="A414" s="1" t="s">
        <v>288</v>
      </c>
      <c r="B414" s="1">
        <v>77</v>
      </c>
      <c r="C414" s="1" t="s">
        <v>507</v>
      </c>
      <c r="D414" s="5">
        <v>43218</v>
      </c>
      <c r="E414" s="1">
        <f t="shared" ref="E414:E424" si="45">YEAR(D414)</f>
        <v>2018</v>
      </c>
      <c r="F414" s="1">
        <f t="shared" ref="F414:F424" si="46">MONTH(D414)</f>
        <v>4</v>
      </c>
      <c r="G414" s="4">
        <f t="shared" ref="G414:G424" si="47">DAY(D414)</f>
        <v>28</v>
      </c>
      <c r="H414" s="8">
        <v>0.1388888888888889</v>
      </c>
      <c r="I414" s="11">
        <f t="shared" si="43"/>
        <v>128.75049999999999</v>
      </c>
      <c r="J414" s="11">
        <f t="shared" si="44"/>
        <v>31.751833333333334</v>
      </c>
      <c r="K414" s="9">
        <v>10.051</v>
      </c>
      <c r="L414" s="9">
        <v>10</v>
      </c>
      <c r="M414" s="9">
        <v>0</v>
      </c>
      <c r="N414" s="12">
        <v>20.765999999999998</v>
      </c>
      <c r="O414" s="11">
        <v>34.534799999999997</v>
      </c>
      <c r="P414" s="31">
        <v>0.22741221176470572</v>
      </c>
      <c r="Q414" s="31">
        <v>1.4157268137254899</v>
      </c>
      <c r="R414" s="26" t="s">
        <v>280</v>
      </c>
      <c r="S414" s="26">
        <v>1</v>
      </c>
      <c r="T414" s="71" t="s">
        <v>626</v>
      </c>
    </row>
    <row r="415" spans="1:20" ht="12.75" customHeight="1">
      <c r="A415" s="1" t="s">
        <v>288</v>
      </c>
      <c r="B415" s="1">
        <v>77</v>
      </c>
      <c r="C415" s="1" t="s">
        <v>507</v>
      </c>
      <c r="D415" s="5">
        <v>43218</v>
      </c>
      <c r="E415" s="1">
        <f t="shared" si="45"/>
        <v>2018</v>
      </c>
      <c r="F415" s="1">
        <f t="shared" si="46"/>
        <v>4</v>
      </c>
      <c r="G415" s="4">
        <f t="shared" si="47"/>
        <v>28</v>
      </c>
      <c r="H415" s="8">
        <v>0.1388888888888889</v>
      </c>
      <c r="I415" s="11">
        <f t="shared" si="43"/>
        <v>128.75049999999999</v>
      </c>
      <c r="J415" s="11">
        <f t="shared" si="44"/>
        <v>31.751833333333334</v>
      </c>
      <c r="K415" s="9">
        <v>19.852</v>
      </c>
      <c r="L415" s="9">
        <v>20</v>
      </c>
      <c r="M415" s="9">
        <v>0</v>
      </c>
      <c r="N415" s="12">
        <v>20.7607</v>
      </c>
      <c r="O415" s="11">
        <v>34.5349</v>
      </c>
      <c r="P415" s="31">
        <v>0.28096067764705923</v>
      </c>
      <c r="Q415" s="31">
        <v>1.5599194505882359</v>
      </c>
      <c r="R415" s="26" t="s">
        <v>280</v>
      </c>
      <c r="S415" s="26">
        <v>1</v>
      </c>
      <c r="T415" s="71" t="s">
        <v>626</v>
      </c>
    </row>
    <row r="416" spans="1:20" ht="12.75" customHeight="1">
      <c r="A416" s="1" t="s">
        <v>288</v>
      </c>
      <c r="B416" s="1">
        <v>77</v>
      </c>
      <c r="C416" s="1" t="s">
        <v>507</v>
      </c>
      <c r="D416" s="5">
        <v>43218</v>
      </c>
      <c r="E416" s="1">
        <f t="shared" si="45"/>
        <v>2018</v>
      </c>
      <c r="F416" s="1">
        <f t="shared" si="46"/>
        <v>4</v>
      </c>
      <c r="G416" s="4">
        <f t="shared" si="47"/>
        <v>28</v>
      </c>
      <c r="H416" s="8">
        <v>0.1388888888888889</v>
      </c>
      <c r="I416" s="11">
        <f t="shared" si="43"/>
        <v>128.75049999999999</v>
      </c>
      <c r="J416" s="11">
        <f t="shared" si="44"/>
        <v>31.751833333333334</v>
      </c>
      <c r="K416" s="9">
        <v>30.356000000000002</v>
      </c>
      <c r="L416" s="9">
        <v>30</v>
      </c>
      <c r="M416" s="9">
        <v>0</v>
      </c>
      <c r="N416" s="12">
        <v>20.6648</v>
      </c>
      <c r="O416" s="11">
        <v>34.543399999999998</v>
      </c>
      <c r="P416" s="31">
        <v>0.26793353411764764</v>
      </c>
      <c r="Q416" s="31">
        <v>1.3227368164705897</v>
      </c>
      <c r="R416" s="26" t="s">
        <v>280</v>
      </c>
      <c r="S416" s="26">
        <v>1</v>
      </c>
      <c r="T416" s="71" t="s">
        <v>626</v>
      </c>
    </row>
    <row r="417" spans="1:20" ht="12.75" customHeight="1">
      <c r="A417" s="1" t="s">
        <v>288</v>
      </c>
      <c r="B417" s="1">
        <v>77</v>
      </c>
      <c r="C417" s="1" t="s">
        <v>507</v>
      </c>
      <c r="D417" s="5">
        <v>43218</v>
      </c>
      <c r="E417" s="1">
        <f t="shared" si="45"/>
        <v>2018</v>
      </c>
      <c r="F417" s="1">
        <f t="shared" si="46"/>
        <v>4</v>
      </c>
      <c r="G417" s="4">
        <f t="shared" si="47"/>
        <v>28</v>
      </c>
      <c r="H417" s="8">
        <v>0.1388888888888889</v>
      </c>
      <c r="I417" s="11">
        <f t="shared" si="43"/>
        <v>128.75049999999999</v>
      </c>
      <c r="J417" s="11">
        <f t="shared" si="44"/>
        <v>31.751833333333334</v>
      </c>
      <c r="K417" s="9">
        <v>49.737000000000002</v>
      </c>
      <c r="L417" s="9">
        <v>50</v>
      </c>
      <c r="M417" s="9">
        <v>0</v>
      </c>
      <c r="N417" s="12">
        <v>19.648</v>
      </c>
      <c r="O417" s="11">
        <v>34.568199999999997</v>
      </c>
      <c r="P417" s="31">
        <v>0.27352015058823564</v>
      </c>
      <c r="Q417" s="31">
        <v>1.5692391423529433</v>
      </c>
      <c r="R417" s="26" t="s">
        <v>280</v>
      </c>
      <c r="S417" s="26">
        <v>1</v>
      </c>
      <c r="T417" s="71" t="s">
        <v>626</v>
      </c>
    </row>
    <row r="418" spans="1:20" ht="12.75" customHeight="1">
      <c r="A418" s="1" t="s">
        <v>288</v>
      </c>
      <c r="B418" s="1">
        <v>77</v>
      </c>
      <c r="C418" s="1" t="s">
        <v>507</v>
      </c>
      <c r="D418" s="5">
        <v>43218</v>
      </c>
      <c r="E418" s="1">
        <f t="shared" si="45"/>
        <v>2018</v>
      </c>
      <c r="F418" s="1">
        <f t="shared" si="46"/>
        <v>4</v>
      </c>
      <c r="G418" s="4">
        <f t="shared" si="47"/>
        <v>28</v>
      </c>
      <c r="H418" s="8">
        <v>0.1388888888888889</v>
      </c>
      <c r="I418" s="11">
        <f t="shared" si="43"/>
        <v>128.75049999999999</v>
      </c>
      <c r="J418" s="11">
        <f t="shared" si="44"/>
        <v>31.751833333333334</v>
      </c>
      <c r="K418" s="9">
        <v>74.632999999999996</v>
      </c>
      <c r="L418" s="9">
        <v>75</v>
      </c>
      <c r="M418" s="9">
        <v>0</v>
      </c>
      <c r="N418" s="12">
        <v>18.441500000000001</v>
      </c>
      <c r="O418" s="11">
        <v>34.5625</v>
      </c>
      <c r="P418" s="31">
        <v>0.2731842070588244</v>
      </c>
      <c r="Q418" s="31">
        <v>1.470337728235295</v>
      </c>
      <c r="R418" s="26" t="s">
        <v>280</v>
      </c>
      <c r="S418" s="26">
        <v>1</v>
      </c>
      <c r="T418" s="71" t="s">
        <v>626</v>
      </c>
    </row>
    <row r="419" spans="1:20" ht="12.75" customHeight="1">
      <c r="A419" s="1" t="s">
        <v>288</v>
      </c>
      <c r="B419" s="1">
        <v>77</v>
      </c>
      <c r="C419" s="1" t="s">
        <v>507</v>
      </c>
      <c r="D419" s="5">
        <v>43218</v>
      </c>
      <c r="E419" s="1">
        <f t="shared" si="45"/>
        <v>2018</v>
      </c>
      <c r="F419" s="1">
        <f t="shared" si="46"/>
        <v>4</v>
      </c>
      <c r="G419" s="4">
        <f t="shared" si="47"/>
        <v>28</v>
      </c>
      <c r="H419" s="8">
        <v>0.1388888888888889</v>
      </c>
      <c r="I419" s="11">
        <f t="shared" si="43"/>
        <v>128.75049999999999</v>
      </c>
      <c r="J419" s="11">
        <f t="shared" si="44"/>
        <v>31.751833333333334</v>
      </c>
      <c r="K419" s="9">
        <v>99.552000000000007</v>
      </c>
      <c r="L419" s="9">
        <v>100</v>
      </c>
      <c r="M419" s="9">
        <v>0</v>
      </c>
      <c r="N419" s="12">
        <v>17.321999999999999</v>
      </c>
      <c r="O419" s="11">
        <v>34.571199999999997</v>
      </c>
      <c r="P419" s="31">
        <v>0.25085018352941191</v>
      </c>
      <c r="Q419" s="31">
        <v>1.3963788141176483</v>
      </c>
      <c r="R419" s="26" t="s">
        <v>280</v>
      </c>
      <c r="S419" s="26">
        <v>1</v>
      </c>
      <c r="T419" s="71" t="s">
        <v>626</v>
      </c>
    </row>
    <row r="420" spans="1:20" ht="12.75" customHeight="1">
      <c r="A420" s="1" t="s">
        <v>288</v>
      </c>
      <c r="B420" s="1">
        <v>77</v>
      </c>
      <c r="C420" s="1" t="s">
        <v>507</v>
      </c>
      <c r="D420" s="5">
        <v>43218</v>
      </c>
      <c r="E420" s="1">
        <f t="shared" si="45"/>
        <v>2018</v>
      </c>
      <c r="F420" s="1">
        <f t="shared" si="46"/>
        <v>4</v>
      </c>
      <c r="G420" s="4">
        <f t="shared" si="47"/>
        <v>28</v>
      </c>
      <c r="H420" s="8">
        <v>0.1388888888888889</v>
      </c>
      <c r="I420" s="11">
        <f t="shared" si="43"/>
        <v>128.75049999999999</v>
      </c>
      <c r="J420" s="11">
        <f t="shared" si="44"/>
        <v>31.751833333333334</v>
      </c>
      <c r="K420" s="9">
        <v>124.42700000000001</v>
      </c>
      <c r="L420" s="9">
        <v>125</v>
      </c>
      <c r="M420" s="9">
        <v>0</v>
      </c>
      <c r="N420" s="12">
        <v>16.661200000000001</v>
      </c>
      <c r="O420" s="11">
        <v>34.6053</v>
      </c>
      <c r="P420" s="31">
        <v>0.18452000000000002</v>
      </c>
      <c r="Q420" s="31">
        <v>1.1182904800000006</v>
      </c>
      <c r="R420" s="26" t="s">
        <v>280</v>
      </c>
      <c r="S420" s="26">
        <v>1</v>
      </c>
      <c r="T420" s="71" t="s">
        <v>626</v>
      </c>
    </row>
    <row r="421" spans="1:20" ht="12.75" customHeight="1">
      <c r="A421" s="1" t="s">
        <v>288</v>
      </c>
      <c r="B421" s="1">
        <v>77</v>
      </c>
      <c r="C421" s="1" t="s">
        <v>507</v>
      </c>
      <c r="D421" s="5">
        <v>43218</v>
      </c>
      <c r="E421" s="1">
        <f t="shared" si="45"/>
        <v>2018</v>
      </c>
      <c r="F421" s="1">
        <f t="shared" si="46"/>
        <v>4</v>
      </c>
      <c r="G421" s="4">
        <f t="shared" si="47"/>
        <v>28</v>
      </c>
      <c r="H421" s="8">
        <v>0.1388888888888889</v>
      </c>
      <c r="I421" s="11">
        <f t="shared" si="43"/>
        <v>128.75049999999999</v>
      </c>
      <c r="J421" s="11">
        <f t="shared" si="44"/>
        <v>31.751833333333334</v>
      </c>
      <c r="K421" s="9">
        <v>149.12799999999999</v>
      </c>
      <c r="L421" s="9">
        <v>150</v>
      </c>
      <c r="M421" s="9">
        <v>0</v>
      </c>
      <c r="N421" s="12">
        <v>15.886900000000001</v>
      </c>
      <c r="O421" s="11">
        <v>34.598599999999998</v>
      </c>
      <c r="P421" s="31">
        <v>0.2461594164705887</v>
      </c>
      <c r="Q421" s="31">
        <v>1.2358899658823521</v>
      </c>
      <c r="R421" s="26" t="s">
        <v>280</v>
      </c>
      <c r="S421" s="26">
        <v>1</v>
      </c>
      <c r="T421" s="71" t="s">
        <v>626</v>
      </c>
    </row>
    <row r="422" spans="1:20" ht="12.75" customHeight="1">
      <c r="A422" s="1" t="s">
        <v>288</v>
      </c>
      <c r="B422" s="1">
        <v>77</v>
      </c>
      <c r="C422" s="1" t="s">
        <v>507</v>
      </c>
      <c r="D422" s="5">
        <v>43218</v>
      </c>
      <c r="E422" s="1">
        <f t="shared" si="45"/>
        <v>2018</v>
      </c>
      <c r="F422" s="1">
        <f t="shared" si="46"/>
        <v>4</v>
      </c>
      <c r="G422" s="4">
        <f t="shared" si="47"/>
        <v>28</v>
      </c>
      <c r="H422" s="8">
        <v>0.1388888888888889</v>
      </c>
      <c r="I422" s="11">
        <f t="shared" si="43"/>
        <v>128.75049999999999</v>
      </c>
      <c r="J422" s="11">
        <f t="shared" si="44"/>
        <v>31.751833333333334</v>
      </c>
      <c r="K422" s="9">
        <v>199.35900000000001</v>
      </c>
      <c r="L422" s="9">
        <v>200</v>
      </c>
      <c r="M422" s="9">
        <v>0</v>
      </c>
      <c r="N422" s="12">
        <v>13.787699999999999</v>
      </c>
      <c r="O422" s="11">
        <v>34.516100000000002</v>
      </c>
      <c r="P422" s="31">
        <v>0.14027499294117662</v>
      </c>
      <c r="Q422" s="31">
        <v>0.60621215176470677</v>
      </c>
      <c r="R422" s="26" t="s">
        <v>280</v>
      </c>
      <c r="S422" s="26">
        <v>1</v>
      </c>
      <c r="T422" s="71" t="s">
        <v>626</v>
      </c>
    </row>
    <row r="423" spans="1:20" ht="12.75" customHeight="1">
      <c r="A423" s="1" t="s">
        <v>288</v>
      </c>
      <c r="B423" s="1">
        <v>77</v>
      </c>
      <c r="C423" s="1" t="s">
        <v>507</v>
      </c>
      <c r="D423" s="5">
        <v>43218</v>
      </c>
      <c r="E423" s="1">
        <f t="shared" si="45"/>
        <v>2018</v>
      </c>
      <c r="F423" s="1">
        <f t="shared" si="46"/>
        <v>4</v>
      </c>
      <c r="G423" s="4">
        <f t="shared" si="47"/>
        <v>28</v>
      </c>
      <c r="H423" s="8">
        <v>0.1388888888888889</v>
      </c>
      <c r="I423" s="11">
        <f t="shared" si="43"/>
        <v>128.75049999999999</v>
      </c>
      <c r="J423" s="11">
        <f t="shared" si="44"/>
        <v>31.751833333333334</v>
      </c>
      <c r="K423" s="9">
        <v>298.50299999999999</v>
      </c>
      <c r="L423" s="9">
        <v>300</v>
      </c>
      <c r="M423" s="9">
        <v>0</v>
      </c>
      <c r="N423" s="12">
        <v>10.964</v>
      </c>
      <c r="O423" s="11">
        <v>34.403300000000002</v>
      </c>
      <c r="P423" s="31">
        <v>6.4053138823529032E-2</v>
      </c>
      <c r="Q423" s="31">
        <v>-0.27926420470588198</v>
      </c>
      <c r="R423" s="26" t="s">
        <v>280</v>
      </c>
      <c r="S423" s="26">
        <v>1</v>
      </c>
      <c r="T423" s="71" t="s">
        <v>626</v>
      </c>
    </row>
    <row r="424" spans="1:20" ht="12.75" customHeight="1">
      <c r="A424" s="1" t="s">
        <v>288</v>
      </c>
      <c r="B424" s="1">
        <v>77</v>
      </c>
      <c r="C424" s="1" t="s">
        <v>507</v>
      </c>
      <c r="D424" s="5">
        <v>43218</v>
      </c>
      <c r="E424" s="1">
        <f t="shared" si="45"/>
        <v>2018</v>
      </c>
      <c r="F424" s="1">
        <f t="shared" si="46"/>
        <v>4</v>
      </c>
      <c r="G424" s="4">
        <f t="shared" si="47"/>
        <v>28</v>
      </c>
      <c r="H424" s="8">
        <v>0.1388888888888889</v>
      </c>
      <c r="I424" s="11">
        <f t="shared" si="43"/>
        <v>128.75049999999999</v>
      </c>
      <c r="J424" s="11">
        <f t="shared" si="44"/>
        <v>31.751833333333334</v>
      </c>
      <c r="K424" s="9">
        <v>496.91899999999998</v>
      </c>
      <c r="L424" s="9">
        <v>500</v>
      </c>
      <c r="M424" s="9">
        <v>0</v>
      </c>
      <c r="N424" s="12">
        <v>7.5964</v>
      </c>
      <c r="O424" s="11">
        <v>34.348199999999999</v>
      </c>
      <c r="P424" s="31">
        <v>-2.0890804705882005E-2</v>
      </c>
      <c r="Q424" s="31">
        <v>-0.81595637882352889</v>
      </c>
      <c r="R424" s="26" t="s">
        <v>280</v>
      </c>
      <c r="S424" s="26">
        <v>1</v>
      </c>
      <c r="T424" s="71" t="s">
        <v>626</v>
      </c>
    </row>
    <row r="425" spans="1:20" ht="12.75" customHeight="1">
      <c r="P425" s="31"/>
      <c r="Q425" s="31"/>
      <c r="R425" s="26"/>
      <c r="S425" s="26"/>
      <c r="T425" s="71"/>
    </row>
    <row r="426" spans="1:20" ht="12.75" customHeight="1">
      <c r="A426" s="1" t="s">
        <v>288</v>
      </c>
      <c r="B426" s="1">
        <v>74</v>
      </c>
      <c r="C426" s="1" t="s">
        <v>507</v>
      </c>
      <c r="D426" s="5">
        <v>43217</v>
      </c>
      <c r="E426" s="1">
        <f t="shared" si="40"/>
        <v>2018</v>
      </c>
      <c r="F426" s="1">
        <f t="shared" si="41"/>
        <v>4</v>
      </c>
      <c r="G426" s="4">
        <f t="shared" si="42"/>
        <v>27</v>
      </c>
      <c r="H426" s="8">
        <v>0.67291666666666661</v>
      </c>
      <c r="I426" s="11">
        <f t="shared" ref="I426:I433" si="48">127+14.7/60</f>
        <v>127.245</v>
      </c>
      <c r="J426" s="11">
        <f t="shared" ref="J426:J433" si="49">31+44.51/60</f>
        <v>31.741833333333332</v>
      </c>
      <c r="K426" s="9">
        <v>0</v>
      </c>
      <c r="L426" s="9">
        <v>0</v>
      </c>
      <c r="M426" s="27">
        <v>0</v>
      </c>
      <c r="N426" s="12">
        <v>18.5</v>
      </c>
      <c r="O426" s="11">
        <v>34.423077337816231</v>
      </c>
      <c r="P426" s="31">
        <v>0.29155665411764686</v>
      </c>
      <c r="Q426" s="31">
        <v>1.2402765764705901</v>
      </c>
      <c r="R426" s="26" t="s">
        <v>280</v>
      </c>
      <c r="S426" s="26">
        <v>1</v>
      </c>
      <c r="T426" s="71" t="s">
        <v>626</v>
      </c>
    </row>
    <row r="427" spans="1:20" ht="12.75" customHeight="1">
      <c r="A427" s="1" t="s">
        <v>288</v>
      </c>
      <c r="B427" s="1">
        <v>74</v>
      </c>
      <c r="C427" s="1" t="s">
        <v>507</v>
      </c>
      <c r="D427" s="5">
        <v>43217</v>
      </c>
      <c r="E427" s="1">
        <f t="shared" ref="E427:E433" si="50">YEAR(D427)</f>
        <v>2018</v>
      </c>
      <c r="F427" s="1">
        <f t="shared" ref="F427:F433" si="51">MONTH(D427)</f>
        <v>4</v>
      </c>
      <c r="G427" s="4">
        <f t="shared" ref="G427:G433" si="52">DAY(D427)</f>
        <v>27</v>
      </c>
      <c r="H427" s="8">
        <v>0.67291666666666661</v>
      </c>
      <c r="I427" s="11">
        <f t="shared" si="48"/>
        <v>127.245</v>
      </c>
      <c r="J427" s="11">
        <f t="shared" si="49"/>
        <v>31.741833333333332</v>
      </c>
      <c r="K427" s="9">
        <v>10.151999999999999</v>
      </c>
      <c r="L427" s="9">
        <v>10</v>
      </c>
      <c r="M427" s="9">
        <v>0</v>
      </c>
      <c r="N427" s="12">
        <v>18.779800000000002</v>
      </c>
      <c r="O427" s="11">
        <v>34.408499999999997</v>
      </c>
      <c r="P427" s="31">
        <v>0.16797583764705903</v>
      </c>
      <c r="Q427" s="31">
        <v>1.0524352705882336</v>
      </c>
      <c r="R427" s="26" t="s">
        <v>280</v>
      </c>
      <c r="S427" s="26">
        <v>1</v>
      </c>
      <c r="T427" s="71" t="s">
        <v>626</v>
      </c>
    </row>
    <row r="428" spans="1:20" ht="12.75" customHeight="1">
      <c r="A428" s="1" t="s">
        <v>288</v>
      </c>
      <c r="B428" s="1">
        <v>74</v>
      </c>
      <c r="C428" s="1" t="s">
        <v>507</v>
      </c>
      <c r="D428" s="5">
        <v>43217</v>
      </c>
      <c r="E428" s="1">
        <f t="shared" si="50"/>
        <v>2018</v>
      </c>
      <c r="F428" s="1">
        <f t="shared" si="51"/>
        <v>4</v>
      </c>
      <c r="G428" s="4">
        <f t="shared" si="52"/>
        <v>27</v>
      </c>
      <c r="H428" s="8">
        <v>0.67291666666666661</v>
      </c>
      <c r="I428" s="11">
        <f t="shared" si="48"/>
        <v>127.245</v>
      </c>
      <c r="J428" s="11">
        <f t="shared" si="49"/>
        <v>31.741833333333332</v>
      </c>
      <c r="K428" s="9">
        <v>20.119</v>
      </c>
      <c r="L428" s="9">
        <v>20</v>
      </c>
      <c r="M428" s="9">
        <v>0</v>
      </c>
      <c r="N428" s="12">
        <v>18.5899</v>
      </c>
      <c r="O428" s="11">
        <v>34.436900000000001</v>
      </c>
      <c r="P428" s="31">
        <v>0.15888233529411777</v>
      </c>
      <c r="Q428" s="31">
        <v>1.0002027411764693</v>
      </c>
      <c r="R428" s="26" t="s">
        <v>280</v>
      </c>
      <c r="S428" s="26">
        <v>1</v>
      </c>
      <c r="T428" s="71" t="s">
        <v>626</v>
      </c>
    </row>
    <row r="429" spans="1:20" ht="12.75" customHeight="1">
      <c r="A429" s="1" t="s">
        <v>288</v>
      </c>
      <c r="B429" s="1">
        <v>74</v>
      </c>
      <c r="C429" s="1" t="s">
        <v>507</v>
      </c>
      <c r="D429" s="5">
        <v>43217</v>
      </c>
      <c r="E429" s="1">
        <f t="shared" si="50"/>
        <v>2018</v>
      </c>
      <c r="F429" s="1">
        <f t="shared" si="51"/>
        <v>4</v>
      </c>
      <c r="G429" s="4">
        <f t="shared" si="52"/>
        <v>27</v>
      </c>
      <c r="H429" s="8">
        <v>0.67291666666666661</v>
      </c>
      <c r="I429" s="11">
        <f t="shared" si="48"/>
        <v>127.245</v>
      </c>
      <c r="J429" s="11">
        <f t="shared" si="49"/>
        <v>31.741833333333332</v>
      </c>
      <c r="K429" s="9">
        <v>29.709</v>
      </c>
      <c r="L429" s="9">
        <v>30</v>
      </c>
      <c r="M429" s="9">
        <v>0</v>
      </c>
      <c r="N429" s="12">
        <v>16.9588</v>
      </c>
      <c r="O429" s="11">
        <v>34.380800000000001</v>
      </c>
      <c r="P429" s="31">
        <v>0.18913824588235273</v>
      </c>
      <c r="Q429" s="31">
        <v>1.0117434235294134</v>
      </c>
      <c r="R429" s="26" t="s">
        <v>280</v>
      </c>
      <c r="S429" s="26">
        <v>1</v>
      </c>
      <c r="T429" s="71" t="s">
        <v>626</v>
      </c>
    </row>
    <row r="430" spans="1:20" ht="12.75" customHeight="1">
      <c r="A430" s="1" t="s">
        <v>288</v>
      </c>
      <c r="B430" s="1">
        <v>74</v>
      </c>
      <c r="C430" s="1" t="s">
        <v>507</v>
      </c>
      <c r="D430" s="5">
        <v>43217</v>
      </c>
      <c r="E430" s="1">
        <f t="shared" si="50"/>
        <v>2018</v>
      </c>
      <c r="F430" s="1">
        <f t="shared" si="51"/>
        <v>4</v>
      </c>
      <c r="G430" s="4">
        <f t="shared" si="52"/>
        <v>27</v>
      </c>
      <c r="H430" s="8">
        <v>0.67291666666666661</v>
      </c>
      <c r="I430" s="11">
        <f t="shared" si="48"/>
        <v>127.245</v>
      </c>
      <c r="J430" s="11">
        <f t="shared" si="49"/>
        <v>31.741833333333332</v>
      </c>
      <c r="K430" s="9">
        <v>50.343000000000004</v>
      </c>
      <c r="L430" s="9">
        <v>50</v>
      </c>
      <c r="M430" s="9">
        <v>0</v>
      </c>
      <c r="N430" s="12">
        <v>16.259399999999999</v>
      </c>
      <c r="O430" s="11">
        <v>34.591500000000003</v>
      </c>
      <c r="P430" s="31">
        <v>0.20970318352941208</v>
      </c>
      <c r="Q430" s="31">
        <v>1.2152256941176489</v>
      </c>
      <c r="R430" s="26" t="s">
        <v>280</v>
      </c>
      <c r="S430" s="26">
        <v>1</v>
      </c>
      <c r="T430" s="71" t="s">
        <v>626</v>
      </c>
    </row>
    <row r="431" spans="1:20" ht="12.75" customHeight="1">
      <c r="A431" s="1" t="s">
        <v>288</v>
      </c>
      <c r="B431" s="1">
        <v>74</v>
      </c>
      <c r="C431" s="1" t="s">
        <v>507</v>
      </c>
      <c r="D431" s="5">
        <v>43217</v>
      </c>
      <c r="E431" s="1">
        <f t="shared" si="50"/>
        <v>2018</v>
      </c>
      <c r="F431" s="1">
        <f t="shared" si="51"/>
        <v>4</v>
      </c>
      <c r="G431" s="4">
        <f t="shared" si="52"/>
        <v>27</v>
      </c>
      <c r="H431" s="8">
        <v>0.67291666666666661</v>
      </c>
      <c r="I431" s="11">
        <f t="shared" si="48"/>
        <v>127.245</v>
      </c>
      <c r="J431" s="11">
        <f t="shared" si="49"/>
        <v>31.741833333333332</v>
      </c>
      <c r="K431" s="9">
        <v>75.191999999999993</v>
      </c>
      <c r="L431" s="9">
        <v>75</v>
      </c>
      <c r="M431" s="9">
        <v>0</v>
      </c>
      <c r="N431" s="12">
        <v>15.2354</v>
      </c>
      <c r="O431" s="11">
        <v>34.563099999999999</v>
      </c>
      <c r="P431" s="31">
        <v>0.18699930117647034</v>
      </c>
      <c r="Q431" s="31">
        <v>1.0981833647058821</v>
      </c>
      <c r="R431" s="26" t="s">
        <v>280</v>
      </c>
      <c r="S431" s="26">
        <v>1</v>
      </c>
      <c r="T431" s="71" t="s">
        <v>626</v>
      </c>
    </row>
    <row r="432" spans="1:20" ht="12.75" customHeight="1">
      <c r="A432" s="1" t="s">
        <v>288</v>
      </c>
      <c r="B432" s="1">
        <v>74</v>
      </c>
      <c r="C432" s="1" t="s">
        <v>507</v>
      </c>
      <c r="D432" s="5">
        <v>43217</v>
      </c>
      <c r="E432" s="1">
        <f t="shared" si="50"/>
        <v>2018</v>
      </c>
      <c r="F432" s="1">
        <f t="shared" si="51"/>
        <v>4</v>
      </c>
      <c r="G432" s="4">
        <f t="shared" si="52"/>
        <v>27</v>
      </c>
      <c r="H432" s="8">
        <v>0.67291666666666661</v>
      </c>
      <c r="I432" s="11">
        <f t="shared" si="48"/>
        <v>127.245</v>
      </c>
      <c r="J432" s="11">
        <f t="shared" si="49"/>
        <v>31.741833333333332</v>
      </c>
      <c r="K432" s="9">
        <v>100.437</v>
      </c>
      <c r="L432" s="9">
        <v>100</v>
      </c>
      <c r="M432" s="9">
        <v>0</v>
      </c>
      <c r="N432" s="12">
        <v>14.6144</v>
      </c>
      <c r="O432" s="11">
        <v>34.544499999999999</v>
      </c>
      <c r="P432" s="31">
        <v>0.24819223882352959</v>
      </c>
      <c r="Q432" s="31">
        <v>1.1027328352941197</v>
      </c>
      <c r="R432" s="26" t="s">
        <v>280</v>
      </c>
      <c r="S432" s="26">
        <v>1</v>
      </c>
      <c r="T432" s="71" t="s">
        <v>626</v>
      </c>
    </row>
    <row r="433" spans="1:20" ht="12.75" customHeight="1">
      <c r="A433" s="1" t="s">
        <v>288</v>
      </c>
      <c r="B433" s="1">
        <v>74</v>
      </c>
      <c r="C433" s="1" t="s">
        <v>507</v>
      </c>
      <c r="D433" s="5">
        <v>43217</v>
      </c>
      <c r="E433" s="1">
        <f t="shared" si="50"/>
        <v>2018</v>
      </c>
      <c r="F433" s="1">
        <f t="shared" si="51"/>
        <v>4</v>
      </c>
      <c r="G433" s="4">
        <f t="shared" si="52"/>
        <v>27</v>
      </c>
      <c r="H433" s="8">
        <v>0.67291666666666661</v>
      </c>
      <c r="I433" s="11">
        <f t="shared" si="48"/>
        <v>127.245</v>
      </c>
      <c r="J433" s="11">
        <f t="shared" si="49"/>
        <v>31.741833333333332</v>
      </c>
      <c r="K433" s="9">
        <v>120.161</v>
      </c>
      <c r="L433" s="9">
        <v>120</v>
      </c>
      <c r="M433" s="9">
        <v>0</v>
      </c>
      <c r="N433" s="12">
        <v>14.1845</v>
      </c>
      <c r="O433" s="11">
        <v>34.536200000000001</v>
      </c>
      <c r="P433" s="31">
        <v>0.11924613647058835</v>
      </c>
      <c r="Q433" s="31">
        <v>0.76698190588235349</v>
      </c>
      <c r="R433" s="26" t="s">
        <v>280</v>
      </c>
      <c r="S433" s="26">
        <v>1</v>
      </c>
      <c r="T433" s="71" t="s">
        <v>626</v>
      </c>
    </row>
    <row r="434" spans="1:20" ht="12.75" customHeight="1">
      <c r="P434" s="31"/>
      <c r="Q434" s="31"/>
      <c r="R434" s="26"/>
      <c r="S434" s="26"/>
      <c r="T434" s="71"/>
    </row>
    <row r="435" spans="1:20" ht="12.75" customHeight="1">
      <c r="A435" s="1" t="s">
        <v>288</v>
      </c>
      <c r="B435" s="1">
        <v>63</v>
      </c>
      <c r="C435" s="1" t="s">
        <v>511</v>
      </c>
      <c r="D435" s="5">
        <v>43215</v>
      </c>
      <c r="E435" s="1">
        <f t="shared" ref="E435:E441" si="53">YEAR(D435)</f>
        <v>2018</v>
      </c>
      <c r="F435" s="1">
        <f t="shared" ref="F435:F441" si="54">MONTH(D435)</f>
        <v>4</v>
      </c>
      <c r="G435" s="4">
        <f t="shared" ref="G435:G441" si="55">DAY(D435)</f>
        <v>25</v>
      </c>
      <c r="H435" s="8">
        <v>0.59097222222222223</v>
      </c>
      <c r="I435" s="11">
        <f t="shared" ref="I435:I441" si="56">124+44.96/60</f>
        <v>124.74933333333334</v>
      </c>
      <c r="J435" s="11">
        <f t="shared" ref="J435:J441" si="57">27+44.99/60</f>
        <v>27.749833333333335</v>
      </c>
      <c r="K435" s="9">
        <v>0</v>
      </c>
      <c r="L435" s="9">
        <v>0</v>
      </c>
      <c r="M435" s="27">
        <v>0</v>
      </c>
      <c r="N435" s="12">
        <v>19.8</v>
      </c>
      <c r="O435" s="11">
        <v>33.97858849666693</v>
      </c>
      <c r="P435" s="31">
        <v>5.1528820000000142E-2</v>
      </c>
      <c r="Q435" s="31">
        <v>0.43640239999999864</v>
      </c>
      <c r="R435" s="26" t="s">
        <v>280</v>
      </c>
      <c r="S435" s="26">
        <v>1</v>
      </c>
      <c r="T435" s="71" t="s">
        <v>626</v>
      </c>
    </row>
    <row r="436" spans="1:20" ht="12.75" customHeight="1">
      <c r="A436" s="1" t="s">
        <v>288</v>
      </c>
      <c r="B436" s="1">
        <v>63</v>
      </c>
      <c r="C436" s="1" t="s">
        <v>511</v>
      </c>
      <c r="D436" s="5">
        <v>43215</v>
      </c>
      <c r="E436" s="1">
        <f t="shared" si="53"/>
        <v>2018</v>
      </c>
      <c r="F436" s="1">
        <f t="shared" si="54"/>
        <v>4</v>
      </c>
      <c r="G436" s="4">
        <f t="shared" si="55"/>
        <v>25</v>
      </c>
      <c r="H436" s="8">
        <v>0.59097222222222223</v>
      </c>
      <c r="I436" s="11">
        <f t="shared" si="56"/>
        <v>124.74933333333334</v>
      </c>
      <c r="J436" s="11">
        <f t="shared" si="57"/>
        <v>27.749833333333335</v>
      </c>
      <c r="K436" s="9">
        <v>10.007999999999999</v>
      </c>
      <c r="L436" s="9">
        <v>10</v>
      </c>
      <c r="M436" s="9">
        <v>0</v>
      </c>
      <c r="N436" s="12">
        <v>20.1007</v>
      </c>
      <c r="O436" s="11">
        <v>33.976199999999999</v>
      </c>
      <c r="P436" s="31">
        <v>4.0771576470588267E-2</v>
      </c>
      <c r="Q436" s="31">
        <v>0.39101502352941253</v>
      </c>
      <c r="R436" s="26" t="s">
        <v>280</v>
      </c>
      <c r="S436" s="26">
        <v>1</v>
      </c>
      <c r="T436" s="71" t="s">
        <v>626</v>
      </c>
    </row>
    <row r="437" spans="1:20" ht="12.75" customHeight="1">
      <c r="A437" s="1" t="s">
        <v>288</v>
      </c>
      <c r="B437" s="1">
        <v>63</v>
      </c>
      <c r="C437" s="1" t="s">
        <v>511</v>
      </c>
      <c r="D437" s="5">
        <v>43215</v>
      </c>
      <c r="E437" s="1">
        <f t="shared" si="53"/>
        <v>2018</v>
      </c>
      <c r="F437" s="1">
        <f t="shared" si="54"/>
        <v>4</v>
      </c>
      <c r="G437" s="4">
        <f t="shared" si="55"/>
        <v>25</v>
      </c>
      <c r="H437" s="8">
        <v>0.59097222222222223</v>
      </c>
      <c r="I437" s="11">
        <f t="shared" si="56"/>
        <v>124.74933333333334</v>
      </c>
      <c r="J437" s="11">
        <f t="shared" si="57"/>
        <v>27.749833333333335</v>
      </c>
      <c r="K437" s="9">
        <v>19.670000000000002</v>
      </c>
      <c r="L437" s="9">
        <v>20</v>
      </c>
      <c r="M437" s="9">
        <v>0</v>
      </c>
      <c r="N437" s="12">
        <v>20.104900000000001</v>
      </c>
      <c r="O437" s="11">
        <v>33.981499999999997</v>
      </c>
      <c r="P437" s="31">
        <v>0.20892647176470569</v>
      </c>
      <c r="Q437" s="31">
        <v>0.70833404705882153</v>
      </c>
      <c r="R437" s="26" t="s">
        <v>280</v>
      </c>
      <c r="S437" s="26">
        <v>1</v>
      </c>
      <c r="T437" s="71" t="s">
        <v>626</v>
      </c>
    </row>
    <row r="438" spans="1:20" ht="12.75" customHeight="1">
      <c r="A438" s="1" t="s">
        <v>288</v>
      </c>
      <c r="B438" s="1">
        <v>63</v>
      </c>
      <c r="C438" s="1" t="s">
        <v>511</v>
      </c>
      <c r="D438" s="5">
        <v>43215</v>
      </c>
      <c r="E438" s="1">
        <f t="shared" si="53"/>
        <v>2018</v>
      </c>
      <c r="F438" s="1">
        <f t="shared" si="54"/>
        <v>4</v>
      </c>
      <c r="G438" s="4">
        <f t="shared" si="55"/>
        <v>25</v>
      </c>
      <c r="H438" s="8">
        <v>0.59097222222222223</v>
      </c>
      <c r="I438" s="11">
        <f t="shared" si="56"/>
        <v>124.74933333333334</v>
      </c>
      <c r="J438" s="11">
        <f t="shared" si="57"/>
        <v>27.749833333333335</v>
      </c>
      <c r="K438" s="9">
        <v>29.885000000000002</v>
      </c>
      <c r="L438" s="9">
        <v>30</v>
      </c>
      <c r="M438" s="9">
        <v>0</v>
      </c>
      <c r="N438" s="12">
        <v>20.108899999999998</v>
      </c>
      <c r="O438" s="11">
        <v>33.9925</v>
      </c>
      <c r="P438" s="31">
        <v>0.22679980441176473</v>
      </c>
      <c r="Q438" s="31">
        <v>0.72306511764705839</v>
      </c>
      <c r="R438" s="26" t="s">
        <v>280</v>
      </c>
      <c r="S438" s="26">
        <v>1</v>
      </c>
      <c r="T438" s="71" t="s">
        <v>626</v>
      </c>
    </row>
    <row r="439" spans="1:20" ht="12.75" customHeight="1">
      <c r="A439" s="1" t="s">
        <v>288</v>
      </c>
      <c r="B439" s="1">
        <v>63</v>
      </c>
      <c r="C439" s="1" t="s">
        <v>511</v>
      </c>
      <c r="D439" s="5">
        <v>43215</v>
      </c>
      <c r="E439" s="1">
        <f t="shared" si="53"/>
        <v>2018</v>
      </c>
      <c r="F439" s="1">
        <f t="shared" si="54"/>
        <v>4</v>
      </c>
      <c r="G439" s="4">
        <f t="shared" si="55"/>
        <v>25</v>
      </c>
      <c r="H439" s="8">
        <v>0.59097222222222223</v>
      </c>
      <c r="I439" s="11">
        <f t="shared" si="56"/>
        <v>124.74933333333334</v>
      </c>
      <c r="J439" s="11">
        <f t="shared" si="57"/>
        <v>27.749833333333335</v>
      </c>
      <c r="K439" s="9">
        <v>50.104999999999997</v>
      </c>
      <c r="L439" s="9">
        <v>50</v>
      </c>
      <c r="M439" s="9">
        <v>0</v>
      </c>
      <c r="N439" s="12">
        <v>19.893899999999999</v>
      </c>
      <c r="O439" s="11">
        <v>34.099400000000003</v>
      </c>
      <c r="P439" s="31">
        <v>0.14289999705882384</v>
      </c>
      <c r="Q439" s="31">
        <v>0.75576083823529494</v>
      </c>
      <c r="R439" s="26" t="s">
        <v>280</v>
      </c>
      <c r="S439" s="26">
        <v>1</v>
      </c>
      <c r="T439" s="71" t="s">
        <v>626</v>
      </c>
    </row>
    <row r="440" spans="1:20" ht="12.75" customHeight="1">
      <c r="A440" s="1" t="s">
        <v>288</v>
      </c>
      <c r="B440" s="1">
        <v>63</v>
      </c>
      <c r="C440" s="1" t="s">
        <v>511</v>
      </c>
      <c r="D440" s="5">
        <v>43215</v>
      </c>
      <c r="E440" s="1">
        <f t="shared" si="53"/>
        <v>2018</v>
      </c>
      <c r="F440" s="1">
        <f t="shared" si="54"/>
        <v>4</v>
      </c>
      <c r="G440" s="4">
        <f t="shared" si="55"/>
        <v>25</v>
      </c>
      <c r="H440" s="8">
        <v>0.59097222222222223</v>
      </c>
      <c r="I440" s="11">
        <f t="shared" si="56"/>
        <v>124.74933333333334</v>
      </c>
      <c r="J440" s="11">
        <f t="shared" si="57"/>
        <v>27.749833333333335</v>
      </c>
      <c r="K440" s="9">
        <v>75.091999999999999</v>
      </c>
      <c r="L440" s="9">
        <v>75</v>
      </c>
      <c r="M440" s="9">
        <v>0</v>
      </c>
      <c r="N440" s="12">
        <v>18.681699999999999</v>
      </c>
      <c r="O440" s="11">
        <v>34.424700000000001</v>
      </c>
      <c r="P440" s="31">
        <v>0.27128148970588239</v>
      </c>
      <c r="Q440" s="31">
        <v>1.0295353088235295</v>
      </c>
      <c r="R440" s="26" t="s">
        <v>280</v>
      </c>
      <c r="S440" s="26">
        <v>1</v>
      </c>
      <c r="T440" s="71" t="s">
        <v>626</v>
      </c>
    </row>
    <row r="441" spans="1:20" ht="12.75" customHeight="1">
      <c r="A441" s="1" t="s">
        <v>288</v>
      </c>
      <c r="B441" s="1">
        <v>63</v>
      </c>
      <c r="C441" s="1" t="s">
        <v>511</v>
      </c>
      <c r="D441" s="5">
        <v>43215</v>
      </c>
      <c r="E441" s="1">
        <f t="shared" si="53"/>
        <v>2018</v>
      </c>
      <c r="F441" s="1">
        <f t="shared" si="54"/>
        <v>4</v>
      </c>
      <c r="G441" s="4">
        <f t="shared" si="55"/>
        <v>25</v>
      </c>
      <c r="H441" s="8">
        <v>0.59097222222222223</v>
      </c>
      <c r="I441" s="11">
        <f t="shared" si="56"/>
        <v>124.74933333333334</v>
      </c>
      <c r="J441" s="11">
        <f t="shared" si="57"/>
        <v>27.749833333333335</v>
      </c>
      <c r="K441" s="9">
        <v>90.335999999999999</v>
      </c>
      <c r="L441" s="9">
        <v>90</v>
      </c>
      <c r="M441" s="9">
        <v>0</v>
      </c>
      <c r="N441" s="12">
        <v>18.703499999999998</v>
      </c>
      <c r="O441" s="11">
        <v>34.482300000000002</v>
      </c>
      <c r="P441" s="31">
        <v>0.16137976235294116</v>
      </c>
      <c r="Q441" s="31">
        <v>1.0862165294117627</v>
      </c>
      <c r="R441" s="26" t="s">
        <v>280</v>
      </c>
      <c r="S441" s="26">
        <v>1</v>
      </c>
      <c r="T441" s="71" t="s">
        <v>626</v>
      </c>
    </row>
    <row r="442" spans="1:20" ht="12.75" customHeight="1">
      <c r="P442" s="31"/>
      <c r="Q442" s="31"/>
      <c r="R442" s="26"/>
      <c r="S442" s="26"/>
      <c r="T442" s="71"/>
    </row>
    <row r="443" spans="1:20" ht="12.75" customHeight="1">
      <c r="A443" s="1" t="s">
        <v>288</v>
      </c>
      <c r="B443" s="1">
        <v>49</v>
      </c>
      <c r="C443" s="1" t="s">
        <v>511</v>
      </c>
      <c r="D443" s="5">
        <v>43212</v>
      </c>
      <c r="E443" s="1">
        <f t="shared" ref="E443:E454" si="58">YEAR(D443)</f>
        <v>2018</v>
      </c>
      <c r="F443" s="1">
        <f t="shared" ref="F443:F454" si="59">MONTH(D443)</f>
        <v>4</v>
      </c>
      <c r="G443" s="4">
        <f t="shared" ref="G443:G454" si="60">DAY(D443)</f>
        <v>22</v>
      </c>
      <c r="H443" s="8">
        <v>0.9375</v>
      </c>
      <c r="I443" s="11">
        <f t="shared" ref="I443:I454" si="61">126+15.23/60</f>
        <v>126.25383333333333</v>
      </c>
      <c r="J443" s="11">
        <f t="shared" ref="J443:J454" si="62">27+15.43/60</f>
        <v>27.257166666666667</v>
      </c>
      <c r="K443" s="9">
        <v>0</v>
      </c>
      <c r="L443" s="9">
        <v>0</v>
      </c>
      <c r="M443" s="27">
        <v>0</v>
      </c>
      <c r="N443" s="12">
        <v>25.3</v>
      </c>
      <c r="O443" s="11">
        <v>34.292081199029667</v>
      </c>
      <c r="P443" s="31">
        <v>0.19926317176470576</v>
      </c>
      <c r="Q443" s="31">
        <v>1.0638367882352942</v>
      </c>
      <c r="R443" s="26" t="s">
        <v>280</v>
      </c>
      <c r="S443" s="26">
        <v>1</v>
      </c>
      <c r="T443" s="71" t="s">
        <v>626</v>
      </c>
    </row>
    <row r="444" spans="1:20" ht="12.75" customHeight="1">
      <c r="A444" s="1" t="s">
        <v>288</v>
      </c>
      <c r="B444" s="1">
        <v>49</v>
      </c>
      <c r="C444" s="1" t="s">
        <v>511</v>
      </c>
      <c r="D444" s="5">
        <v>43212</v>
      </c>
      <c r="E444" s="1">
        <f t="shared" si="58"/>
        <v>2018</v>
      </c>
      <c r="F444" s="1">
        <f t="shared" si="59"/>
        <v>4</v>
      </c>
      <c r="G444" s="4">
        <f t="shared" si="60"/>
        <v>22</v>
      </c>
      <c r="H444" s="8">
        <v>0.9375</v>
      </c>
      <c r="I444" s="11">
        <f t="shared" si="61"/>
        <v>126.25383333333333</v>
      </c>
      <c r="J444" s="11">
        <f t="shared" si="62"/>
        <v>27.257166666666667</v>
      </c>
      <c r="K444" s="9">
        <v>9.923</v>
      </c>
      <c r="L444" s="9">
        <v>10</v>
      </c>
      <c r="M444" s="9">
        <v>0</v>
      </c>
      <c r="N444" s="12">
        <v>25.296500000000002</v>
      </c>
      <c r="O444" s="11">
        <v>34.2971</v>
      </c>
      <c r="P444" s="31">
        <v>0.17325558588235301</v>
      </c>
      <c r="Q444" s="31">
        <v>0.96714681411764758</v>
      </c>
      <c r="R444" s="26" t="s">
        <v>280</v>
      </c>
      <c r="S444" s="26">
        <v>1</v>
      </c>
      <c r="T444" s="71" t="s">
        <v>626</v>
      </c>
    </row>
    <row r="445" spans="1:20" ht="12.75" customHeight="1">
      <c r="A445" s="1" t="s">
        <v>288</v>
      </c>
      <c r="B445" s="1">
        <v>49</v>
      </c>
      <c r="C445" s="1" t="s">
        <v>511</v>
      </c>
      <c r="D445" s="5">
        <v>43212</v>
      </c>
      <c r="E445" s="1">
        <f t="shared" si="58"/>
        <v>2018</v>
      </c>
      <c r="F445" s="1">
        <f t="shared" si="59"/>
        <v>4</v>
      </c>
      <c r="G445" s="4">
        <f t="shared" si="60"/>
        <v>22</v>
      </c>
      <c r="H445" s="8">
        <v>0.9375</v>
      </c>
      <c r="I445" s="11">
        <f t="shared" si="61"/>
        <v>126.25383333333333</v>
      </c>
      <c r="J445" s="11">
        <f t="shared" si="62"/>
        <v>27.257166666666667</v>
      </c>
      <c r="K445" s="9">
        <v>19.152999999999999</v>
      </c>
      <c r="L445" s="9">
        <v>20</v>
      </c>
      <c r="M445" s="9">
        <v>0</v>
      </c>
      <c r="N445" s="12">
        <v>25.2925</v>
      </c>
      <c r="O445" s="11">
        <v>34.297499999999999</v>
      </c>
      <c r="P445" s="31">
        <v>0.12381839058823552</v>
      </c>
      <c r="Q445" s="31">
        <v>0.79838116941176551</v>
      </c>
      <c r="R445" s="26" t="s">
        <v>280</v>
      </c>
      <c r="S445" s="26">
        <v>1</v>
      </c>
      <c r="T445" s="71" t="s">
        <v>626</v>
      </c>
    </row>
    <row r="446" spans="1:20" ht="12.75" customHeight="1">
      <c r="A446" s="1" t="s">
        <v>288</v>
      </c>
      <c r="B446" s="1">
        <v>49</v>
      </c>
      <c r="C446" s="1" t="s">
        <v>511</v>
      </c>
      <c r="D446" s="5">
        <v>43212</v>
      </c>
      <c r="E446" s="1">
        <f t="shared" si="58"/>
        <v>2018</v>
      </c>
      <c r="F446" s="1">
        <f t="shared" si="59"/>
        <v>4</v>
      </c>
      <c r="G446" s="4">
        <f t="shared" si="60"/>
        <v>22</v>
      </c>
      <c r="H446" s="8">
        <v>0.9375</v>
      </c>
      <c r="I446" s="11">
        <f t="shared" si="61"/>
        <v>126.25383333333333</v>
      </c>
      <c r="J446" s="11">
        <f t="shared" si="62"/>
        <v>27.257166666666667</v>
      </c>
      <c r="K446" s="9">
        <v>29.707000000000001</v>
      </c>
      <c r="L446" s="9">
        <v>30</v>
      </c>
      <c r="M446" s="9">
        <v>0</v>
      </c>
      <c r="N446" s="12">
        <v>25.256900000000002</v>
      </c>
      <c r="O446" s="11">
        <v>34.296700000000001</v>
      </c>
      <c r="P446" s="31">
        <v>0.15571335529411767</v>
      </c>
      <c r="Q446" s="31">
        <v>1.0207646447058814</v>
      </c>
      <c r="R446" s="26" t="s">
        <v>280</v>
      </c>
      <c r="S446" s="26">
        <v>1</v>
      </c>
      <c r="T446" s="71" t="s">
        <v>626</v>
      </c>
    </row>
    <row r="447" spans="1:20" ht="12.75" customHeight="1">
      <c r="A447" s="1" t="s">
        <v>288</v>
      </c>
      <c r="B447" s="1">
        <v>49</v>
      </c>
      <c r="C447" s="1" t="s">
        <v>511</v>
      </c>
      <c r="D447" s="5">
        <v>43212</v>
      </c>
      <c r="E447" s="1">
        <f t="shared" si="58"/>
        <v>2018</v>
      </c>
      <c r="F447" s="1">
        <f t="shared" si="59"/>
        <v>4</v>
      </c>
      <c r="G447" s="4">
        <f t="shared" si="60"/>
        <v>22</v>
      </c>
      <c r="H447" s="8">
        <v>0.9375</v>
      </c>
      <c r="I447" s="11">
        <f t="shared" si="61"/>
        <v>126.25383333333333</v>
      </c>
      <c r="J447" s="11">
        <f t="shared" si="62"/>
        <v>27.257166666666667</v>
      </c>
      <c r="K447" s="9">
        <v>50.476999999999997</v>
      </c>
      <c r="L447" s="9">
        <v>50</v>
      </c>
      <c r="M447" s="9">
        <v>0</v>
      </c>
      <c r="N447" s="12">
        <v>24.288</v>
      </c>
      <c r="O447" s="11">
        <v>34.310200000000002</v>
      </c>
      <c r="P447" s="31">
        <v>0.13236767999999977</v>
      </c>
      <c r="Q447" s="31">
        <v>1.0289193600000015</v>
      </c>
      <c r="R447" s="26" t="s">
        <v>280</v>
      </c>
      <c r="S447" s="26">
        <v>1</v>
      </c>
      <c r="T447" s="71" t="s">
        <v>626</v>
      </c>
    </row>
    <row r="448" spans="1:20" ht="12.75" customHeight="1">
      <c r="A448" s="1" t="s">
        <v>288</v>
      </c>
      <c r="B448" s="1">
        <v>49</v>
      </c>
      <c r="C448" s="1" t="s">
        <v>511</v>
      </c>
      <c r="D448" s="5">
        <v>43212</v>
      </c>
      <c r="E448" s="1">
        <f t="shared" si="58"/>
        <v>2018</v>
      </c>
      <c r="F448" s="1">
        <f t="shared" si="59"/>
        <v>4</v>
      </c>
      <c r="G448" s="4">
        <f t="shared" si="60"/>
        <v>22</v>
      </c>
      <c r="H448" s="8">
        <v>0.9375</v>
      </c>
      <c r="I448" s="11">
        <f t="shared" si="61"/>
        <v>126.25383333333333</v>
      </c>
      <c r="J448" s="11">
        <f t="shared" si="62"/>
        <v>27.257166666666667</v>
      </c>
      <c r="K448" s="9">
        <v>75.289000000000001</v>
      </c>
      <c r="L448" s="9">
        <v>75</v>
      </c>
      <c r="M448" s="9">
        <v>0</v>
      </c>
      <c r="N448" s="12">
        <v>23.590399999999999</v>
      </c>
      <c r="O448" s="11">
        <v>34.711599999999997</v>
      </c>
      <c r="P448" s="31">
        <v>0.26903640470588286</v>
      </c>
      <c r="Q448" s="31">
        <v>1.7763694752941177</v>
      </c>
      <c r="R448" s="26" t="s">
        <v>280</v>
      </c>
      <c r="S448" s="26">
        <v>1</v>
      </c>
      <c r="T448" s="71" t="s">
        <v>626</v>
      </c>
    </row>
    <row r="449" spans="1:20" ht="12.75" customHeight="1">
      <c r="A449" s="1" t="s">
        <v>288</v>
      </c>
      <c r="B449" s="1">
        <v>49</v>
      </c>
      <c r="C449" s="1" t="s">
        <v>511</v>
      </c>
      <c r="D449" s="5">
        <v>43212</v>
      </c>
      <c r="E449" s="1">
        <f t="shared" si="58"/>
        <v>2018</v>
      </c>
      <c r="F449" s="1">
        <f t="shared" si="59"/>
        <v>4</v>
      </c>
      <c r="G449" s="4">
        <f t="shared" si="60"/>
        <v>22</v>
      </c>
      <c r="H449" s="8">
        <v>0.9375</v>
      </c>
      <c r="I449" s="11">
        <f t="shared" si="61"/>
        <v>126.25383333333333</v>
      </c>
      <c r="J449" s="11">
        <f t="shared" si="62"/>
        <v>27.257166666666667</v>
      </c>
      <c r="K449" s="9">
        <v>100.996</v>
      </c>
      <c r="L449" s="9">
        <v>100</v>
      </c>
      <c r="M449" s="9">
        <v>0</v>
      </c>
      <c r="N449" s="12">
        <v>21.297699999999999</v>
      </c>
      <c r="O449" s="11">
        <v>34.944800000000001</v>
      </c>
      <c r="P449" s="31">
        <v>0.32478064941176532</v>
      </c>
      <c r="Q449" s="31">
        <v>2.1921675505882359</v>
      </c>
      <c r="R449" s="26" t="s">
        <v>280</v>
      </c>
      <c r="S449" s="26">
        <v>1</v>
      </c>
      <c r="T449" s="71" t="s">
        <v>626</v>
      </c>
    </row>
    <row r="450" spans="1:20" ht="12.75" customHeight="1">
      <c r="A450" s="1" t="s">
        <v>288</v>
      </c>
      <c r="B450" s="1">
        <v>49</v>
      </c>
      <c r="C450" s="1" t="s">
        <v>511</v>
      </c>
      <c r="D450" s="5">
        <v>43212</v>
      </c>
      <c r="E450" s="1">
        <f t="shared" si="58"/>
        <v>2018</v>
      </c>
      <c r="F450" s="1">
        <f t="shared" si="59"/>
        <v>4</v>
      </c>
      <c r="G450" s="4">
        <f t="shared" si="60"/>
        <v>22</v>
      </c>
      <c r="H450" s="8">
        <v>0.9375</v>
      </c>
      <c r="I450" s="11">
        <f t="shared" si="61"/>
        <v>126.25383333333333</v>
      </c>
      <c r="J450" s="11">
        <f t="shared" si="62"/>
        <v>27.257166666666667</v>
      </c>
      <c r="K450" s="9">
        <v>123.42100000000001</v>
      </c>
      <c r="L450" s="9">
        <v>125</v>
      </c>
      <c r="M450" s="9">
        <v>0</v>
      </c>
      <c r="N450" s="12">
        <v>20.0474</v>
      </c>
      <c r="O450" s="11">
        <v>34.765900000000002</v>
      </c>
      <c r="P450" s="31">
        <v>0.32455282823529386</v>
      </c>
      <c r="Q450" s="31">
        <v>1.8039869317647064</v>
      </c>
      <c r="R450" s="26" t="s">
        <v>280</v>
      </c>
      <c r="S450" s="26">
        <v>1</v>
      </c>
      <c r="T450" s="71" t="s">
        <v>626</v>
      </c>
    </row>
    <row r="451" spans="1:20" ht="12.75" customHeight="1">
      <c r="A451" s="1" t="s">
        <v>288</v>
      </c>
      <c r="B451" s="1">
        <v>49</v>
      </c>
      <c r="C451" s="1" t="s">
        <v>511</v>
      </c>
      <c r="D451" s="5">
        <v>43212</v>
      </c>
      <c r="E451" s="1">
        <f t="shared" si="58"/>
        <v>2018</v>
      </c>
      <c r="F451" s="1">
        <f t="shared" si="59"/>
        <v>4</v>
      </c>
      <c r="G451" s="4">
        <f t="shared" si="60"/>
        <v>22</v>
      </c>
      <c r="H451" s="8">
        <v>0.9375</v>
      </c>
      <c r="I451" s="11">
        <f t="shared" si="61"/>
        <v>126.25383333333333</v>
      </c>
      <c r="J451" s="11">
        <f t="shared" si="62"/>
        <v>27.257166666666667</v>
      </c>
      <c r="K451" s="9">
        <v>150.226</v>
      </c>
      <c r="L451" s="9">
        <v>150</v>
      </c>
      <c r="M451" s="9">
        <v>0</v>
      </c>
      <c r="N451" s="12">
        <v>18.811399999999999</v>
      </c>
      <c r="O451" s="11">
        <v>34.691299999999998</v>
      </c>
      <c r="P451" s="31">
        <v>0.25167403294117596</v>
      </c>
      <c r="Q451" s="31">
        <v>1.3499102070588229</v>
      </c>
      <c r="R451" s="26" t="s">
        <v>280</v>
      </c>
      <c r="S451" s="26">
        <v>1</v>
      </c>
      <c r="T451" s="71" t="s">
        <v>626</v>
      </c>
    </row>
    <row r="452" spans="1:20" ht="12.75" customHeight="1">
      <c r="A452" s="1" t="s">
        <v>288</v>
      </c>
      <c r="B452" s="1">
        <v>49</v>
      </c>
      <c r="C452" s="1" t="s">
        <v>511</v>
      </c>
      <c r="D452" s="5">
        <v>43212</v>
      </c>
      <c r="E452" s="1">
        <f t="shared" si="58"/>
        <v>2018</v>
      </c>
      <c r="F452" s="1">
        <f t="shared" si="59"/>
        <v>4</v>
      </c>
      <c r="G452" s="4">
        <f t="shared" si="60"/>
        <v>22</v>
      </c>
      <c r="H452" s="8">
        <v>0.9375</v>
      </c>
      <c r="I452" s="11">
        <f t="shared" si="61"/>
        <v>126.25383333333333</v>
      </c>
      <c r="J452" s="11">
        <f t="shared" si="62"/>
        <v>27.257166666666667</v>
      </c>
      <c r="K452" s="9">
        <v>202.43100000000001</v>
      </c>
      <c r="L452" s="9">
        <v>200</v>
      </c>
      <c r="M452" s="9">
        <v>0</v>
      </c>
      <c r="N452" s="12">
        <v>17.605599999999999</v>
      </c>
      <c r="O452" s="11">
        <v>34.691099999999999</v>
      </c>
      <c r="P452" s="31">
        <v>0.27398851764705823</v>
      </c>
      <c r="Q452" s="31">
        <v>1.5192764823529412</v>
      </c>
      <c r="R452" s="26" t="s">
        <v>280</v>
      </c>
      <c r="S452" s="26">
        <v>1</v>
      </c>
      <c r="T452" s="71" t="s">
        <v>626</v>
      </c>
    </row>
    <row r="453" spans="1:20" ht="12.75" customHeight="1">
      <c r="A453" s="1" t="s">
        <v>288</v>
      </c>
      <c r="B453" s="1">
        <v>49</v>
      </c>
      <c r="C453" s="1" t="s">
        <v>511</v>
      </c>
      <c r="D453" s="5">
        <v>43212</v>
      </c>
      <c r="E453" s="1">
        <f t="shared" si="58"/>
        <v>2018</v>
      </c>
      <c r="F453" s="1">
        <f t="shared" si="59"/>
        <v>4</v>
      </c>
      <c r="G453" s="4">
        <f t="shared" si="60"/>
        <v>22</v>
      </c>
      <c r="H453" s="8">
        <v>0.9375</v>
      </c>
      <c r="I453" s="11">
        <f t="shared" si="61"/>
        <v>126.25383333333333</v>
      </c>
      <c r="J453" s="11">
        <f t="shared" si="62"/>
        <v>27.257166666666667</v>
      </c>
      <c r="K453" s="9">
        <v>299.149</v>
      </c>
      <c r="L453" s="9">
        <v>300</v>
      </c>
      <c r="M453" s="9">
        <v>0</v>
      </c>
      <c r="N453" s="12">
        <v>11.543699999999999</v>
      </c>
      <c r="O453" s="11">
        <v>34.395000000000003</v>
      </c>
      <c r="P453" s="31">
        <v>6.942908235294154E-2</v>
      </c>
      <c r="Q453" s="31">
        <v>-7.8597242352941521E-2</v>
      </c>
      <c r="R453" s="26" t="s">
        <v>280</v>
      </c>
      <c r="S453" s="26">
        <v>1</v>
      </c>
      <c r="T453" s="71" t="s">
        <v>626</v>
      </c>
    </row>
    <row r="454" spans="1:20" ht="12.75" customHeight="1">
      <c r="A454" s="1" t="s">
        <v>288</v>
      </c>
      <c r="B454" s="1">
        <v>49</v>
      </c>
      <c r="C454" s="1" t="s">
        <v>511</v>
      </c>
      <c r="D454" s="5">
        <v>43212</v>
      </c>
      <c r="E454" s="1">
        <f t="shared" si="58"/>
        <v>2018</v>
      </c>
      <c r="F454" s="1">
        <f t="shared" si="59"/>
        <v>4</v>
      </c>
      <c r="G454" s="4">
        <f t="shared" si="60"/>
        <v>22</v>
      </c>
      <c r="H454" s="8">
        <v>0.9375</v>
      </c>
      <c r="I454" s="11">
        <f t="shared" si="61"/>
        <v>126.25383333333333</v>
      </c>
      <c r="J454" s="11">
        <f t="shared" si="62"/>
        <v>27.257166666666667</v>
      </c>
      <c r="K454" s="9">
        <v>501.01499999999999</v>
      </c>
      <c r="L454" s="9">
        <v>500</v>
      </c>
      <c r="M454" s="9">
        <v>0</v>
      </c>
      <c r="N454" s="12">
        <v>7.4931999999999999</v>
      </c>
      <c r="O454" s="11">
        <v>34.3249</v>
      </c>
      <c r="P454" s="31">
        <v>-1.3208552941176066E-2</v>
      </c>
      <c r="Q454" s="31">
        <v>-0.68544204705882272</v>
      </c>
      <c r="R454" s="26" t="s">
        <v>280</v>
      </c>
      <c r="S454" s="26">
        <v>1</v>
      </c>
      <c r="T454" s="71" t="s">
        <v>626</v>
      </c>
    </row>
    <row r="455" spans="1:20" ht="12.75" customHeight="1">
      <c r="P455" s="31"/>
      <c r="Q455" s="31"/>
      <c r="R455" s="26"/>
      <c r="S455" s="26"/>
      <c r="T455" s="71"/>
    </row>
    <row r="456" spans="1:20" ht="12.75" customHeight="1">
      <c r="A456" s="1" t="s">
        <v>285</v>
      </c>
      <c r="B456" s="1" t="s">
        <v>289</v>
      </c>
      <c r="C456" s="1" t="s">
        <v>511</v>
      </c>
      <c r="D456" s="5">
        <v>43163</v>
      </c>
      <c r="E456" s="1">
        <f t="shared" ref="E456:E468" si="63">YEAR(D456)</f>
        <v>2018</v>
      </c>
      <c r="F456" s="1">
        <f t="shared" ref="F456:F468" si="64">MONTH(D456)</f>
        <v>3</v>
      </c>
      <c r="G456" s="4">
        <f t="shared" ref="G456:G468" si="65">DAY(D456)</f>
        <v>4</v>
      </c>
      <c r="H456" s="8">
        <v>0.58472222222222225</v>
      </c>
      <c r="I456" s="11">
        <f t="shared" ref="I456:I468" si="66">126+15.11/60</f>
        <v>126.25183333333334</v>
      </c>
      <c r="J456" s="11">
        <f t="shared" ref="J456:J468" si="67">27+15.13/60</f>
        <v>27.252166666666668</v>
      </c>
      <c r="K456" s="9">
        <v>0</v>
      </c>
      <c r="L456" s="9">
        <v>0</v>
      </c>
      <c r="M456" s="27">
        <v>0</v>
      </c>
      <c r="N456" s="12">
        <v>24</v>
      </c>
      <c r="O456" s="11">
        <v>34.727415113292814</v>
      </c>
      <c r="P456" s="31">
        <v>0.19515091999999967</v>
      </c>
      <c r="Q456" s="31">
        <v>1.1769639341176479</v>
      </c>
      <c r="R456" s="26" t="s">
        <v>280</v>
      </c>
      <c r="S456" s="26">
        <v>1</v>
      </c>
      <c r="T456" s="71" t="s">
        <v>626</v>
      </c>
    </row>
    <row r="457" spans="1:20" ht="12.75" customHeight="1">
      <c r="A457" s="1" t="s">
        <v>285</v>
      </c>
      <c r="B457" s="1" t="s">
        <v>289</v>
      </c>
      <c r="C457" s="1" t="s">
        <v>511</v>
      </c>
      <c r="D457" s="5">
        <v>43163</v>
      </c>
      <c r="E457" s="1">
        <f t="shared" si="63"/>
        <v>2018</v>
      </c>
      <c r="F457" s="1">
        <f t="shared" si="64"/>
        <v>3</v>
      </c>
      <c r="G457" s="4">
        <f t="shared" si="65"/>
        <v>4</v>
      </c>
      <c r="H457" s="8">
        <v>0.58472222222222225</v>
      </c>
      <c r="I457" s="11">
        <f t="shared" si="66"/>
        <v>126.25183333333334</v>
      </c>
      <c r="J457" s="11">
        <f t="shared" si="67"/>
        <v>27.252166666666668</v>
      </c>
      <c r="K457" s="9">
        <v>9.8049999999999997</v>
      </c>
      <c r="L457" s="9">
        <v>10</v>
      </c>
      <c r="M457" s="9">
        <v>0</v>
      </c>
      <c r="N457" s="12">
        <v>23.8475</v>
      </c>
      <c r="O457" s="11">
        <v>34.70914314153729</v>
      </c>
      <c r="P457" s="31">
        <v>0.20416875999999995</v>
      </c>
      <c r="Q457" s="31">
        <v>1.3038135176470593</v>
      </c>
      <c r="R457" s="26" t="s">
        <v>280</v>
      </c>
      <c r="S457" s="26">
        <v>1</v>
      </c>
      <c r="T457" s="71" t="s">
        <v>626</v>
      </c>
    </row>
    <row r="458" spans="1:20" ht="12.75" customHeight="1">
      <c r="A458" s="1" t="s">
        <v>285</v>
      </c>
      <c r="B458" s="1" t="s">
        <v>289</v>
      </c>
      <c r="C458" s="1" t="s">
        <v>511</v>
      </c>
      <c r="D458" s="5">
        <v>43163</v>
      </c>
      <c r="E458" s="1">
        <f t="shared" si="63"/>
        <v>2018</v>
      </c>
      <c r="F458" s="1">
        <f t="shared" si="64"/>
        <v>3</v>
      </c>
      <c r="G458" s="4">
        <f t="shared" si="65"/>
        <v>4</v>
      </c>
      <c r="H458" s="8">
        <v>0.58472222222222225</v>
      </c>
      <c r="I458" s="11">
        <f t="shared" si="66"/>
        <v>126.25183333333334</v>
      </c>
      <c r="J458" s="11">
        <f t="shared" si="67"/>
        <v>27.252166666666668</v>
      </c>
      <c r="K458" s="9">
        <v>20.007999999999999</v>
      </c>
      <c r="L458" s="9">
        <v>20</v>
      </c>
      <c r="M458" s="9">
        <v>0</v>
      </c>
      <c r="N458" s="12">
        <v>23.886299999999999</v>
      </c>
      <c r="O458" s="11">
        <v>34.690263509701062</v>
      </c>
      <c r="P458" s="31">
        <v>0.20785244000000036</v>
      </c>
      <c r="Q458" s="31">
        <v>1.2672876588235304</v>
      </c>
      <c r="R458" s="26" t="s">
        <v>280</v>
      </c>
      <c r="S458" s="26">
        <v>1</v>
      </c>
      <c r="T458" s="71" t="s">
        <v>626</v>
      </c>
    </row>
    <row r="459" spans="1:20" ht="12.75" customHeight="1">
      <c r="A459" s="1" t="s">
        <v>285</v>
      </c>
      <c r="B459" s="1" t="s">
        <v>289</v>
      </c>
      <c r="C459" s="1" t="s">
        <v>511</v>
      </c>
      <c r="D459" s="5">
        <v>43163</v>
      </c>
      <c r="E459" s="1">
        <f t="shared" si="63"/>
        <v>2018</v>
      </c>
      <c r="F459" s="1">
        <f t="shared" si="64"/>
        <v>3</v>
      </c>
      <c r="G459" s="4">
        <f t="shared" si="65"/>
        <v>4</v>
      </c>
      <c r="H459" s="8">
        <v>0.58472222222222225</v>
      </c>
      <c r="I459" s="11">
        <f t="shared" si="66"/>
        <v>126.25183333333334</v>
      </c>
      <c r="J459" s="11">
        <f t="shared" si="67"/>
        <v>27.252166666666668</v>
      </c>
      <c r="K459" s="9">
        <v>29.608000000000001</v>
      </c>
      <c r="L459" s="9">
        <v>30</v>
      </c>
      <c r="M459" s="9">
        <v>0</v>
      </c>
      <c r="N459" s="12">
        <v>23.8429</v>
      </c>
      <c r="O459" s="11">
        <v>34.692740277409229</v>
      </c>
      <c r="P459" s="31">
        <v>0.23308804000000016</v>
      </c>
      <c r="Q459" s="31">
        <v>1.3210624800000019</v>
      </c>
      <c r="R459" s="26" t="s">
        <v>280</v>
      </c>
      <c r="S459" s="26">
        <v>1</v>
      </c>
      <c r="T459" s="71" t="s">
        <v>626</v>
      </c>
    </row>
    <row r="460" spans="1:20" ht="12.75" customHeight="1">
      <c r="A460" s="1" t="s">
        <v>285</v>
      </c>
      <c r="B460" s="1" t="s">
        <v>289</v>
      </c>
      <c r="C460" s="1" t="s">
        <v>511</v>
      </c>
      <c r="D460" s="5">
        <v>43163</v>
      </c>
      <c r="E460" s="1">
        <f t="shared" si="63"/>
        <v>2018</v>
      </c>
      <c r="F460" s="1">
        <f t="shared" si="64"/>
        <v>3</v>
      </c>
      <c r="G460" s="4">
        <f t="shared" si="65"/>
        <v>4</v>
      </c>
      <c r="H460" s="8">
        <v>0.58472222222222225</v>
      </c>
      <c r="I460" s="11">
        <f t="shared" si="66"/>
        <v>126.25183333333334</v>
      </c>
      <c r="J460" s="11">
        <f t="shared" si="67"/>
        <v>27.252166666666668</v>
      </c>
      <c r="K460" s="9">
        <v>49.930999999999997</v>
      </c>
      <c r="L460" s="9">
        <v>50</v>
      </c>
      <c r="M460" s="9">
        <v>0</v>
      </c>
      <c r="N460" s="12">
        <v>23.666799999999999</v>
      </c>
      <c r="O460" s="11">
        <v>34.711136418331755</v>
      </c>
      <c r="P460" s="31">
        <v>0.15951011999999976</v>
      </c>
      <c r="Q460" s="31">
        <v>1.1538846611764715</v>
      </c>
      <c r="R460" s="26" t="s">
        <v>280</v>
      </c>
      <c r="S460" s="26">
        <v>1</v>
      </c>
      <c r="T460" s="71" t="s">
        <v>626</v>
      </c>
    </row>
    <row r="461" spans="1:20" ht="12.75" customHeight="1">
      <c r="A461" s="1" t="s">
        <v>285</v>
      </c>
      <c r="B461" s="1" t="s">
        <v>289</v>
      </c>
      <c r="C461" s="1" t="s">
        <v>511</v>
      </c>
      <c r="D461" s="5">
        <v>43163</v>
      </c>
      <c r="E461" s="1">
        <f t="shared" si="63"/>
        <v>2018</v>
      </c>
      <c r="F461" s="1">
        <f t="shared" si="64"/>
        <v>3</v>
      </c>
      <c r="G461" s="4">
        <f t="shared" si="65"/>
        <v>4</v>
      </c>
      <c r="H461" s="8">
        <v>0.58472222222222225</v>
      </c>
      <c r="I461" s="11">
        <f t="shared" si="66"/>
        <v>126.25183333333334</v>
      </c>
      <c r="J461" s="11">
        <f t="shared" si="67"/>
        <v>27.252166666666668</v>
      </c>
      <c r="K461" s="9">
        <v>60</v>
      </c>
      <c r="L461" s="9">
        <v>60</v>
      </c>
      <c r="M461" s="9">
        <v>0</v>
      </c>
      <c r="N461" s="12">
        <v>23.63</v>
      </c>
      <c r="O461" s="11">
        <v>34.462600000000002</v>
      </c>
      <c r="P461" s="31">
        <v>0.19357220000000019</v>
      </c>
      <c r="Q461" s="31">
        <v>1.3612985364705885</v>
      </c>
      <c r="R461" s="26" t="s">
        <v>280</v>
      </c>
      <c r="S461" s="26">
        <v>1</v>
      </c>
      <c r="T461" s="71" t="s">
        <v>626</v>
      </c>
    </row>
    <row r="462" spans="1:20" ht="12.75" customHeight="1">
      <c r="A462" s="1" t="s">
        <v>285</v>
      </c>
      <c r="B462" s="1" t="s">
        <v>289</v>
      </c>
      <c r="C462" s="1" t="s">
        <v>511</v>
      </c>
      <c r="D462" s="5">
        <v>43163</v>
      </c>
      <c r="E462" s="1">
        <f t="shared" si="63"/>
        <v>2018</v>
      </c>
      <c r="F462" s="1">
        <f t="shared" si="64"/>
        <v>3</v>
      </c>
      <c r="G462" s="4">
        <f t="shared" si="65"/>
        <v>4</v>
      </c>
      <c r="H462" s="8">
        <v>0.58472222222222225</v>
      </c>
      <c r="I462" s="11">
        <f t="shared" si="66"/>
        <v>126.25183333333334</v>
      </c>
      <c r="J462" s="11">
        <f t="shared" si="67"/>
        <v>27.252166666666668</v>
      </c>
      <c r="K462" s="9">
        <v>74.037000000000006</v>
      </c>
      <c r="L462" s="9">
        <v>75</v>
      </c>
      <c r="M462" s="9">
        <v>0</v>
      </c>
      <c r="N462" s="12">
        <v>23.563500000000001</v>
      </c>
      <c r="O462" s="11">
        <v>34.667561352548788</v>
      </c>
      <c r="P462" s="31">
        <v>0.13106923999999975</v>
      </c>
      <c r="Q462" s="31">
        <v>1.1725969623529391</v>
      </c>
      <c r="R462" s="26" t="s">
        <v>280</v>
      </c>
      <c r="S462" s="26">
        <v>1</v>
      </c>
      <c r="T462" s="71" t="s">
        <v>626</v>
      </c>
    </row>
    <row r="463" spans="1:20" ht="12.75" customHeight="1">
      <c r="A463" s="1" t="s">
        <v>285</v>
      </c>
      <c r="B463" s="1" t="s">
        <v>289</v>
      </c>
      <c r="C463" s="1" t="s">
        <v>511</v>
      </c>
      <c r="D463" s="5">
        <v>43163</v>
      </c>
      <c r="E463" s="1">
        <f t="shared" si="63"/>
        <v>2018</v>
      </c>
      <c r="F463" s="1">
        <f t="shared" si="64"/>
        <v>3</v>
      </c>
      <c r="G463" s="4">
        <f t="shared" si="65"/>
        <v>4</v>
      </c>
      <c r="H463" s="8">
        <v>0.58472222222222225</v>
      </c>
      <c r="I463" s="11">
        <f t="shared" si="66"/>
        <v>126.25183333333334</v>
      </c>
      <c r="J463" s="11">
        <f t="shared" si="67"/>
        <v>27.252166666666668</v>
      </c>
      <c r="K463" s="9">
        <v>99.013000000000005</v>
      </c>
      <c r="L463" s="9">
        <v>100</v>
      </c>
      <c r="M463" s="9">
        <v>0</v>
      </c>
      <c r="N463" s="12">
        <v>22.8903</v>
      </c>
      <c r="O463" s="11">
        <v>34.666697303705384</v>
      </c>
      <c r="P463" s="31">
        <v>0.18321483999999977</v>
      </c>
      <c r="Q463" s="31">
        <v>1.2327551670588228</v>
      </c>
      <c r="R463" s="26" t="s">
        <v>280</v>
      </c>
      <c r="S463" s="26">
        <v>1</v>
      </c>
      <c r="T463" s="71" t="s">
        <v>626</v>
      </c>
    </row>
    <row r="464" spans="1:20" ht="12.75" customHeight="1">
      <c r="A464" s="1" t="s">
        <v>285</v>
      </c>
      <c r="B464" s="1" t="s">
        <v>289</v>
      </c>
      <c r="C464" s="1" t="s">
        <v>511</v>
      </c>
      <c r="D464" s="5">
        <v>43163</v>
      </c>
      <c r="E464" s="1">
        <f t="shared" si="63"/>
        <v>2018</v>
      </c>
      <c r="F464" s="1">
        <f t="shared" si="64"/>
        <v>3</v>
      </c>
      <c r="G464" s="4">
        <f t="shared" si="65"/>
        <v>4</v>
      </c>
      <c r="H464" s="8">
        <v>0.58472222222222225</v>
      </c>
      <c r="I464" s="11">
        <f t="shared" si="66"/>
        <v>126.25183333333334</v>
      </c>
      <c r="J464" s="11">
        <f t="shared" si="67"/>
        <v>27.252166666666668</v>
      </c>
      <c r="K464" s="9">
        <v>123.803</v>
      </c>
      <c r="L464" s="9">
        <v>125</v>
      </c>
      <c r="M464" s="9">
        <v>0</v>
      </c>
      <c r="N464" s="12">
        <v>22.267099999999999</v>
      </c>
      <c r="O464" s="11">
        <v>34.663147756936503</v>
      </c>
      <c r="P464" s="31">
        <v>0.22593596000000016</v>
      </c>
      <c r="Q464" s="31">
        <v>1.4379452282352929</v>
      </c>
      <c r="R464" s="26" t="s">
        <v>280</v>
      </c>
      <c r="S464" s="26">
        <v>1</v>
      </c>
      <c r="T464" s="71" t="s">
        <v>626</v>
      </c>
    </row>
    <row r="465" spans="1:20" ht="12.75" customHeight="1">
      <c r="A465" s="1" t="s">
        <v>285</v>
      </c>
      <c r="B465" s="1" t="s">
        <v>289</v>
      </c>
      <c r="C465" s="1" t="s">
        <v>511</v>
      </c>
      <c r="D465" s="5">
        <v>43163</v>
      </c>
      <c r="E465" s="1">
        <f t="shared" si="63"/>
        <v>2018</v>
      </c>
      <c r="F465" s="1">
        <f t="shared" si="64"/>
        <v>3</v>
      </c>
      <c r="G465" s="4">
        <f t="shared" si="65"/>
        <v>4</v>
      </c>
      <c r="H465" s="8">
        <v>0.58472222222222225</v>
      </c>
      <c r="I465" s="11">
        <f t="shared" si="66"/>
        <v>126.25183333333334</v>
      </c>
      <c r="J465" s="11">
        <f t="shared" si="67"/>
        <v>27.252166666666668</v>
      </c>
      <c r="K465" s="9">
        <v>148.392</v>
      </c>
      <c r="L465" s="9">
        <v>150</v>
      </c>
      <c r="M465" s="9">
        <v>0</v>
      </c>
      <c r="N465" s="12">
        <v>21.537700000000001</v>
      </c>
      <c r="O465" s="11">
        <v>34.680100282236843</v>
      </c>
      <c r="P465" s="31">
        <v>0.19871499999999953</v>
      </c>
      <c r="Q465" s="31">
        <v>1.3283561294117625</v>
      </c>
      <c r="R465" s="26" t="s">
        <v>280</v>
      </c>
      <c r="S465" s="26">
        <v>1</v>
      </c>
      <c r="T465" s="71" t="s">
        <v>626</v>
      </c>
    </row>
    <row r="466" spans="1:20" ht="12.75" customHeight="1">
      <c r="A466" s="1" t="s">
        <v>285</v>
      </c>
      <c r="B466" s="1" t="s">
        <v>289</v>
      </c>
      <c r="C466" s="1" t="s">
        <v>511</v>
      </c>
      <c r="D466" s="5">
        <v>43163</v>
      </c>
      <c r="E466" s="1">
        <f t="shared" si="63"/>
        <v>2018</v>
      </c>
      <c r="F466" s="1">
        <f t="shared" si="64"/>
        <v>3</v>
      </c>
      <c r="G466" s="4">
        <f t="shared" si="65"/>
        <v>4</v>
      </c>
      <c r="H466" s="8">
        <v>0.58472222222222225</v>
      </c>
      <c r="I466" s="11">
        <f t="shared" si="66"/>
        <v>126.25183333333334</v>
      </c>
      <c r="J466" s="11">
        <f t="shared" si="67"/>
        <v>27.252166666666668</v>
      </c>
      <c r="K466" s="9">
        <v>198.61199999999999</v>
      </c>
      <c r="L466" s="9">
        <v>200</v>
      </c>
      <c r="M466" s="9">
        <v>0</v>
      </c>
      <c r="N466" s="12">
        <v>19.902899999999999</v>
      </c>
      <c r="O466" s="11">
        <v>34.650874602854145</v>
      </c>
      <c r="P466" s="31">
        <v>0.37806716000000007</v>
      </c>
      <c r="Q466" s="31">
        <v>2.1584033905882354</v>
      </c>
      <c r="R466" s="26" t="s">
        <v>280</v>
      </c>
      <c r="S466" s="26">
        <v>1</v>
      </c>
      <c r="T466" s="71" t="s">
        <v>626</v>
      </c>
    </row>
    <row r="467" spans="1:20" ht="12.75" customHeight="1">
      <c r="A467" s="1" t="s">
        <v>285</v>
      </c>
      <c r="B467" s="1" t="s">
        <v>289</v>
      </c>
      <c r="C467" s="1" t="s">
        <v>511</v>
      </c>
      <c r="D467" s="5">
        <v>43163</v>
      </c>
      <c r="E467" s="1">
        <f t="shared" si="63"/>
        <v>2018</v>
      </c>
      <c r="F467" s="1">
        <f t="shared" si="64"/>
        <v>3</v>
      </c>
      <c r="G467" s="4">
        <f t="shared" si="65"/>
        <v>4</v>
      </c>
      <c r="H467" s="8">
        <v>0.58472222222222225</v>
      </c>
      <c r="I467" s="11">
        <f t="shared" si="66"/>
        <v>126.25183333333334</v>
      </c>
      <c r="J467" s="11">
        <f t="shared" si="67"/>
        <v>27.252166666666668</v>
      </c>
      <c r="K467" s="9">
        <v>297.62099999999998</v>
      </c>
      <c r="L467" s="9">
        <v>300</v>
      </c>
      <c r="M467" s="9">
        <v>0</v>
      </c>
      <c r="N467" s="12">
        <v>16.0717</v>
      </c>
      <c r="O467" s="11">
        <v>34.405783367344952</v>
      </c>
      <c r="P467" s="31">
        <v>0.19794955999999964</v>
      </c>
      <c r="Q467" s="31">
        <v>1.1687254517647059</v>
      </c>
      <c r="R467" s="26" t="s">
        <v>280</v>
      </c>
      <c r="S467" s="26">
        <v>1</v>
      </c>
      <c r="T467" s="71" t="s">
        <v>626</v>
      </c>
    </row>
    <row r="468" spans="1:20" ht="12.75" customHeight="1">
      <c r="A468" s="1" t="s">
        <v>285</v>
      </c>
      <c r="B468" s="1" t="s">
        <v>289</v>
      </c>
      <c r="C468" s="1" t="s">
        <v>511</v>
      </c>
      <c r="D468" s="5">
        <v>43163</v>
      </c>
      <c r="E468" s="1">
        <f t="shared" si="63"/>
        <v>2018</v>
      </c>
      <c r="F468" s="1">
        <f t="shared" si="64"/>
        <v>3</v>
      </c>
      <c r="G468" s="4">
        <f t="shared" si="65"/>
        <v>4</v>
      </c>
      <c r="H468" s="8">
        <v>0.58472222222222225</v>
      </c>
      <c r="I468" s="11">
        <f t="shared" si="66"/>
        <v>126.25183333333334</v>
      </c>
      <c r="J468" s="11">
        <f t="shared" si="67"/>
        <v>27.252166666666668</v>
      </c>
      <c r="K468" s="9">
        <v>496.79599999999999</v>
      </c>
      <c r="L468" s="9">
        <v>500</v>
      </c>
      <c r="M468" s="9">
        <v>0</v>
      </c>
      <c r="N468" s="12">
        <v>8.1043000000000003</v>
      </c>
      <c r="O468" s="11">
        <v>34.34330169995355</v>
      </c>
      <c r="P468" s="31">
        <v>-3.0354879999999751E-2</v>
      </c>
      <c r="Q468" s="31">
        <v>-0.66989640705882358</v>
      </c>
      <c r="R468" s="26" t="s">
        <v>280</v>
      </c>
      <c r="S468" s="26">
        <v>1</v>
      </c>
      <c r="T468" s="71" t="s">
        <v>626</v>
      </c>
    </row>
    <row r="469" spans="1:20" ht="12.75" customHeight="1">
      <c r="P469" s="31"/>
      <c r="Q469" s="31"/>
      <c r="R469" s="26"/>
      <c r="S469" s="26"/>
      <c r="T469" s="71"/>
    </row>
    <row r="470" spans="1:20" ht="12.75" customHeight="1">
      <c r="A470" s="1" t="s">
        <v>285</v>
      </c>
      <c r="B470" s="1">
        <v>67</v>
      </c>
      <c r="C470" s="1" t="s">
        <v>511</v>
      </c>
      <c r="D470" s="5">
        <v>43165</v>
      </c>
      <c r="E470" s="1">
        <f t="shared" ref="E470:E477" si="68">YEAR(D470)</f>
        <v>2018</v>
      </c>
      <c r="F470" s="1">
        <f t="shared" ref="F470:F477" si="69">MONTH(D470)</f>
        <v>3</v>
      </c>
      <c r="G470" s="4">
        <f t="shared" ref="G470:G477" si="70">DAY(D470)</f>
        <v>6</v>
      </c>
      <c r="H470" s="8">
        <v>0.63958333333333328</v>
      </c>
      <c r="I470" s="11">
        <f t="shared" ref="I470:I477" si="71">124+45.13/610</f>
        <v>124.07398360655738</v>
      </c>
      <c r="J470" s="11">
        <f t="shared" ref="J470:J477" si="72">27+30.14/60</f>
        <v>27.502333333333333</v>
      </c>
      <c r="K470" s="9">
        <v>0</v>
      </c>
      <c r="L470" s="9">
        <v>0</v>
      </c>
      <c r="M470" s="27">
        <v>0</v>
      </c>
      <c r="N470" s="12">
        <v>19.3</v>
      </c>
      <c r="O470" s="11">
        <v>34.596634986241845</v>
      </c>
      <c r="P470" s="31">
        <v>0.2937850399999995</v>
      </c>
      <c r="Q470" s="31">
        <v>1.6524683952941182</v>
      </c>
      <c r="R470" s="26" t="s">
        <v>280</v>
      </c>
      <c r="S470" s="26">
        <v>1</v>
      </c>
      <c r="T470" s="71" t="s">
        <v>626</v>
      </c>
    </row>
    <row r="471" spans="1:20" ht="12.75" customHeight="1">
      <c r="A471" s="1" t="s">
        <v>285</v>
      </c>
      <c r="B471" s="1">
        <v>67</v>
      </c>
      <c r="C471" s="1" t="s">
        <v>511</v>
      </c>
      <c r="D471" s="5">
        <v>43165</v>
      </c>
      <c r="E471" s="1">
        <f t="shared" si="68"/>
        <v>2018</v>
      </c>
      <c r="F471" s="1">
        <f t="shared" si="69"/>
        <v>3</v>
      </c>
      <c r="G471" s="4">
        <f t="shared" si="70"/>
        <v>6</v>
      </c>
      <c r="H471" s="8">
        <v>0.63958333333333328</v>
      </c>
      <c r="I471" s="11">
        <f t="shared" si="71"/>
        <v>124.07398360655738</v>
      </c>
      <c r="J471" s="11">
        <f t="shared" si="72"/>
        <v>27.502333333333333</v>
      </c>
      <c r="K471" s="9">
        <v>9.0380000000000003</v>
      </c>
      <c r="L471" s="9">
        <v>10</v>
      </c>
      <c r="M471" s="9">
        <v>0</v>
      </c>
      <c r="N471" s="12">
        <v>19.221399999999999</v>
      </c>
      <c r="O471" s="11">
        <v>34.591700000000003</v>
      </c>
      <c r="P471" s="31">
        <v>0.23574349647058801</v>
      </c>
      <c r="Q471" s="31">
        <v>1.4881806494117633</v>
      </c>
      <c r="R471" s="26" t="s">
        <v>280</v>
      </c>
      <c r="S471" s="26">
        <v>1</v>
      </c>
      <c r="T471" s="71" t="s">
        <v>626</v>
      </c>
    </row>
    <row r="472" spans="1:20" ht="12.75" customHeight="1">
      <c r="A472" s="1" t="s">
        <v>285</v>
      </c>
      <c r="B472" s="1">
        <v>67</v>
      </c>
      <c r="C472" s="1" t="s">
        <v>511</v>
      </c>
      <c r="D472" s="5">
        <v>43165</v>
      </c>
      <c r="E472" s="1">
        <f t="shared" si="68"/>
        <v>2018</v>
      </c>
      <c r="F472" s="1">
        <f t="shared" si="69"/>
        <v>3</v>
      </c>
      <c r="G472" s="4">
        <f t="shared" si="70"/>
        <v>6</v>
      </c>
      <c r="H472" s="8">
        <v>0.63958333333333328</v>
      </c>
      <c r="I472" s="11">
        <f t="shared" si="71"/>
        <v>124.07398360655738</v>
      </c>
      <c r="J472" s="11">
        <f t="shared" si="72"/>
        <v>27.502333333333333</v>
      </c>
      <c r="K472" s="9">
        <v>20.747</v>
      </c>
      <c r="L472" s="9">
        <v>20</v>
      </c>
      <c r="M472" s="9">
        <v>0</v>
      </c>
      <c r="N472" s="12">
        <v>19.229399999999998</v>
      </c>
      <c r="O472" s="11">
        <v>34.591299999999997</v>
      </c>
      <c r="P472" s="31">
        <v>0.26841131882352975</v>
      </c>
      <c r="Q472" s="31">
        <v>1.5640203764705856</v>
      </c>
      <c r="R472" s="26" t="s">
        <v>280</v>
      </c>
      <c r="S472" s="26">
        <v>1</v>
      </c>
      <c r="T472" s="71" t="s">
        <v>626</v>
      </c>
    </row>
    <row r="473" spans="1:20" ht="12.75" customHeight="1">
      <c r="A473" s="1" t="s">
        <v>285</v>
      </c>
      <c r="B473" s="1">
        <v>67</v>
      </c>
      <c r="C473" s="1" t="s">
        <v>511</v>
      </c>
      <c r="D473" s="5">
        <v>43165</v>
      </c>
      <c r="E473" s="1">
        <f t="shared" si="68"/>
        <v>2018</v>
      </c>
      <c r="F473" s="1">
        <f t="shared" si="69"/>
        <v>3</v>
      </c>
      <c r="G473" s="4">
        <f t="shared" si="70"/>
        <v>6</v>
      </c>
      <c r="H473" s="8">
        <v>0.63958333333333328</v>
      </c>
      <c r="I473" s="11">
        <f t="shared" si="71"/>
        <v>124.07398360655738</v>
      </c>
      <c r="J473" s="11">
        <f t="shared" si="72"/>
        <v>27.502333333333333</v>
      </c>
      <c r="K473" s="9">
        <v>29.521000000000001</v>
      </c>
      <c r="L473" s="9">
        <v>30</v>
      </c>
      <c r="M473" s="9">
        <v>0</v>
      </c>
      <c r="N473" s="12">
        <v>19.234300000000001</v>
      </c>
      <c r="O473" s="11">
        <v>34.5914</v>
      </c>
      <c r="P473" s="31">
        <v>0.2532004011764708</v>
      </c>
      <c r="Q473" s="31">
        <v>1.5374776235294103</v>
      </c>
      <c r="R473" s="26" t="s">
        <v>280</v>
      </c>
      <c r="S473" s="26">
        <v>1</v>
      </c>
      <c r="T473" s="71" t="s">
        <v>626</v>
      </c>
    </row>
    <row r="474" spans="1:20" ht="12.75" customHeight="1">
      <c r="A474" s="1" t="s">
        <v>285</v>
      </c>
      <c r="B474" s="1">
        <v>67</v>
      </c>
      <c r="C474" s="1" t="s">
        <v>511</v>
      </c>
      <c r="D474" s="5">
        <v>43165</v>
      </c>
      <c r="E474" s="1">
        <f t="shared" si="68"/>
        <v>2018</v>
      </c>
      <c r="F474" s="1">
        <f t="shared" si="69"/>
        <v>3</v>
      </c>
      <c r="G474" s="4">
        <f t="shared" si="70"/>
        <v>6</v>
      </c>
      <c r="H474" s="8">
        <v>0.63958333333333328</v>
      </c>
      <c r="I474" s="11">
        <f t="shared" si="71"/>
        <v>124.07398360655738</v>
      </c>
      <c r="J474" s="11">
        <f t="shared" si="72"/>
        <v>27.502333333333333</v>
      </c>
      <c r="K474" s="9">
        <v>39.707000000000001</v>
      </c>
      <c r="L474" s="9">
        <v>40</v>
      </c>
      <c r="M474" s="9">
        <v>0</v>
      </c>
      <c r="N474" s="12">
        <v>19.201000000000001</v>
      </c>
      <c r="O474" s="11">
        <v>34.590699999999998</v>
      </c>
      <c r="P474" s="31">
        <v>0.25576724352941183</v>
      </c>
      <c r="Q474" s="31">
        <v>1.4888139905882358</v>
      </c>
      <c r="R474" s="26" t="s">
        <v>280</v>
      </c>
      <c r="S474" s="26">
        <v>1</v>
      </c>
      <c r="T474" s="71" t="s">
        <v>626</v>
      </c>
    </row>
    <row r="475" spans="1:20" ht="12.75" customHeight="1">
      <c r="A475" s="1" t="s">
        <v>285</v>
      </c>
      <c r="B475" s="1">
        <v>67</v>
      </c>
      <c r="C475" s="1" t="s">
        <v>511</v>
      </c>
      <c r="D475" s="5">
        <v>43165</v>
      </c>
      <c r="E475" s="1">
        <f t="shared" si="68"/>
        <v>2018</v>
      </c>
      <c r="F475" s="1">
        <f t="shared" si="69"/>
        <v>3</v>
      </c>
      <c r="G475" s="4">
        <f t="shared" si="70"/>
        <v>6</v>
      </c>
      <c r="H475" s="8">
        <v>0.63958333333333328</v>
      </c>
      <c r="I475" s="11">
        <f t="shared" si="71"/>
        <v>124.07398360655738</v>
      </c>
      <c r="J475" s="11">
        <f t="shared" si="72"/>
        <v>27.502333333333333</v>
      </c>
      <c r="K475" s="9">
        <v>49.530999999999999</v>
      </c>
      <c r="L475" s="9">
        <v>50</v>
      </c>
      <c r="M475" s="9">
        <v>0</v>
      </c>
      <c r="N475" s="12">
        <v>18.9772</v>
      </c>
      <c r="O475" s="11">
        <v>34.586599999999997</v>
      </c>
      <c r="P475" s="31">
        <v>0.25914216588235295</v>
      </c>
      <c r="Q475" s="31">
        <v>1.377311397647059</v>
      </c>
      <c r="R475" s="26" t="s">
        <v>280</v>
      </c>
      <c r="S475" s="26">
        <v>1</v>
      </c>
      <c r="T475" s="71" t="s">
        <v>626</v>
      </c>
    </row>
    <row r="476" spans="1:20" ht="12.75" customHeight="1">
      <c r="A476" s="1" t="s">
        <v>285</v>
      </c>
      <c r="B476" s="1">
        <v>67</v>
      </c>
      <c r="C476" s="1" t="s">
        <v>511</v>
      </c>
      <c r="D476" s="5">
        <v>43165</v>
      </c>
      <c r="E476" s="1">
        <f t="shared" si="68"/>
        <v>2018</v>
      </c>
      <c r="F476" s="1">
        <f t="shared" si="69"/>
        <v>3</v>
      </c>
      <c r="G476" s="4">
        <f t="shared" si="70"/>
        <v>6</v>
      </c>
      <c r="H476" s="8">
        <v>0.63958333333333328</v>
      </c>
      <c r="I476" s="11">
        <f t="shared" si="71"/>
        <v>124.07398360655738</v>
      </c>
      <c r="J476" s="11">
        <f t="shared" si="72"/>
        <v>27.502333333333333</v>
      </c>
      <c r="K476" s="9">
        <v>74.209999999999994</v>
      </c>
      <c r="L476" s="9">
        <v>75</v>
      </c>
      <c r="M476" s="9">
        <v>0</v>
      </c>
      <c r="N476" s="12">
        <v>18.437000000000001</v>
      </c>
      <c r="O476" s="11">
        <v>34.539200000000001</v>
      </c>
      <c r="P476" s="31">
        <v>0.24072778823529406</v>
      </c>
      <c r="Q476" s="31">
        <v>1.2651655932773078</v>
      </c>
      <c r="R476" s="26" t="s">
        <v>280</v>
      </c>
      <c r="S476" s="26">
        <v>1</v>
      </c>
      <c r="T476" s="71" t="s">
        <v>626</v>
      </c>
    </row>
    <row r="477" spans="1:20" ht="12.75" customHeight="1">
      <c r="A477" s="1" t="s">
        <v>285</v>
      </c>
      <c r="B477" s="1">
        <v>67</v>
      </c>
      <c r="C477" s="1" t="s">
        <v>511</v>
      </c>
      <c r="D477" s="5">
        <v>43165</v>
      </c>
      <c r="E477" s="1">
        <f t="shared" si="68"/>
        <v>2018</v>
      </c>
      <c r="F477" s="1">
        <f t="shared" si="69"/>
        <v>3</v>
      </c>
      <c r="G477" s="4">
        <f t="shared" si="70"/>
        <v>6</v>
      </c>
      <c r="H477" s="8">
        <v>0.63958333333333328</v>
      </c>
      <c r="I477" s="11">
        <f t="shared" si="71"/>
        <v>124.07398360655738</v>
      </c>
      <c r="J477" s="11">
        <f t="shared" si="72"/>
        <v>27.502333333333333</v>
      </c>
      <c r="K477" s="9">
        <v>95.447000000000003</v>
      </c>
      <c r="L477" s="9">
        <v>95</v>
      </c>
      <c r="M477" s="9">
        <v>0</v>
      </c>
      <c r="N477" s="12">
        <v>17.9679</v>
      </c>
      <c r="O477" s="11">
        <v>34.473799999999997</v>
      </c>
      <c r="P477" s="31">
        <v>0.18681479999999961</v>
      </c>
      <c r="Q477" s="31">
        <v>1.3011518541176468</v>
      </c>
      <c r="R477" s="26" t="s">
        <v>280</v>
      </c>
      <c r="S477" s="26">
        <v>1</v>
      </c>
      <c r="T477" s="71" t="s">
        <v>626</v>
      </c>
    </row>
    <row r="478" spans="1:20" ht="12.75" customHeight="1">
      <c r="P478" s="31"/>
      <c r="Q478" s="31"/>
      <c r="R478" s="26"/>
      <c r="S478" s="26"/>
      <c r="T478" s="71"/>
    </row>
    <row r="479" spans="1:20" ht="12.75" customHeight="1">
      <c r="A479" s="1" t="s">
        <v>285</v>
      </c>
      <c r="B479" s="1">
        <v>81</v>
      </c>
      <c r="C479" s="1" t="s">
        <v>507</v>
      </c>
      <c r="D479" s="5">
        <v>43169</v>
      </c>
      <c r="E479" s="1">
        <f t="shared" ref="E479:E486" si="73">YEAR(D479)</f>
        <v>2018</v>
      </c>
      <c r="F479" s="1">
        <f t="shared" ref="F479:F486" si="74">MONTH(D479)</f>
        <v>3</v>
      </c>
      <c r="G479" s="4">
        <f t="shared" ref="G479:G486" si="75">DAY(D479)</f>
        <v>10</v>
      </c>
      <c r="H479" s="8">
        <v>0.22013888888888888</v>
      </c>
      <c r="I479" s="11">
        <f t="shared" ref="I479:I486" si="76">127+25.01/60</f>
        <v>127.41683333333333</v>
      </c>
      <c r="J479" s="11">
        <f t="shared" ref="J479:J486" si="77">31+41.99/60</f>
        <v>31.699833333333334</v>
      </c>
      <c r="K479" s="9">
        <v>0</v>
      </c>
      <c r="L479" s="9">
        <v>0</v>
      </c>
      <c r="M479" s="27">
        <v>0</v>
      </c>
      <c r="N479" s="12">
        <v>16.899999999999999</v>
      </c>
      <c r="O479" s="11">
        <v>34.678849704828004</v>
      </c>
      <c r="P479" s="31">
        <v>0.30004527411764714</v>
      </c>
      <c r="Q479" s="31">
        <v>1.6905158823529405</v>
      </c>
      <c r="R479" s="26" t="s">
        <v>280</v>
      </c>
      <c r="S479" s="26">
        <v>1</v>
      </c>
      <c r="T479" s="71" t="s">
        <v>626</v>
      </c>
    </row>
    <row r="480" spans="1:20" ht="12.75" customHeight="1">
      <c r="A480" s="1" t="s">
        <v>285</v>
      </c>
      <c r="B480" s="1">
        <v>81</v>
      </c>
      <c r="C480" s="1" t="s">
        <v>507</v>
      </c>
      <c r="D480" s="5">
        <v>43169</v>
      </c>
      <c r="E480" s="1">
        <f t="shared" si="73"/>
        <v>2018</v>
      </c>
      <c r="F480" s="1">
        <f t="shared" si="74"/>
        <v>3</v>
      </c>
      <c r="G480" s="4">
        <f t="shared" si="75"/>
        <v>10</v>
      </c>
      <c r="H480" s="8">
        <v>0.22013888888888888</v>
      </c>
      <c r="I480" s="11">
        <f t="shared" si="76"/>
        <v>127.41683333333333</v>
      </c>
      <c r="J480" s="11">
        <f t="shared" si="77"/>
        <v>31.699833333333334</v>
      </c>
      <c r="K480" s="9">
        <v>10.099</v>
      </c>
      <c r="L480" s="9">
        <v>10</v>
      </c>
      <c r="M480" s="9">
        <v>0</v>
      </c>
      <c r="N480" s="12">
        <v>16.8474</v>
      </c>
      <c r="O480" s="11">
        <v>34.6721</v>
      </c>
      <c r="P480" s="31">
        <v>0.27619503058823547</v>
      </c>
      <c r="Q480" s="31">
        <v>1.652515411764707</v>
      </c>
      <c r="R480" s="26" t="s">
        <v>280</v>
      </c>
      <c r="S480" s="26">
        <v>1</v>
      </c>
      <c r="T480" s="71" t="s">
        <v>626</v>
      </c>
    </row>
    <row r="481" spans="1:20" ht="12.75" customHeight="1">
      <c r="A481" s="1" t="s">
        <v>285</v>
      </c>
      <c r="B481" s="1">
        <v>81</v>
      </c>
      <c r="C481" s="1" t="s">
        <v>507</v>
      </c>
      <c r="D481" s="5">
        <v>43169</v>
      </c>
      <c r="E481" s="1">
        <f t="shared" si="73"/>
        <v>2018</v>
      </c>
      <c r="F481" s="1">
        <f t="shared" si="74"/>
        <v>3</v>
      </c>
      <c r="G481" s="4">
        <f t="shared" si="75"/>
        <v>10</v>
      </c>
      <c r="H481" s="8">
        <v>0.22013888888888888</v>
      </c>
      <c r="I481" s="11">
        <f t="shared" si="76"/>
        <v>127.41683333333333</v>
      </c>
      <c r="J481" s="11">
        <f t="shared" si="77"/>
        <v>31.699833333333334</v>
      </c>
      <c r="K481" s="9">
        <v>19.48</v>
      </c>
      <c r="L481" s="9">
        <v>20</v>
      </c>
      <c r="M481" s="9">
        <v>0</v>
      </c>
      <c r="N481" s="12">
        <v>16.8506</v>
      </c>
      <c r="O481" s="11">
        <v>34.672400000000003</v>
      </c>
      <c r="P481" s="31">
        <v>0.28239823294117716</v>
      </c>
      <c r="Q481" s="31">
        <v>1.5053844988235294</v>
      </c>
      <c r="R481" s="26" t="s">
        <v>280</v>
      </c>
      <c r="S481" s="26">
        <v>1</v>
      </c>
      <c r="T481" s="71" t="s">
        <v>626</v>
      </c>
    </row>
    <row r="482" spans="1:20" ht="12.75" customHeight="1">
      <c r="A482" s="1" t="s">
        <v>285</v>
      </c>
      <c r="B482" s="1">
        <v>81</v>
      </c>
      <c r="C482" s="1" t="s">
        <v>507</v>
      </c>
      <c r="D482" s="5">
        <v>43169</v>
      </c>
      <c r="E482" s="1">
        <f t="shared" si="73"/>
        <v>2018</v>
      </c>
      <c r="F482" s="1">
        <f t="shared" si="74"/>
        <v>3</v>
      </c>
      <c r="G482" s="4">
        <f t="shared" si="75"/>
        <v>10</v>
      </c>
      <c r="H482" s="8">
        <v>0.22013888888888888</v>
      </c>
      <c r="I482" s="11">
        <f t="shared" si="76"/>
        <v>127.41683333333333</v>
      </c>
      <c r="J482" s="11">
        <f t="shared" si="77"/>
        <v>31.699833333333334</v>
      </c>
      <c r="K482" s="9">
        <v>30.087</v>
      </c>
      <c r="L482" s="9">
        <v>30</v>
      </c>
      <c r="M482" s="9">
        <v>0</v>
      </c>
      <c r="N482" s="12">
        <v>16.8459</v>
      </c>
      <c r="O482" s="11">
        <v>34.671300000000002</v>
      </c>
      <c r="P482" s="31">
        <v>0.34895491029411829</v>
      </c>
      <c r="Q482" s="31">
        <v>1.6373584058823543</v>
      </c>
      <c r="R482" s="26" t="s">
        <v>280</v>
      </c>
      <c r="S482" s="26">
        <v>1</v>
      </c>
      <c r="T482" s="71" t="s">
        <v>626</v>
      </c>
    </row>
    <row r="483" spans="1:20" ht="12.75" customHeight="1">
      <c r="A483" s="1" t="s">
        <v>285</v>
      </c>
      <c r="B483" s="1">
        <v>81</v>
      </c>
      <c r="C483" s="1" t="s">
        <v>507</v>
      </c>
      <c r="D483" s="5">
        <v>43169</v>
      </c>
      <c r="E483" s="1">
        <f t="shared" si="73"/>
        <v>2018</v>
      </c>
      <c r="F483" s="1">
        <f t="shared" si="74"/>
        <v>3</v>
      </c>
      <c r="G483" s="4">
        <f t="shared" si="75"/>
        <v>10</v>
      </c>
      <c r="H483" s="8">
        <v>0.22013888888888888</v>
      </c>
      <c r="I483" s="11">
        <f t="shared" si="76"/>
        <v>127.41683333333333</v>
      </c>
      <c r="J483" s="11">
        <f t="shared" si="77"/>
        <v>31.699833333333334</v>
      </c>
      <c r="K483" s="9">
        <v>49.612000000000002</v>
      </c>
      <c r="L483" s="9">
        <v>50</v>
      </c>
      <c r="M483" s="9">
        <v>0</v>
      </c>
      <c r="N483" s="12">
        <v>15.9863</v>
      </c>
      <c r="O483" s="11">
        <v>34.5974</v>
      </c>
      <c r="P483" s="31">
        <v>0.25197639764705881</v>
      </c>
      <c r="Q483" s="31">
        <v>1.446621952941177</v>
      </c>
      <c r="R483" s="26" t="s">
        <v>280</v>
      </c>
      <c r="S483" s="26">
        <v>1</v>
      </c>
      <c r="T483" s="71" t="s">
        <v>626</v>
      </c>
    </row>
    <row r="484" spans="1:20" ht="12.75" customHeight="1">
      <c r="A484" s="1" t="s">
        <v>285</v>
      </c>
      <c r="B484" s="1">
        <v>81</v>
      </c>
      <c r="C484" s="1" t="s">
        <v>507</v>
      </c>
      <c r="D484" s="5">
        <v>43169</v>
      </c>
      <c r="E484" s="1">
        <f t="shared" si="73"/>
        <v>2018</v>
      </c>
      <c r="F484" s="1">
        <f t="shared" si="74"/>
        <v>3</v>
      </c>
      <c r="G484" s="4">
        <f t="shared" si="75"/>
        <v>10</v>
      </c>
      <c r="H484" s="8">
        <v>0.22013888888888888</v>
      </c>
      <c r="I484" s="11">
        <f t="shared" si="76"/>
        <v>127.41683333333333</v>
      </c>
      <c r="J484" s="11">
        <f t="shared" si="77"/>
        <v>31.699833333333334</v>
      </c>
      <c r="K484" s="9">
        <v>75.406000000000006</v>
      </c>
      <c r="L484" s="9">
        <v>75</v>
      </c>
      <c r="M484" s="9">
        <v>0</v>
      </c>
      <c r="N484" s="12">
        <v>15.598000000000001</v>
      </c>
      <c r="O484" s="11">
        <v>34.590600000000002</v>
      </c>
      <c r="P484" s="31">
        <v>0.24888668000000003</v>
      </c>
      <c r="Q484" s="31">
        <v>1.3989371199999994</v>
      </c>
      <c r="R484" s="26" t="s">
        <v>280</v>
      </c>
      <c r="S484" s="26">
        <v>1</v>
      </c>
      <c r="T484" s="71" t="s">
        <v>626</v>
      </c>
    </row>
    <row r="485" spans="1:20" ht="12.75" customHeight="1">
      <c r="A485" s="1" t="s">
        <v>285</v>
      </c>
      <c r="B485" s="1">
        <v>81</v>
      </c>
      <c r="C485" s="1" t="s">
        <v>507</v>
      </c>
      <c r="D485" s="5">
        <v>43169</v>
      </c>
      <c r="E485" s="1">
        <f t="shared" si="73"/>
        <v>2018</v>
      </c>
      <c r="F485" s="1">
        <f t="shared" si="74"/>
        <v>3</v>
      </c>
      <c r="G485" s="4">
        <f t="shared" si="75"/>
        <v>10</v>
      </c>
      <c r="H485" s="8">
        <v>0.22013888888888888</v>
      </c>
      <c r="I485" s="11">
        <f t="shared" si="76"/>
        <v>127.41683333333333</v>
      </c>
      <c r="J485" s="11">
        <f t="shared" si="77"/>
        <v>31.699833333333334</v>
      </c>
      <c r="K485" s="9">
        <v>98.825999999999993</v>
      </c>
      <c r="L485" s="9">
        <v>100</v>
      </c>
      <c r="M485" s="9">
        <v>0</v>
      </c>
      <c r="N485" s="12">
        <v>14.175000000000001</v>
      </c>
      <c r="O485" s="11">
        <v>34.446800000000003</v>
      </c>
      <c r="P485" s="31">
        <v>0.21104952235294094</v>
      </c>
      <c r="Q485" s="31">
        <v>1.0891296470588241</v>
      </c>
      <c r="R485" s="26" t="s">
        <v>280</v>
      </c>
      <c r="S485" s="26">
        <v>1</v>
      </c>
      <c r="T485" s="71" t="s">
        <v>626</v>
      </c>
    </row>
    <row r="486" spans="1:20" ht="12.75" customHeight="1">
      <c r="A486" s="1" t="s">
        <v>285</v>
      </c>
      <c r="B486" s="1">
        <v>81</v>
      </c>
      <c r="C486" s="1" t="s">
        <v>507</v>
      </c>
      <c r="D486" s="5">
        <v>43169</v>
      </c>
      <c r="E486" s="1">
        <f t="shared" si="73"/>
        <v>2018</v>
      </c>
      <c r="F486" s="1">
        <f t="shared" si="74"/>
        <v>3</v>
      </c>
      <c r="G486" s="4">
        <f t="shared" si="75"/>
        <v>10</v>
      </c>
      <c r="H486" s="8">
        <v>0.22013888888888888</v>
      </c>
      <c r="I486" s="11">
        <f t="shared" si="76"/>
        <v>127.41683333333333</v>
      </c>
      <c r="J486" s="11">
        <f t="shared" si="77"/>
        <v>31.699833333333334</v>
      </c>
      <c r="K486" s="9">
        <v>127.925</v>
      </c>
      <c r="L486" s="9">
        <v>128</v>
      </c>
      <c r="M486" s="9">
        <v>0</v>
      </c>
      <c r="N486" s="12">
        <v>13.59</v>
      </c>
      <c r="O486" s="11">
        <v>34.371899999999997</v>
      </c>
      <c r="P486" s="31">
        <v>0.20593960470588257</v>
      </c>
      <c r="Q486" s="31">
        <v>0.88190041411764497</v>
      </c>
      <c r="R486" s="26" t="s">
        <v>280</v>
      </c>
      <c r="S486" s="26">
        <v>1</v>
      </c>
      <c r="T486" s="71" t="s">
        <v>626</v>
      </c>
    </row>
    <row r="487" spans="1:20" ht="12.75" customHeight="1">
      <c r="P487" s="31"/>
      <c r="Q487" s="31"/>
      <c r="R487" s="26"/>
      <c r="S487" s="26"/>
      <c r="T487" s="71"/>
    </row>
    <row r="488" spans="1:20" ht="12.75" customHeight="1">
      <c r="A488" s="1" t="s">
        <v>285</v>
      </c>
      <c r="B488" s="1" t="s">
        <v>291</v>
      </c>
      <c r="C488" s="1" t="s">
        <v>507</v>
      </c>
      <c r="D488" s="5">
        <v>43170</v>
      </c>
      <c r="E488" s="1">
        <f t="shared" ref="E488:E499" si="78">YEAR(D488)</f>
        <v>2018</v>
      </c>
      <c r="F488" s="1">
        <f t="shared" ref="F488:F499" si="79">MONTH(D488)</f>
        <v>3</v>
      </c>
      <c r="G488" s="4">
        <f t="shared" ref="G488:G499" si="80">DAY(D488)</f>
        <v>11</v>
      </c>
      <c r="H488" s="8">
        <v>0.33263888888888887</v>
      </c>
      <c r="I488" s="11">
        <f t="shared" ref="I488:I499" si="81">128+44.94/60</f>
        <v>128.749</v>
      </c>
      <c r="J488" s="11">
        <f t="shared" ref="J488:J499" si="82">31+44.96/60</f>
        <v>31.749333333333333</v>
      </c>
      <c r="K488" s="9">
        <v>0</v>
      </c>
      <c r="L488" s="9">
        <v>0</v>
      </c>
      <c r="M488" s="27">
        <v>0</v>
      </c>
      <c r="N488" s="12">
        <v>16.8</v>
      </c>
      <c r="O488" s="11">
        <v>34.727415113292814</v>
      </c>
      <c r="P488" s="31">
        <v>0.30746653823529391</v>
      </c>
      <c r="Q488" s="31">
        <v>1.7107060313725491</v>
      </c>
      <c r="R488" s="26" t="s">
        <v>280</v>
      </c>
      <c r="S488" s="26">
        <v>1</v>
      </c>
      <c r="T488" s="71" t="s">
        <v>626</v>
      </c>
    </row>
    <row r="489" spans="1:20" ht="12.75" customHeight="1">
      <c r="A489" s="1" t="s">
        <v>285</v>
      </c>
      <c r="B489" s="1" t="s">
        <v>291</v>
      </c>
      <c r="C489" s="1" t="s">
        <v>507</v>
      </c>
      <c r="D489" s="5">
        <v>43170</v>
      </c>
      <c r="E489" s="1">
        <f t="shared" si="78"/>
        <v>2018</v>
      </c>
      <c r="F489" s="1">
        <f t="shared" si="79"/>
        <v>3</v>
      </c>
      <c r="G489" s="4">
        <f t="shared" si="80"/>
        <v>11</v>
      </c>
      <c r="H489" s="8">
        <v>0.33263888888888887</v>
      </c>
      <c r="I489" s="11">
        <f t="shared" si="81"/>
        <v>128.749</v>
      </c>
      <c r="J489" s="11">
        <f t="shared" si="82"/>
        <v>31.749333333333333</v>
      </c>
      <c r="K489" s="9">
        <v>10.316000000000001</v>
      </c>
      <c r="L489" s="9">
        <v>10</v>
      </c>
      <c r="M489" s="9">
        <v>0</v>
      </c>
      <c r="N489" s="12">
        <v>16.816299999999998</v>
      </c>
      <c r="O489" s="11">
        <v>34.70914314153729</v>
      </c>
      <c r="P489" s="31">
        <v>0.31584151058823573</v>
      </c>
      <c r="Q489" s="31">
        <v>1.7520976647058841</v>
      </c>
      <c r="R489" s="26" t="s">
        <v>280</v>
      </c>
      <c r="S489" s="26">
        <v>1</v>
      </c>
      <c r="T489" s="71" t="s">
        <v>626</v>
      </c>
    </row>
    <row r="490" spans="1:20" ht="12.75" customHeight="1">
      <c r="A490" s="1" t="s">
        <v>285</v>
      </c>
      <c r="B490" s="1" t="s">
        <v>291</v>
      </c>
      <c r="C490" s="1" t="s">
        <v>507</v>
      </c>
      <c r="D490" s="5">
        <v>43170</v>
      </c>
      <c r="E490" s="1">
        <f t="shared" si="78"/>
        <v>2018</v>
      </c>
      <c r="F490" s="1">
        <f t="shared" si="79"/>
        <v>3</v>
      </c>
      <c r="G490" s="4">
        <f t="shared" si="80"/>
        <v>11</v>
      </c>
      <c r="H490" s="8">
        <v>0.33263888888888887</v>
      </c>
      <c r="I490" s="11">
        <f t="shared" si="81"/>
        <v>128.749</v>
      </c>
      <c r="J490" s="11">
        <f t="shared" si="82"/>
        <v>31.749333333333333</v>
      </c>
      <c r="K490" s="9">
        <v>20.126999999999999</v>
      </c>
      <c r="L490" s="9">
        <v>20</v>
      </c>
      <c r="M490" s="9">
        <v>0</v>
      </c>
      <c r="N490" s="12">
        <v>16.815300000000001</v>
      </c>
      <c r="O490" s="11">
        <v>34.690263509701062</v>
      </c>
      <c r="P490" s="31">
        <v>0.30794931428571481</v>
      </c>
      <c r="Q490" s="31">
        <v>1.5404450000000018</v>
      </c>
      <c r="R490" s="26" t="s">
        <v>280</v>
      </c>
      <c r="S490" s="26">
        <v>1</v>
      </c>
      <c r="T490" s="71" t="s">
        <v>626</v>
      </c>
    </row>
    <row r="491" spans="1:20" ht="12.75" customHeight="1">
      <c r="A491" s="1" t="s">
        <v>285</v>
      </c>
      <c r="B491" s="1" t="s">
        <v>291</v>
      </c>
      <c r="C491" s="1" t="s">
        <v>507</v>
      </c>
      <c r="D491" s="5">
        <v>43170</v>
      </c>
      <c r="E491" s="1">
        <f t="shared" si="78"/>
        <v>2018</v>
      </c>
      <c r="F491" s="1">
        <f t="shared" si="79"/>
        <v>3</v>
      </c>
      <c r="G491" s="4">
        <f t="shared" si="80"/>
        <v>11</v>
      </c>
      <c r="H491" s="8">
        <v>0.33263888888888887</v>
      </c>
      <c r="I491" s="11">
        <f t="shared" si="81"/>
        <v>128.749</v>
      </c>
      <c r="J491" s="11">
        <f t="shared" si="82"/>
        <v>31.749333333333333</v>
      </c>
      <c r="K491" s="9">
        <v>30.137</v>
      </c>
      <c r="L491" s="9">
        <v>30</v>
      </c>
      <c r="M491" s="9">
        <v>0</v>
      </c>
      <c r="N491" s="12">
        <v>16.819099999999999</v>
      </c>
      <c r="O491" s="11">
        <v>34.692740277409229</v>
      </c>
      <c r="P491" s="31">
        <v>0.274886209411765</v>
      </c>
      <c r="Q491" s="31">
        <v>1.5726878352941203</v>
      </c>
      <c r="R491" s="26" t="s">
        <v>280</v>
      </c>
      <c r="S491" s="26">
        <v>1</v>
      </c>
      <c r="T491" s="71" t="s">
        <v>626</v>
      </c>
    </row>
    <row r="492" spans="1:20" ht="12.75" customHeight="1">
      <c r="A492" s="1" t="s">
        <v>285</v>
      </c>
      <c r="B492" s="1" t="s">
        <v>291</v>
      </c>
      <c r="C492" s="1" t="s">
        <v>507</v>
      </c>
      <c r="D492" s="5">
        <v>43170</v>
      </c>
      <c r="E492" s="1">
        <f t="shared" si="78"/>
        <v>2018</v>
      </c>
      <c r="F492" s="1">
        <f t="shared" si="79"/>
        <v>3</v>
      </c>
      <c r="G492" s="4">
        <f t="shared" si="80"/>
        <v>11</v>
      </c>
      <c r="H492" s="8">
        <v>0.33263888888888887</v>
      </c>
      <c r="I492" s="11">
        <f t="shared" si="81"/>
        <v>128.749</v>
      </c>
      <c r="J492" s="11">
        <f t="shared" si="82"/>
        <v>31.749333333333333</v>
      </c>
      <c r="K492" s="9">
        <v>49.814</v>
      </c>
      <c r="L492" s="9">
        <v>50</v>
      </c>
      <c r="M492" s="9">
        <v>0</v>
      </c>
      <c r="N492" s="12">
        <v>16.809699999999999</v>
      </c>
      <c r="O492" s="11">
        <v>34.711136418331755</v>
      </c>
      <c r="P492" s="31">
        <v>0.21880305882353013</v>
      </c>
      <c r="Q492" s="31">
        <v>1.4623154705882335</v>
      </c>
      <c r="R492" s="26" t="s">
        <v>280</v>
      </c>
      <c r="S492" s="26">
        <v>1</v>
      </c>
      <c r="T492" s="71" t="s">
        <v>626</v>
      </c>
    </row>
    <row r="493" spans="1:20" ht="12.75" customHeight="1">
      <c r="A493" s="1" t="s">
        <v>285</v>
      </c>
      <c r="B493" s="1" t="s">
        <v>291</v>
      </c>
      <c r="C493" s="1" t="s">
        <v>507</v>
      </c>
      <c r="D493" s="5">
        <v>43170</v>
      </c>
      <c r="E493" s="1">
        <f t="shared" si="78"/>
        <v>2018</v>
      </c>
      <c r="F493" s="1">
        <f t="shared" si="79"/>
        <v>3</v>
      </c>
      <c r="G493" s="4">
        <f t="shared" si="80"/>
        <v>11</v>
      </c>
      <c r="H493" s="8">
        <v>0.33263888888888887</v>
      </c>
      <c r="I493" s="11">
        <f t="shared" si="81"/>
        <v>128.749</v>
      </c>
      <c r="J493" s="11">
        <f t="shared" si="82"/>
        <v>31.749333333333333</v>
      </c>
      <c r="K493" s="9">
        <v>75.048000000000002</v>
      </c>
      <c r="L493" s="9">
        <v>75</v>
      </c>
      <c r="M493" s="9">
        <v>0</v>
      </c>
      <c r="N493" s="12">
        <v>16.660900000000002</v>
      </c>
      <c r="O493" s="11">
        <v>34.667561352548788</v>
      </c>
      <c r="P493" s="31">
        <v>0.26527571647058834</v>
      </c>
      <c r="Q493" s="31">
        <v>1.6318381117647061</v>
      </c>
      <c r="R493" s="26" t="s">
        <v>280</v>
      </c>
      <c r="S493" s="26">
        <v>1</v>
      </c>
      <c r="T493" s="71" t="s">
        <v>626</v>
      </c>
    </row>
    <row r="494" spans="1:20" ht="12.75" customHeight="1">
      <c r="A494" s="1" t="s">
        <v>285</v>
      </c>
      <c r="B494" s="1" t="s">
        <v>291</v>
      </c>
      <c r="C494" s="1" t="s">
        <v>507</v>
      </c>
      <c r="D494" s="5">
        <v>43170</v>
      </c>
      <c r="E494" s="1">
        <f t="shared" si="78"/>
        <v>2018</v>
      </c>
      <c r="F494" s="1">
        <f t="shared" si="79"/>
        <v>3</v>
      </c>
      <c r="G494" s="4">
        <f t="shared" si="80"/>
        <v>11</v>
      </c>
      <c r="H494" s="8">
        <v>0.33263888888888887</v>
      </c>
      <c r="I494" s="11">
        <f t="shared" si="81"/>
        <v>128.749</v>
      </c>
      <c r="J494" s="11">
        <f t="shared" si="82"/>
        <v>31.749333333333333</v>
      </c>
      <c r="K494" s="9">
        <v>99.811999999999998</v>
      </c>
      <c r="L494" s="9">
        <v>100</v>
      </c>
      <c r="M494" s="9">
        <v>0</v>
      </c>
      <c r="N494" s="12">
        <v>16.562100000000001</v>
      </c>
      <c r="O494" s="11">
        <v>34.666697303705384</v>
      </c>
      <c r="P494" s="31">
        <v>0.29952880588235309</v>
      </c>
      <c r="Q494" s="31">
        <v>1.6488007470588233</v>
      </c>
      <c r="R494" s="26" t="s">
        <v>280</v>
      </c>
      <c r="S494" s="26">
        <v>1</v>
      </c>
      <c r="T494" s="71" t="s">
        <v>626</v>
      </c>
    </row>
    <row r="495" spans="1:20" ht="12.75" customHeight="1">
      <c r="A495" s="1" t="s">
        <v>285</v>
      </c>
      <c r="B495" s="1" t="s">
        <v>291</v>
      </c>
      <c r="C495" s="1" t="s">
        <v>507</v>
      </c>
      <c r="D495" s="5">
        <v>43170</v>
      </c>
      <c r="E495" s="1">
        <f t="shared" si="78"/>
        <v>2018</v>
      </c>
      <c r="F495" s="1">
        <f t="shared" si="79"/>
        <v>3</v>
      </c>
      <c r="G495" s="4">
        <f t="shared" si="80"/>
        <v>11</v>
      </c>
      <c r="H495" s="8">
        <v>0.33263888888888887</v>
      </c>
      <c r="I495" s="11">
        <f t="shared" si="81"/>
        <v>128.749</v>
      </c>
      <c r="J495" s="11">
        <f t="shared" si="82"/>
        <v>31.749333333333333</v>
      </c>
      <c r="K495" s="9">
        <v>124.471</v>
      </c>
      <c r="L495" s="9">
        <v>125</v>
      </c>
      <c r="M495" s="9">
        <v>0</v>
      </c>
      <c r="N495" s="12">
        <v>16.468900000000001</v>
      </c>
      <c r="O495" s="11">
        <v>34.663147756936503</v>
      </c>
      <c r="P495" s="31">
        <v>0.29695563529411806</v>
      </c>
      <c r="Q495" s="31">
        <v>1.5734944823529435</v>
      </c>
      <c r="R495" s="26" t="s">
        <v>280</v>
      </c>
      <c r="S495" s="26">
        <v>1</v>
      </c>
      <c r="T495" s="71" t="s">
        <v>626</v>
      </c>
    </row>
    <row r="496" spans="1:20" ht="12.75" customHeight="1">
      <c r="A496" s="1" t="s">
        <v>285</v>
      </c>
      <c r="B496" s="1" t="s">
        <v>291</v>
      </c>
      <c r="C496" s="1" t="s">
        <v>507</v>
      </c>
      <c r="D496" s="5">
        <v>43170</v>
      </c>
      <c r="E496" s="1">
        <f t="shared" si="78"/>
        <v>2018</v>
      </c>
      <c r="F496" s="1">
        <f t="shared" si="79"/>
        <v>3</v>
      </c>
      <c r="G496" s="4">
        <f t="shared" si="80"/>
        <v>11</v>
      </c>
      <c r="H496" s="8">
        <v>0.33263888888888887</v>
      </c>
      <c r="I496" s="11">
        <f t="shared" si="81"/>
        <v>128.749</v>
      </c>
      <c r="J496" s="11">
        <f t="shared" si="82"/>
        <v>31.749333333333333</v>
      </c>
      <c r="K496" s="9">
        <v>149.482</v>
      </c>
      <c r="L496" s="9">
        <v>150</v>
      </c>
      <c r="M496" s="9">
        <v>0</v>
      </c>
      <c r="N496" s="12">
        <v>15.733599999999999</v>
      </c>
      <c r="O496" s="11">
        <v>34.680100282236843</v>
      </c>
      <c r="P496" s="31">
        <v>0.30882812470588283</v>
      </c>
      <c r="Q496" s="31">
        <v>1.5056324176470621</v>
      </c>
      <c r="R496" s="26" t="s">
        <v>280</v>
      </c>
      <c r="S496" s="26">
        <v>1</v>
      </c>
      <c r="T496" s="71" t="s">
        <v>626</v>
      </c>
    </row>
    <row r="497" spans="1:20" ht="12.75" customHeight="1">
      <c r="A497" s="1" t="s">
        <v>285</v>
      </c>
      <c r="B497" s="1" t="s">
        <v>291</v>
      </c>
      <c r="C497" s="1" t="s">
        <v>507</v>
      </c>
      <c r="D497" s="5">
        <v>43170</v>
      </c>
      <c r="E497" s="1">
        <f t="shared" si="78"/>
        <v>2018</v>
      </c>
      <c r="F497" s="1">
        <f t="shared" si="79"/>
        <v>3</v>
      </c>
      <c r="G497" s="4">
        <f t="shared" si="80"/>
        <v>11</v>
      </c>
      <c r="H497" s="8">
        <v>0.33263888888888887</v>
      </c>
      <c r="I497" s="11">
        <f t="shared" si="81"/>
        <v>128.749</v>
      </c>
      <c r="J497" s="11">
        <f t="shared" si="82"/>
        <v>31.749333333333333</v>
      </c>
      <c r="K497" s="9">
        <v>199.60900000000001</v>
      </c>
      <c r="L497" s="9">
        <v>200</v>
      </c>
      <c r="M497" s="9">
        <v>0</v>
      </c>
      <c r="N497" s="12">
        <v>14.760300000000001</v>
      </c>
      <c r="O497" s="11">
        <v>34.650874602854145</v>
      </c>
      <c r="P497" s="31">
        <v>0.22548133411764737</v>
      </c>
      <c r="Q497" s="31">
        <v>1.1317745529411756</v>
      </c>
      <c r="R497" s="26" t="s">
        <v>280</v>
      </c>
      <c r="S497" s="26">
        <v>1</v>
      </c>
      <c r="T497" s="71" t="s">
        <v>626</v>
      </c>
    </row>
    <row r="498" spans="1:20" ht="12.75" customHeight="1">
      <c r="A498" s="1" t="s">
        <v>285</v>
      </c>
      <c r="B498" s="1" t="s">
        <v>291</v>
      </c>
      <c r="C498" s="1" t="s">
        <v>507</v>
      </c>
      <c r="D498" s="5">
        <v>43170</v>
      </c>
      <c r="E498" s="1">
        <f t="shared" si="78"/>
        <v>2018</v>
      </c>
      <c r="F498" s="1">
        <f t="shared" si="79"/>
        <v>3</v>
      </c>
      <c r="G498" s="4">
        <f t="shared" si="80"/>
        <v>11</v>
      </c>
      <c r="H498" s="8">
        <v>0.33263888888888887</v>
      </c>
      <c r="I498" s="11">
        <f t="shared" si="81"/>
        <v>128.749</v>
      </c>
      <c r="J498" s="11">
        <f t="shared" si="82"/>
        <v>31.749333333333333</v>
      </c>
      <c r="K498" s="9">
        <v>298.53800000000001</v>
      </c>
      <c r="L498" s="9">
        <v>300</v>
      </c>
      <c r="M498" s="9">
        <v>0</v>
      </c>
      <c r="N498" s="12">
        <v>11.1081</v>
      </c>
      <c r="O498" s="11">
        <v>34.405783367344952</v>
      </c>
      <c r="P498" s="31">
        <v>0.13155462352941183</v>
      </c>
      <c r="Q498" s="31">
        <v>0.25797988823529394</v>
      </c>
      <c r="R498" s="26" t="s">
        <v>280</v>
      </c>
      <c r="S498" s="26">
        <v>1</v>
      </c>
      <c r="T498" s="71" t="s">
        <v>626</v>
      </c>
    </row>
    <row r="499" spans="1:20" ht="12.75" customHeight="1">
      <c r="A499" s="1" t="s">
        <v>285</v>
      </c>
      <c r="B499" s="1" t="s">
        <v>291</v>
      </c>
      <c r="C499" s="1" t="s">
        <v>507</v>
      </c>
      <c r="D499" s="5">
        <v>43170</v>
      </c>
      <c r="E499" s="1">
        <f t="shared" si="78"/>
        <v>2018</v>
      </c>
      <c r="F499" s="1">
        <f t="shared" si="79"/>
        <v>3</v>
      </c>
      <c r="G499" s="4">
        <f t="shared" si="80"/>
        <v>11</v>
      </c>
      <c r="H499" s="8">
        <v>0.33263888888888887</v>
      </c>
      <c r="I499" s="11">
        <f t="shared" si="81"/>
        <v>128.749</v>
      </c>
      <c r="J499" s="11">
        <f t="shared" si="82"/>
        <v>31.749333333333333</v>
      </c>
      <c r="K499" s="9">
        <v>496.58600000000001</v>
      </c>
      <c r="L499" s="9">
        <v>500</v>
      </c>
      <c r="M499" s="9">
        <v>0</v>
      </c>
      <c r="N499" s="12">
        <v>7.3901000000000003</v>
      </c>
      <c r="O499" s="11">
        <v>34.34330169995355</v>
      </c>
      <c r="P499" s="31">
        <v>-3.3176167058823314E-2</v>
      </c>
      <c r="Q499" s="31">
        <v>-0.70024767647058894</v>
      </c>
      <c r="R499" s="26" t="s">
        <v>280</v>
      </c>
      <c r="S499" s="26">
        <v>1</v>
      </c>
      <c r="T499" s="71" t="s">
        <v>626</v>
      </c>
    </row>
    <row r="500" spans="1:20" ht="12.75" customHeight="1">
      <c r="P500" s="31"/>
      <c r="Q500" s="31"/>
      <c r="R500" s="26"/>
      <c r="S500" s="26"/>
      <c r="T500" s="71"/>
    </row>
    <row r="501" spans="1:20" s="14" customFormat="1" ht="12.75" customHeight="1">
      <c r="A501" s="19" t="s">
        <v>392</v>
      </c>
      <c r="B501" s="19" t="s">
        <v>368</v>
      </c>
      <c r="C501" s="19" t="s">
        <v>515</v>
      </c>
      <c r="D501" s="34">
        <v>43305</v>
      </c>
      <c r="E501" s="19">
        <v>2018</v>
      </c>
      <c r="F501" s="19">
        <v>7</v>
      </c>
      <c r="G501" s="30">
        <v>24</v>
      </c>
      <c r="H501" s="29">
        <v>0.71924768518518523</v>
      </c>
      <c r="I501" s="35">
        <v>133.51533333333333</v>
      </c>
      <c r="J501" s="35">
        <v>37.768333333333331</v>
      </c>
      <c r="K501" s="28">
        <v>10</v>
      </c>
      <c r="L501" s="28">
        <v>10</v>
      </c>
      <c r="M501" s="28">
        <v>0</v>
      </c>
      <c r="N501" s="36">
        <v>20.058399999999999</v>
      </c>
      <c r="O501" s="35">
        <v>34.189799999999998</v>
      </c>
      <c r="P501" s="20">
        <v>0.13712227176470604</v>
      </c>
      <c r="Q501" s="20">
        <v>0.46363761411764948</v>
      </c>
      <c r="R501" s="26" t="s">
        <v>393</v>
      </c>
      <c r="S501" s="26">
        <v>1</v>
      </c>
      <c r="T501" s="71" t="s">
        <v>626</v>
      </c>
    </row>
    <row r="502" spans="1:20" s="14" customFormat="1" ht="12.75" customHeight="1">
      <c r="A502" s="19" t="s">
        <v>392</v>
      </c>
      <c r="B502" s="19" t="s">
        <v>368</v>
      </c>
      <c r="C502" s="19" t="s">
        <v>515</v>
      </c>
      <c r="D502" s="34">
        <v>43305</v>
      </c>
      <c r="E502" s="19">
        <v>2018</v>
      </c>
      <c r="F502" s="19">
        <v>7</v>
      </c>
      <c r="G502" s="30">
        <v>24</v>
      </c>
      <c r="H502" s="29">
        <v>0.71881944444444434</v>
      </c>
      <c r="I502" s="35">
        <v>133.51533333333333</v>
      </c>
      <c r="J502" s="35">
        <v>37.768333333333331</v>
      </c>
      <c r="K502" s="28">
        <v>20</v>
      </c>
      <c r="L502" s="28">
        <v>20</v>
      </c>
      <c r="M502" s="28">
        <v>0</v>
      </c>
      <c r="N502" s="36">
        <v>15.0054</v>
      </c>
      <c r="O502" s="35">
        <v>34.312600000000003</v>
      </c>
      <c r="P502" s="20">
        <v>0.17201719529411807</v>
      </c>
      <c r="Q502" s="20">
        <v>0.93524628235294394</v>
      </c>
      <c r="R502" s="26" t="s">
        <v>393</v>
      </c>
      <c r="S502" s="26">
        <v>1</v>
      </c>
      <c r="T502" s="71" t="s">
        <v>626</v>
      </c>
    </row>
    <row r="503" spans="1:20" s="14" customFormat="1" ht="12.75" customHeight="1">
      <c r="A503" s="19" t="s">
        <v>392</v>
      </c>
      <c r="B503" s="19" t="s">
        <v>368</v>
      </c>
      <c r="C503" s="19" t="s">
        <v>515</v>
      </c>
      <c r="D503" s="34">
        <v>43305</v>
      </c>
      <c r="E503" s="19">
        <v>2018</v>
      </c>
      <c r="F503" s="19">
        <v>7</v>
      </c>
      <c r="G503" s="30">
        <v>24</v>
      </c>
      <c r="H503" s="29">
        <v>0.71805555555555556</v>
      </c>
      <c r="I503" s="35">
        <v>133.51533333333333</v>
      </c>
      <c r="J503" s="35">
        <v>37.768333333333331</v>
      </c>
      <c r="K503" s="28">
        <v>30</v>
      </c>
      <c r="L503" s="28">
        <v>30</v>
      </c>
      <c r="M503" s="28">
        <v>0</v>
      </c>
      <c r="N503" s="36">
        <v>13.511699999999999</v>
      </c>
      <c r="O503" s="35">
        <v>34.335599999999999</v>
      </c>
      <c r="P503" s="20">
        <v>0.1433755388235296</v>
      </c>
      <c r="Q503" s="20">
        <v>0.77447639058823547</v>
      </c>
      <c r="R503" s="26" t="s">
        <v>393</v>
      </c>
      <c r="S503" s="26">
        <v>1</v>
      </c>
      <c r="T503" s="71" t="s">
        <v>626</v>
      </c>
    </row>
    <row r="504" spans="1:20" s="14" customFormat="1" ht="12.75" customHeight="1">
      <c r="A504" s="19" t="s">
        <v>392</v>
      </c>
      <c r="B504" s="19" t="s">
        <v>368</v>
      </c>
      <c r="C504" s="19" t="s">
        <v>515</v>
      </c>
      <c r="D504" s="34">
        <v>43305</v>
      </c>
      <c r="E504" s="19">
        <v>2018</v>
      </c>
      <c r="F504" s="19">
        <v>7</v>
      </c>
      <c r="G504" s="30">
        <v>24</v>
      </c>
      <c r="H504" s="29">
        <v>0.71771990740740732</v>
      </c>
      <c r="I504" s="35">
        <v>133.51533333333333</v>
      </c>
      <c r="J504" s="35">
        <v>37.768333333333331</v>
      </c>
      <c r="K504" s="28">
        <v>40</v>
      </c>
      <c r="L504" s="28">
        <v>40</v>
      </c>
      <c r="M504" s="28">
        <v>0</v>
      </c>
      <c r="N504" s="36">
        <v>11.5586</v>
      </c>
      <c r="O504" s="35">
        <v>34.313299999999998</v>
      </c>
      <c r="P504" s="20">
        <v>0.14125886235294116</v>
      </c>
      <c r="Q504" s="20">
        <v>0.75447569882352994</v>
      </c>
      <c r="R504" s="26" t="s">
        <v>393</v>
      </c>
      <c r="S504" s="26">
        <v>1</v>
      </c>
      <c r="T504" s="71" t="s">
        <v>626</v>
      </c>
    </row>
    <row r="505" spans="1:20" s="14" customFormat="1" ht="12.75" customHeight="1">
      <c r="A505" s="19" t="s">
        <v>392</v>
      </c>
      <c r="B505" s="19" t="s">
        <v>368</v>
      </c>
      <c r="C505" s="19" t="s">
        <v>515</v>
      </c>
      <c r="D505" s="34">
        <v>43305</v>
      </c>
      <c r="E505" s="19">
        <v>2018</v>
      </c>
      <c r="F505" s="19">
        <v>7</v>
      </c>
      <c r="G505" s="30">
        <v>24</v>
      </c>
      <c r="H505" s="29">
        <v>0.71734953703703708</v>
      </c>
      <c r="I505" s="35">
        <v>133.51533333333333</v>
      </c>
      <c r="J505" s="35">
        <v>37.768333333333331</v>
      </c>
      <c r="K505" s="28">
        <v>50</v>
      </c>
      <c r="L505" s="28">
        <v>50</v>
      </c>
      <c r="M505" s="28">
        <v>0</v>
      </c>
      <c r="N505" s="36">
        <v>10.5472</v>
      </c>
      <c r="O505" s="35">
        <v>34.311199999999999</v>
      </c>
      <c r="P505" s="20">
        <v>3.0052901176470304E-2</v>
      </c>
      <c r="Q505" s="20">
        <v>0.4040043529411772</v>
      </c>
      <c r="R505" s="26" t="s">
        <v>393</v>
      </c>
      <c r="S505" s="26">
        <v>1</v>
      </c>
      <c r="T505" s="71" t="s">
        <v>626</v>
      </c>
    </row>
    <row r="506" spans="1:20" s="14" customFormat="1" ht="12.75" customHeight="1">
      <c r="A506" s="19" t="s">
        <v>392</v>
      </c>
      <c r="B506" s="19" t="s">
        <v>368</v>
      </c>
      <c r="C506" s="19" t="s">
        <v>515</v>
      </c>
      <c r="D506" s="34">
        <v>43305</v>
      </c>
      <c r="E506" s="19">
        <v>2018</v>
      </c>
      <c r="F506" s="19">
        <v>7</v>
      </c>
      <c r="G506" s="30">
        <v>24</v>
      </c>
      <c r="H506" s="29">
        <v>0.71701388888888884</v>
      </c>
      <c r="I506" s="35">
        <v>133.51533333333333</v>
      </c>
      <c r="J506" s="35">
        <v>37.768333333333331</v>
      </c>
      <c r="K506" s="28">
        <v>60</v>
      </c>
      <c r="L506" s="28">
        <v>60</v>
      </c>
      <c r="M506" s="28">
        <v>0</v>
      </c>
      <c r="N506" s="36">
        <v>9.3872</v>
      </c>
      <c r="O506" s="35">
        <v>34.278799999999997</v>
      </c>
      <c r="P506" s="20">
        <v>3.5398327941176255E-2</v>
      </c>
      <c r="Q506" s="20">
        <v>0.30302338235294179</v>
      </c>
      <c r="R506" s="26" t="s">
        <v>393</v>
      </c>
      <c r="S506" s="26">
        <v>1</v>
      </c>
      <c r="T506" s="71" t="s">
        <v>626</v>
      </c>
    </row>
    <row r="507" spans="1:20" s="14" customFormat="1" ht="12.75" customHeight="1">
      <c r="A507" s="19" t="s">
        <v>392</v>
      </c>
      <c r="B507" s="19" t="s">
        <v>368</v>
      </c>
      <c r="C507" s="19" t="s">
        <v>515</v>
      </c>
      <c r="D507" s="34">
        <v>43305</v>
      </c>
      <c r="E507" s="19">
        <v>2018</v>
      </c>
      <c r="F507" s="19">
        <v>7</v>
      </c>
      <c r="G507" s="30">
        <v>24</v>
      </c>
      <c r="H507" s="29">
        <v>0.71646990740740746</v>
      </c>
      <c r="I507" s="35">
        <v>133.51533333333333</v>
      </c>
      <c r="J507" s="35">
        <v>37.768333333333331</v>
      </c>
      <c r="K507" s="28">
        <v>80</v>
      </c>
      <c r="L507" s="28">
        <v>80</v>
      </c>
      <c r="M507" s="28">
        <v>0</v>
      </c>
      <c r="N507" s="36">
        <v>7.4617000000000004</v>
      </c>
      <c r="O507" s="35">
        <v>34.1982</v>
      </c>
      <c r="P507" s="20">
        <v>6.1976064705882017E-2</v>
      </c>
      <c r="Q507" s="20">
        <v>0.23532841176470498</v>
      </c>
      <c r="R507" s="26" t="s">
        <v>393</v>
      </c>
      <c r="S507" s="26">
        <v>1</v>
      </c>
      <c r="T507" s="71" t="s">
        <v>626</v>
      </c>
    </row>
    <row r="508" spans="1:20" s="14" customFormat="1" ht="12.75" customHeight="1">
      <c r="A508" s="19" t="s">
        <v>392</v>
      </c>
      <c r="B508" s="19" t="s">
        <v>368</v>
      </c>
      <c r="C508" s="19" t="s">
        <v>515</v>
      </c>
      <c r="D508" s="34">
        <v>43305</v>
      </c>
      <c r="E508" s="19">
        <v>2018</v>
      </c>
      <c r="F508" s="19">
        <v>7</v>
      </c>
      <c r="G508" s="30">
        <v>24</v>
      </c>
      <c r="H508" s="29">
        <v>0.71596064814814808</v>
      </c>
      <c r="I508" s="35">
        <v>133.51533333333333</v>
      </c>
      <c r="J508" s="35">
        <v>37.768333333333331</v>
      </c>
      <c r="K508" s="28">
        <v>100</v>
      </c>
      <c r="L508" s="28">
        <v>100</v>
      </c>
      <c r="M508" s="28">
        <v>0</v>
      </c>
      <c r="N508" s="36">
        <v>6.7186000000000003</v>
      </c>
      <c r="O508" s="35">
        <v>34.151600000000002</v>
      </c>
      <c r="P508" s="20">
        <v>-4.5494203529412136E-2</v>
      </c>
      <c r="Q508" s="20">
        <v>-0.15807985882353037</v>
      </c>
      <c r="R508" s="26" t="s">
        <v>393</v>
      </c>
      <c r="S508" s="26">
        <v>1</v>
      </c>
      <c r="T508" s="71" t="s">
        <v>626</v>
      </c>
    </row>
    <row r="509" spans="1:20" s="14" customFormat="1" ht="12.75" customHeight="1">
      <c r="A509" s="19" t="s">
        <v>392</v>
      </c>
      <c r="B509" s="19" t="s">
        <v>368</v>
      </c>
      <c r="C509" s="19" t="s">
        <v>515</v>
      </c>
      <c r="D509" s="34">
        <v>43305</v>
      </c>
      <c r="E509" s="19">
        <v>2018</v>
      </c>
      <c r="F509" s="19">
        <v>7</v>
      </c>
      <c r="G509" s="30">
        <v>24</v>
      </c>
      <c r="H509" s="29">
        <v>0.71538194444444436</v>
      </c>
      <c r="I509" s="35">
        <v>133.51533333333333</v>
      </c>
      <c r="J509" s="35">
        <v>37.768333333333331</v>
      </c>
      <c r="K509" s="28">
        <v>125</v>
      </c>
      <c r="L509" s="28">
        <v>125</v>
      </c>
      <c r="M509" s="28">
        <v>0</v>
      </c>
      <c r="N509" s="36">
        <v>4.8628</v>
      </c>
      <c r="O509" s="35">
        <v>34.083599999999997</v>
      </c>
      <c r="P509" s="20">
        <v>-2.3132451764706019E-2</v>
      </c>
      <c r="Q509" s="20">
        <v>-0.47375552941176302</v>
      </c>
      <c r="R509" s="26" t="s">
        <v>393</v>
      </c>
      <c r="S509" s="26">
        <v>1</v>
      </c>
      <c r="T509" s="71" t="s">
        <v>626</v>
      </c>
    </row>
    <row r="510" spans="1:20" s="14" customFormat="1" ht="12.75" customHeight="1">
      <c r="A510" s="19" t="s">
        <v>392</v>
      </c>
      <c r="B510" s="19" t="s">
        <v>368</v>
      </c>
      <c r="C510" s="19" t="s">
        <v>515</v>
      </c>
      <c r="D510" s="34">
        <v>43305</v>
      </c>
      <c r="E510" s="19">
        <v>2018</v>
      </c>
      <c r="F510" s="19">
        <v>7</v>
      </c>
      <c r="G510" s="30">
        <v>24</v>
      </c>
      <c r="H510" s="29">
        <v>0.71480324074074064</v>
      </c>
      <c r="I510" s="35">
        <v>133.51533333333333</v>
      </c>
      <c r="J510" s="35">
        <v>37.768333333333331</v>
      </c>
      <c r="K510" s="28">
        <v>150</v>
      </c>
      <c r="L510" s="28">
        <v>150</v>
      </c>
      <c r="M510" s="28">
        <v>0</v>
      </c>
      <c r="N510" s="36">
        <v>3.6358000000000001</v>
      </c>
      <c r="O510" s="35">
        <v>34.04</v>
      </c>
      <c r="P510" s="20">
        <v>-6.538193999999975E-2</v>
      </c>
      <c r="Q510" s="20">
        <v>-0.77670420000000107</v>
      </c>
      <c r="R510" s="26" t="s">
        <v>393</v>
      </c>
      <c r="S510" s="26">
        <v>1</v>
      </c>
      <c r="T510" s="71" t="s">
        <v>626</v>
      </c>
    </row>
    <row r="511" spans="1:20" s="14" customFormat="1" ht="12.75" customHeight="1">
      <c r="A511" s="19" t="s">
        <v>392</v>
      </c>
      <c r="B511" s="19" t="s">
        <v>368</v>
      </c>
      <c r="C511" s="19" t="s">
        <v>515</v>
      </c>
      <c r="D511" s="34">
        <v>43305</v>
      </c>
      <c r="E511" s="19">
        <v>2018</v>
      </c>
      <c r="F511" s="19">
        <v>7</v>
      </c>
      <c r="G511" s="30">
        <v>24</v>
      </c>
      <c r="H511" s="29">
        <v>0.71379629629629626</v>
      </c>
      <c r="I511" s="35">
        <v>133.51533333333333</v>
      </c>
      <c r="J511" s="35">
        <v>37.768333333333331</v>
      </c>
      <c r="K511" s="28">
        <v>200</v>
      </c>
      <c r="L511" s="28">
        <v>200</v>
      </c>
      <c r="M511" s="28">
        <v>0</v>
      </c>
      <c r="N511" s="36">
        <v>1.9191</v>
      </c>
      <c r="O511" s="35">
        <v>34.023000000000003</v>
      </c>
      <c r="P511" s="20">
        <v>1.1635231764705711E-2</v>
      </c>
      <c r="Q511" s="20">
        <v>0.24219292941176462</v>
      </c>
      <c r="R511" s="26" t="s">
        <v>393</v>
      </c>
      <c r="S511" s="26">
        <v>1</v>
      </c>
      <c r="T511" s="71" t="s">
        <v>626</v>
      </c>
    </row>
    <row r="512" spans="1:20" s="14" customFormat="1" ht="12.75" customHeight="1">
      <c r="A512" s="19" t="s">
        <v>392</v>
      </c>
      <c r="B512" s="19" t="s">
        <v>368</v>
      </c>
      <c r="C512" s="19" t="s">
        <v>515</v>
      </c>
      <c r="D512" s="34">
        <v>43305</v>
      </c>
      <c r="E512" s="19">
        <v>2018</v>
      </c>
      <c r="F512" s="19">
        <v>7</v>
      </c>
      <c r="G512" s="30">
        <v>24</v>
      </c>
      <c r="H512" s="29">
        <v>0.7123032407407407</v>
      </c>
      <c r="I512" s="35">
        <v>133.51533333333333</v>
      </c>
      <c r="J512" s="35">
        <v>37.768333333333331</v>
      </c>
      <c r="K512" s="28">
        <v>300</v>
      </c>
      <c r="L512" s="28">
        <v>300</v>
      </c>
      <c r="M512" s="28">
        <v>0</v>
      </c>
      <c r="N512" s="36">
        <v>0.95569999999999999</v>
      </c>
      <c r="O512" s="35">
        <v>34.052700000000002</v>
      </c>
      <c r="P512" s="20">
        <v>-4.2805056470588188E-2</v>
      </c>
      <c r="Q512" s="20">
        <v>-0.77444674117647061</v>
      </c>
      <c r="R512" s="26" t="s">
        <v>393</v>
      </c>
      <c r="S512" s="26">
        <v>1</v>
      </c>
      <c r="T512" s="71" t="s">
        <v>626</v>
      </c>
    </row>
    <row r="513" spans="1:20" s="14" customFormat="1" ht="12.75" customHeight="1">
      <c r="A513" s="19" t="s">
        <v>392</v>
      </c>
      <c r="B513" s="19" t="s">
        <v>368</v>
      </c>
      <c r="C513" s="19" t="s">
        <v>515</v>
      </c>
      <c r="D513" s="34">
        <v>43305</v>
      </c>
      <c r="E513" s="19">
        <v>2018</v>
      </c>
      <c r="F513" s="19">
        <v>7</v>
      </c>
      <c r="G513" s="30">
        <v>24</v>
      </c>
      <c r="H513" s="29">
        <v>0.71082175925925928</v>
      </c>
      <c r="I513" s="35">
        <v>133.51533333333333</v>
      </c>
      <c r="J513" s="35">
        <v>37.768333333333331</v>
      </c>
      <c r="K513" s="28">
        <v>400</v>
      </c>
      <c r="L513" s="28">
        <v>400</v>
      </c>
      <c r="M513" s="28">
        <v>0</v>
      </c>
      <c r="N513" s="36">
        <v>0.76329999999999998</v>
      </c>
      <c r="O513" s="35">
        <v>34.061999999999998</v>
      </c>
      <c r="P513" s="20">
        <v>-8.9285469411764851E-2</v>
      </c>
      <c r="Q513" s="20">
        <v>-0.9518300235294106</v>
      </c>
      <c r="R513" s="26" t="s">
        <v>393</v>
      </c>
      <c r="S513" s="26">
        <v>1</v>
      </c>
      <c r="T513" s="71" t="s">
        <v>626</v>
      </c>
    </row>
    <row r="514" spans="1:20" s="14" customFormat="1" ht="12.75" customHeight="1">
      <c r="A514" s="19" t="s">
        <v>392</v>
      </c>
      <c r="B514" s="19" t="s">
        <v>368</v>
      </c>
      <c r="C514" s="19" t="s">
        <v>515</v>
      </c>
      <c r="D514" s="34">
        <v>43305</v>
      </c>
      <c r="E514" s="19">
        <v>2018</v>
      </c>
      <c r="F514" s="19">
        <v>7</v>
      </c>
      <c r="G514" s="30">
        <v>24</v>
      </c>
      <c r="H514" s="29">
        <v>0.70928240740740733</v>
      </c>
      <c r="I514" s="35">
        <v>133.51533333333333</v>
      </c>
      <c r="J514" s="35">
        <v>37.768333333333331</v>
      </c>
      <c r="K514" s="28">
        <v>500</v>
      </c>
      <c r="L514" s="28">
        <v>500</v>
      </c>
      <c r="M514" s="28">
        <v>0</v>
      </c>
      <c r="N514" s="36">
        <v>0.62409999999999999</v>
      </c>
      <c r="O514" s="35">
        <v>34.068100000000001</v>
      </c>
      <c r="P514" s="20">
        <v>-1.0236497647059029E-2</v>
      </c>
      <c r="Q514" s="20">
        <v>-0.59649909411765023</v>
      </c>
      <c r="R514" s="26" t="s">
        <v>393</v>
      </c>
      <c r="S514" s="26">
        <v>1</v>
      </c>
      <c r="T514" s="71" t="s">
        <v>626</v>
      </c>
    </row>
    <row r="515" spans="1:20" s="14" customFormat="1" ht="12.75" customHeight="1">
      <c r="A515" s="19"/>
      <c r="B515" s="19"/>
      <c r="C515" s="19"/>
      <c r="D515" s="34"/>
      <c r="E515" s="19"/>
      <c r="F515" s="19"/>
      <c r="G515" s="30"/>
      <c r="H515" s="29"/>
      <c r="I515" s="35"/>
      <c r="J515" s="35"/>
      <c r="K515" s="28"/>
      <c r="L515" s="28"/>
      <c r="M515" s="28"/>
      <c r="N515" s="36"/>
      <c r="O515" s="35"/>
      <c r="P515" s="20"/>
      <c r="Q515" s="20"/>
      <c r="R515" s="26"/>
      <c r="S515" s="26"/>
      <c r="T515" s="71"/>
    </row>
    <row r="516" spans="1:20" s="14" customFormat="1" ht="12.75" customHeight="1">
      <c r="A516" s="19" t="s">
        <v>392</v>
      </c>
      <c r="B516" s="19" t="s">
        <v>369</v>
      </c>
      <c r="C516" s="19" t="s">
        <v>509</v>
      </c>
      <c r="D516" s="34">
        <v>43307</v>
      </c>
      <c r="E516" s="19">
        <v>2018</v>
      </c>
      <c r="F516" s="19">
        <v>7</v>
      </c>
      <c r="G516" s="30">
        <v>26</v>
      </c>
      <c r="H516" s="29">
        <v>0.38596064814814812</v>
      </c>
      <c r="I516" s="35">
        <v>134.98783333333333</v>
      </c>
      <c r="J516" s="35">
        <v>36.998333333333335</v>
      </c>
      <c r="K516" s="28">
        <v>500</v>
      </c>
      <c r="L516" s="28">
        <v>500</v>
      </c>
      <c r="M516" s="28">
        <v>0</v>
      </c>
      <c r="N516" s="36">
        <v>0.59109999999999996</v>
      </c>
      <c r="O516" s="35">
        <v>34.069699999999997</v>
      </c>
      <c r="P516" s="20">
        <v>1.8902867058823603E-2</v>
      </c>
      <c r="Q516" s="20">
        <v>-0.65894898352940956</v>
      </c>
      <c r="R516" s="26" t="s">
        <v>393</v>
      </c>
      <c r="S516" s="26">
        <v>1</v>
      </c>
      <c r="T516" s="71" t="s">
        <v>626</v>
      </c>
    </row>
    <row r="517" spans="1:20" s="14" customFormat="1" ht="12.75" customHeight="1">
      <c r="A517" s="19" t="s">
        <v>392</v>
      </c>
      <c r="B517" s="19" t="s">
        <v>369</v>
      </c>
      <c r="C517" s="19" t="s">
        <v>509</v>
      </c>
      <c r="D517" s="34">
        <v>43307</v>
      </c>
      <c r="E517" s="19">
        <v>2018</v>
      </c>
      <c r="F517" s="19">
        <v>7</v>
      </c>
      <c r="G517" s="30">
        <v>26</v>
      </c>
      <c r="H517" s="29">
        <v>0.38773148148148145</v>
      </c>
      <c r="I517" s="35">
        <v>134.98783333333333</v>
      </c>
      <c r="J517" s="35">
        <v>36.998333333333335</v>
      </c>
      <c r="K517" s="28">
        <v>400</v>
      </c>
      <c r="L517" s="28">
        <v>400</v>
      </c>
      <c r="M517" s="28">
        <v>0</v>
      </c>
      <c r="N517" s="36">
        <v>0.6774</v>
      </c>
      <c r="O517" s="35">
        <v>34.065800000000003</v>
      </c>
      <c r="P517" s="20">
        <v>-4.2311416470588448E-2</v>
      </c>
      <c r="Q517" s="20">
        <v>-0.81200581176470443</v>
      </c>
      <c r="R517" s="26" t="s">
        <v>393</v>
      </c>
      <c r="S517" s="26">
        <v>1</v>
      </c>
      <c r="T517" s="71" t="s">
        <v>626</v>
      </c>
    </row>
    <row r="518" spans="1:20" s="14" customFormat="1" ht="12.75" customHeight="1">
      <c r="A518" s="19" t="s">
        <v>392</v>
      </c>
      <c r="B518" s="19" t="s">
        <v>369</v>
      </c>
      <c r="C518" s="19" t="s">
        <v>509</v>
      </c>
      <c r="D518" s="34">
        <v>43307</v>
      </c>
      <c r="E518" s="19">
        <v>2018</v>
      </c>
      <c r="F518" s="19">
        <v>7</v>
      </c>
      <c r="G518" s="30">
        <v>26</v>
      </c>
      <c r="H518" s="29">
        <v>0.38965277777777779</v>
      </c>
      <c r="I518" s="35">
        <v>134.98783333333333</v>
      </c>
      <c r="J518" s="35">
        <v>36.998333333333335</v>
      </c>
      <c r="K518" s="28">
        <v>300</v>
      </c>
      <c r="L518" s="28">
        <v>300</v>
      </c>
      <c r="M518" s="28">
        <v>0</v>
      </c>
      <c r="N518" s="36">
        <v>0.89249999999999996</v>
      </c>
      <c r="O518" s="35">
        <v>34.056899999999999</v>
      </c>
      <c r="P518" s="20">
        <v>4.8360399999998194E-3</v>
      </c>
      <c r="Q518" s="20">
        <v>-0.72427839999999755</v>
      </c>
      <c r="R518" s="26" t="s">
        <v>393</v>
      </c>
      <c r="S518" s="26">
        <v>1</v>
      </c>
      <c r="T518" s="71" t="s">
        <v>626</v>
      </c>
    </row>
    <row r="519" spans="1:20" s="14" customFormat="1" ht="12.75" customHeight="1">
      <c r="A519" s="19" t="s">
        <v>392</v>
      </c>
      <c r="B519" s="19" t="s">
        <v>369</v>
      </c>
      <c r="C519" s="19" t="s">
        <v>509</v>
      </c>
      <c r="D519" s="34">
        <v>43307</v>
      </c>
      <c r="E519" s="19">
        <v>2018</v>
      </c>
      <c r="F519" s="19">
        <v>7</v>
      </c>
      <c r="G519" s="30">
        <v>26</v>
      </c>
      <c r="H519" s="29">
        <v>0.39141203703703703</v>
      </c>
      <c r="I519" s="35">
        <v>134.98783333333333</v>
      </c>
      <c r="J519" s="35">
        <v>36.998333333333335</v>
      </c>
      <c r="K519" s="28">
        <v>200</v>
      </c>
      <c r="L519" s="28">
        <v>200</v>
      </c>
      <c r="M519" s="28">
        <v>0</v>
      </c>
      <c r="N519" s="36">
        <v>1.3867</v>
      </c>
      <c r="O519" s="35">
        <v>34.038699999999999</v>
      </c>
      <c r="P519" s="20">
        <v>-2.6974583529411511E-2</v>
      </c>
      <c r="Q519" s="20">
        <v>-0.76491674823529365</v>
      </c>
      <c r="R519" s="26" t="s">
        <v>393</v>
      </c>
      <c r="S519" s="26">
        <v>1</v>
      </c>
      <c r="T519" s="71" t="s">
        <v>626</v>
      </c>
    </row>
    <row r="520" spans="1:20" s="14" customFormat="1" ht="12.75" customHeight="1">
      <c r="A520" s="19" t="s">
        <v>392</v>
      </c>
      <c r="B520" s="19" t="s">
        <v>369</v>
      </c>
      <c r="C520" s="19" t="s">
        <v>509</v>
      </c>
      <c r="D520" s="34">
        <v>43307</v>
      </c>
      <c r="E520" s="19">
        <v>2018</v>
      </c>
      <c r="F520" s="19">
        <v>7</v>
      </c>
      <c r="G520" s="30">
        <v>26</v>
      </c>
      <c r="H520" s="29">
        <v>0.39251157407407405</v>
      </c>
      <c r="I520" s="35">
        <v>134.98783333333333</v>
      </c>
      <c r="J520" s="35">
        <v>36.998333333333335</v>
      </c>
      <c r="K520" s="28">
        <v>150</v>
      </c>
      <c r="L520" s="28">
        <v>150</v>
      </c>
      <c r="M520" s="28">
        <v>0</v>
      </c>
      <c r="N520" s="36">
        <v>2.5956999999999999</v>
      </c>
      <c r="O520" s="35">
        <v>34.0413</v>
      </c>
      <c r="P520" s="20">
        <v>6.2804752941176378E-2</v>
      </c>
      <c r="Q520" s="20">
        <v>-0.49468157647058497</v>
      </c>
      <c r="R520" s="26" t="s">
        <v>393</v>
      </c>
      <c r="S520" s="26">
        <v>1</v>
      </c>
      <c r="T520" s="71" t="s">
        <v>626</v>
      </c>
    </row>
    <row r="521" spans="1:20" s="14" customFormat="1" ht="12.75" customHeight="1">
      <c r="A521" s="19" t="s">
        <v>392</v>
      </c>
      <c r="B521" s="19" t="s">
        <v>369</v>
      </c>
      <c r="C521" s="19" t="s">
        <v>509</v>
      </c>
      <c r="D521" s="34">
        <v>43307</v>
      </c>
      <c r="E521" s="19">
        <v>2018</v>
      </c>
      <c r="F521" s="19">
        <v>7</v>
      </c>
      <c r="G521" s="30">
        <v>26</v>
      </c>
      <c r="H521" s="29">
        <v>0.39339120370370373</v>
      </c>
      <c r="I521" s="35">
        <v>134.98783333333333</v>
      </c>
      <c r="J521" s="35">
        <v>36.998333333333335</v>
      </c>
      <c r="K521" s="28">
        <v>125</v>
      </c>
      <c r="L521" s="28">
        <v>125</v>
      </c>
      <c r="M521" s="28">
        <v>0</v>
      </c>
      <c r="N521" s="36">
        <v>3.9489999999999998</v>
      </c>
      <c r="O521" s="35">
        <v>34.070300000000003</v>
      </c>
      <c r="P521" s="20">
        <v>5.2721309411764672E-2</v>
      </c>
      <c r="Q521" s="20">
        <v>-0.41994824470588021</v>
      </c>
      <c r="R521" s="26" t="s">
        <v>393</v>
      </c>
      <c r="S521" s="26">
        <v>1</v>
      </c>
      <c r="T521" s="71" t="s">
        <v>626</v>
      </c>
    </row>
    <row r="522" spans="1:20" s="14" customFormat="1" ht="12.75" customHeight="1">
      <c r="A522" s="19" t="s">
        <v>392</v>
      </c>
      <c r="B522" s="19" t="s">
        <v>369</v>
      </c>
      <c r="C522" s="19" t="s">
        <v>509</v>
      </c>
      <c r="D522" s="34">
        <v>43307</v>
      </c>
      <c r="E522" s="19">
        <v>2018</v>
      </c>
      <c r="F522" s="19">
        <v>7</v>
      </c>
      <c r="G522" s="30">
        <v>26</v>
      </c>
      <c r="H522" s="29">
        <v>0.39420138888888889</v>
      </c>
      <c r="I522" s="35">
        <v>134.98783333333333</v>
      </c>
      <c r="J522" s="35">
        <v>36.998333333333335</v>
      </c>
      <c r="K522" s="28">
        <v>100</v>
      </c>
      <c r="L522" s="28">
        <v>100</v>
      </c>
      <c r="M522" s="28">
        <v>0</v>
      </c>
      <c r="N522" s="36">
        <v>5.8696999999999999</v>
      </c>
      <c r="O522" s="35">
        <v>34.117800000000003</v>
      </c>
      <c r="P522" s="20">
        <v>0.13749722588235258</v>
      </c>
      <c r="Q522" s="20">
        <v>5.169516705882593E-2</v>
      </c>
      <c r="R522" s="26" t="s">
        <v>393</v>
      </c>
      <c r="S522" s="26">
        <v>1</v>
      </c>
      <c r="T522" s="71" t="s">
        <v>626</v>
      </c>
    </row>
    <row r="523" spans="1:20" s="14" customFormat="1" ht="12.75" customHeight="1">
      <c r="A523" s="19" t="s">
        <v>392</v>
      </c>
      <c r="B523" s="19" t="s">
        <v>369</v>
      </c>
      <c r="C523" s="19" t="s">
        <v>509</v>
      </c>
      <c r="D523" s="34">
        <v>43307</v>
      </c>
      <c r="E523" s="19">
        <v>2018</v>
      </c>
      <c r="F523" s="19">
        <v>7</v>
      </c>
      <c r="G523" s="30">
        <v>26</v>
      </c>
      <c r="H523" s="29">
        <v>0.39490740740740743</v>
      </c>
      <c r="I523" s="35">
        <v>134.98783333333333</v>
      </c>
      <c r="J523" s="35">
        <v>36.998333333333335</v>
      </c>
      <c r="K523" s="28">
        <v>80</v>
      </c>
      <c r="L523" s="28">
        <v>80</v>
      </c>
      <c r="M523" s="28">
        <v>0</v>
      </c>
      <c r="N523" s="36">
        <v>7.4255000000000004</v>
      </c>
      <c r="O523" s="35">
        <v>34.172400000000003</v>
      </c>
      <c r="P523" s="20">
        <v>0.21737253235294096</v>
      </c>
      <c r="Q523" s="20">
        <v>0.46873719215686549</v>
      </c>
      <c r="R523" s="26" t="s">
        <v>393</v>
      </c>
      <c r="S523" s="26">
        <v>1</v>
      </c>
      <c r="T523" s="71" t="s">
        <v>626</v>
      </c>
    </row>
    <row r="524" spans="1:20" s="14" customFormat="1" ht="12.75" customHeight="1">
      <c r="A524" s="19" t="s">
        <v>392</v>
      </c>
      <c r="B524" s="19" t="s">
        <v>369</v>
      </c>
      <c r="C524" s="19" t="s">
        <v>509</v>
      </c>
      <c r="D524" s="34">
        <v>43307</v>
      </c>
      <c r="E524" s="19">
        <v>2018</v>
      </c>
      <c r="F524" s="19">
        <v>7</v>
      </c>
      <c r="G524" s="30">
        <v>26</v>
      </c>
      <c r="H524" s="29">
        <v>0.39564814814814814</v>
      </c>
      <c r="I524" s="35">
        <v>134.98783333333333</v>
      </c>
      <c r="J524" s="35">
        <v>36.998333333333335</v>
      </c>
      <c r="K524" s="28">
        <v>60</v>
      </c>
      <c r="L524" s="28">
        <v>60</v>
      </c>
      <c r="M524" s="28">
        <v>0</v>
      </c>
      <c r="N524" s="36">
        <v>9.3321000000000005</v>
      </c>
      <c r="O524" s="35">
        <v>34.266199999999998</v>
      </c>
      <c r="P524" s="20">
        <v>0.11814838235294123</v>
      </c>
      <c r="Q524" s="20">
        <v>0.5215105400000013</v>
      </c>
      <c r="R524" s="26" t="s">
        <v>393</v>
      </c>
      <c r="S524" s="26">
        <v>1</v>
      </c>
      <c r="T524" s="71" t="s">
        <v>626</v>
      </c>
    </row>
    <row r="525" spans="1:20" s="14" customFormat="1" ht="12.75" customHeight="1">
      <c r="A525" s="19" t="s">
        <v>392</v>
      </c>
      <c r="B525" s="19" t="s">
        <v>369</v>
      </c>
      <c r="C525" s="19" t="s">
        <v>509</v>
      </c>
      <c r="D525" s="34">
        <v>43307</v>
      </c>
      <c r="E525" s="19">
        <v>2018</v>
      </c>
      <c r="F525" s="19">
        <v>7</v>
      </c>
      <c r="G525" s="30">
        <v>26</v>
      </c>
      <c r="H525" s="29">
        <v>0.3961574074074074</v>
      </c>
      <c r="I525" s="35">
        <v>134.98783333333333</v>
      </c>
      <c r="J525" s="35">
        <v>36.998333333333335</v>
      </c>
      <c r="K525" s="28">
        <v>50</v>
      </c>
      <c r="L525" s="28">
        <v>50</v>
      </c>
      <c r="M525" s="28">
        <v>0</v>
      </c>
      <c r="N525" s="36">
        <v>11.1479</v>
      </c>
      <c r="O525" s="35">
        <v>34.354599999999998</v>
      </c>
      <c r="P525" s="20">
        <v>0.12424019882352955</v>
      </c>
      <c r="Q525" s="20">
        <v>0.757272740000003</v>
      </c>
      <c r="R525" s="26" t="s">
        <v>393</v>
      </c>
      <c r="S525" s="26">
        <v>1</v>
      </c>
      <c r="T525" s="71" t="s">
        <v>626</v>
      </c>
    </row>
    <row r="526" spans="1:20" s="14" customFormat="1" ht="12.75" customHeight="1">
      <c r="A526" s="19" t="s">
        <v>392</v>
      </c>
      <c r="B526" s="19" t="s">
        <v>369</v>
      </c>
      <c r="C526" s="19" t="s">
        <v>509</v>
      </c>
      <c r="D526" s="34">
        <v>43307</v>
      </c>
      <c r="E526" s="19">
        <v>2018</v>
      </c>
      <c r="F526" s="19">
        <v>7</v>
      </c>
      <c r="G526" s="30">
        <v>26</v>
      </c>
      <c r="H526" s="29">
        <v>0.39666666666666667</v>
      </c>
      <c r="I526" s="35">
        <v>134.98783333333333</v>
      </c>
      <c r="J526" s="35">
        <v>36.998333333333335</v>
      </c>
      <c r="K526" s="28">
        <v>40</v>
      </c>
      <c r="L526" s="28">
        <v>40</v>
      </c>
      <c r="M526" s="28">
        <v>0</v>
      </c>
      <c r="N526" s="36">
        <v>12.9931</v>
      </c>
      <c r="O526" s="35">
        <v>34.389899999999997</v>
      </c>
      <c r="P526" s="20">
        <v>9.7510555294117562E-2</v>
      </c>
      <c r="Q526" s="20">
        <v>0.8515891600000014</v>
      </c>
      <c r="R526" s="26" t="s">
        <v>393</v>
      </c>
      <c r="S526" s="26">
        <v>1</v>
      </c>
      <c r="T526" s="71" t="s">
        <v>626</v>
      </c>
    </row>
    <row r="527" spans="1:20" s="14" customFormat="1" ht="12.75" customHeight="1">
      <c r="A527" s="19" t="s">
        <v>392</v>
      </c>
      <c r="B527" s="19" t="s">
        <v>369</v>
      </c>
      <c r="C527" s="19" t="s">
        <v>509</v>
      </c>
      <c r="D527" s="34">
        <v>43307</v>
      </c>
      <c r="E527" s="19">
        <v>2018</v>
      </c>
      <c r="F527" s="19">
        <v>7</v>
      </c>
      <c r="G527" s="30">
        <v>26</v>
      </c>
      <c r="H527" s="29">
        <v>0.39718750000000003</v>
      </c>
      <c r="I527" s="35">
        <v>134.98783333333333</v>
      </c>
      <c r="J527" s="35">
        <v>36.998333333333335</v>
      </c>
      <c r="K527" s="28">
        <v>30</v>
      </c>
      <c r="L527" s="28">
        <v>30</v>
      </c>
      <c r="M527" s="28">
        <v>0</v>
      </c>
      <c r="N527" s="36">
        <v>15.257</v>
      </c>
      <c r="O527" s="35">
        <v>34.333100000000002</v>
      </c>
      <c r="P527" s="20">
        <v>0.15946001176470626</v>
      </c>
      <c r="Q527" s="20">
        <v>0.83663332000000246</v>
      </c>
      <c r="R527" s="26" t="s">
        <v>393</v>
      </c>
      <c r="S527" s="26">
        <v>1</v>
      </c>
      <c r="T527" s="71" t="s">
        <v>626</v>
      </c>
    </row>
    <row r="528" spans="1:20" s="14" customFormat="1" ht="12.75" customHeight="1">
      <c r="A528" s="19" t="s">
        <v>392</v>
      </c>
      <c r="B528" s="19" t="s">
        <v>369</v>
      </c>
      <c r="C528" s="19" t="s">
        <v>509</v>
      </c>
      <c r="D528" s="34">
        <v>43307</v>
      </c>
      <c r="E528" s="19">
        <v>2018</v>
      </c>
      <c r="F528" s="19">
        <v>7</v>
      </c>
      <c r="G528" s="30">
        <v>26</v>
      </c>
      <c r="H528" s="29">
        <v>0.39841435185185187</v>
      </c>
      <c r="I528" s="35">
        <v>134.98783333333333</v>
      </c>
      <c r="J528" s="35">
        <v>36.998333333333335</v>
      </c>
      <c r="K528" s="28">
        <v>20</v>
      </c>
      <c r="L528" s="28">
        <v>20</v>
      </c>
      <c r="M528" s="28">
        <v>0</v>
      </c>
      <c r="N528" s="36">
        <v>20.370999999999999</v>
      </c>
      <c r="O528" s="35">
        <v>34.0779</v>
      </c>
      <c r="P528" s="20">
        <v>1.1637528235294292E-2</v>
      </c>
      <c r="Q528" s="20">
        <v>0.13602837999999906</v>
      </c>
      <c r="R528" s="26" t="s">
        <v>393</v>
      </c>
      <c r="S528" s="26">
        <v>1</v>
      </c>
      <c r="T528" s="71" t="s">
        <v>626</v>
      </c>
    </row>
    <row r="529" spans="1:20" s="14" customFormat="1" ht="12.75" customHeight="1">
      <c r="A529" s="19" t="s">
        <v>392</v>
      </c>
      <c r="B529" s="19" t="s">
        <v>369</v>
      </c>
      <c r="C529" s="19" t="s">
        <v>509</v>
      </c>
      <c r="D529" s="34">
        <v>43307</v>
      </c>
      <c r="E529" s="19">
        <v>2018</v>
      </c>
      <c r="F529" s="19">
        <v>7</v>
      </c>
      <c r="G529" s="30">
        <v>26</v>
      </c>
      <c r="H529" s="29">
        <v>0.39899305555555559</v>
      </c>
      <c r="I529" s="35">
        <v>134.98783333333333</v>
      </c>
      <c r="J529" s="35">
        <v>36.998333333333335</v>
      </c>
      <c r="K529" s="28">
        <v>10</v>
      </c>
      <c r="L529" s="28">
        <v>10</v>
      </c>
      <c r="M529" s="28">
        <v>0</v>
      </c>
      <c r="N529" s="36">
        <v>21.674700000000001</v>
      </c>
      <c r="O529" s="35">
        <v>33.940600000000003</v>
      </c>
      <c r="P529" s="20">
        <v>2.4864444705882116E-2</v>
      </c>
      <c r="Q529" s="20">
        <v>-0.18908803999999968</v>
      </c>
      <c r="R529" s="26" t="s">
        <v>393</v>
      </c>
      <c r="S529" s="26">
        <v>1</v>
      </c>
      <c r="T529" s="71" t="s">
        <v>626</v>
      </c>
    </row>
    <row r="530" spans="1:20" s="14" customFormat="1" ht="12.75" customHeight="1">
      <c r="A530" s="19"/>
      <c r="B530" s="19"/>
      <c r="C530" s="19"/>
      <c r="D530" s="34"/>
      <c r="E530" s="19"/>
      <c r="F530" s="19"/>
      <c r="G530" s="30"/>
      <c r="H530" s="29"/>
      <c r="I530" s="35"/>
      <c r="J530" s="35"/>
      <c r="K530" s="28"/>
      <c r="L530" s="28"/>
      <c r="M530" s="28"/>
      <c r="N530" s="36"/>
      <c r="O530" s="35"/>
      <c r="P530" s="20"/>
      <c r="Q530" s="20"/>
      <c r="R530" s="26"/>
      <c r="S530" s="26"/>
      <c r="T530" s="71"/>
    </row>
    <row r="531" spans="1:20" s="14" customFormat="1" ht="12.75" customHeight="1">
      <c r="A531" s="19" t="s">
        <v>392</v>
      </c>
      <c r="B531" s="19" t="s">
        <v>370</v>
      </c>
      <c r="C531" s="19" t="s">
        <v>509</v>
      </c>
      <c r="D531" s="34">
        <v>43308</v>
      </c>
      <c r="E531" s="19">
        <v>2018</v>
      </c>
      <c r="F531" s="19">
        <v>7</v>
      </c>
      <c r="G531" s="30">
        <v>27</v>
      </c>
      <c r="H531" s="29">
        <v>0.39628472222222227</v>
      </c>
      <c r="I531" s="35">
        <v>135.74683333333334</v>
      </c>
      <c r="J531" s="35">
        <v>37.00333333333333</v>
      </c>
      <c r="K531" s="28">
        <v>500</v>
      </c>
      <c r="L531" s="28">
        <v>500</v>
      </c>
      <c r="M531" s="28">
        <v>0</v>
      </c>
      <c r="N531" s="36">
        <v>0.58289999999999997</v>
      </c>
      <c r="O531" s="35">
        <v>34.069099999999999</v>
      </c>
      <c r="P531" s="20">
        <v>-6.3598803529411496E-2</v>
      </c>
      <c r="Q531" s="20">
        <v>-0.96672247999999961</v>
      </c>
      <c r="R531" s="26" t="s">
        <v>393</v>
      </c>
      <c r="S531" s="26"/>
      <c r="T531" s="71" t="s">
        <v>626</v>
      </c>
    </row>
    <row r="532" spans="1:20" s="14" customFormat="1" ht="12.75" customHeight="1">
      <c r="A532" s="19" t="s">
        <v>392</v>
      </c>
      <c r="B532" s="19" t="s">
        <v>370</v>
      </c>
      <c r="C532" s="19" t="s">
        <v>509</v>
      </c>
      <c r="D532" s="34">
        <v>43308</v>
      </c>
      <c r="E532" s="19">
        <v>2018</v>
      </c>
      <c r="F532" s="19">
        <v>7</v>
      </c>
      <c r="G532" s="30">
        <v>27</v>
      </c>
      <c r="H532" s="29">
        <v>0.39815972222222223</v>
      </c>
      <c r="I532" s="35">
        <v>135.74683333333334</v>
      </c>
      <c r="J532" s="35">
        <v>37.00333333333333</v>
      </c>
      <c r="K532" s="28">
        <v>400</v>
      </c>
      <c r="L532" s="28">
        <v>400</v>
      </c>
      <c r="M532" s="28">
        <v>0</v>
      </c>
      <c r="N532" s="36">
        <v>0.72309999999999997</v>
      </c>
      <c r="O532" s="35">
        <v>34.064599999999999</v>
      </c>
      <c r="P532" s="20">
        <v>-6.1584187058823847E-2</v>
      </c>
      <c r="Q532" s="20">
        <v>-0.9495047999999997</v>
      </c>
      <c r="R532" s="26" t="s">
        <v>393</v>
      </c>
      <c r="S532" s="26"/>
      <c r="T532" s="71" t="s">
        <v>626</v>
      </c>
    </row>
    <row r="533" spans="1:20" s="14" customFormat="1" ht="12.75" customHeight="1">
      <c r="A533" s="19" t="s">
        <v>392</v>
      </c>
      <c r="B533" s="19" t="s">
        <v>370</v>
      </c>
      <c r="C533" s="19" t="s">
        <v>509</v>
      </c>
      <c r="D533" s="34">
        <v>43308</v>
      </c>
      <c r="E533" s="19">
        <v>2018</v>
      </c>
      <c r="F533" s="19">
        <v>7</v>
      </c>
      <c r="G533" s="30">
        <v>27</v>
      </c>
      <c r="H533" s="29">
        <v>0.39981481481481485</v>
      </c>
      <c r="I533" s="35">
        <v>135.74683333333334</v>
      </c>
      <c r="J533" s="35">
        <v>37.00333333333333</v>
      </c>
      <c r="K533" s="28">
        <v>300</v>
      </c>
      <c r="L533" s="28">
        <v>300</v>
      </c>
      <c r="M533" s="28">
        <v>0</v>
      </c>
      <c r="N533" s="36">
        <v>0.9546</v>
      </c>
      <c r="O533" s="35">
        <v>34.055399999999999</v>
      </c>
      <c r="P533" s="20">
        <v>-7.3635910588235154E-2</v>
      </c>
      <c r="Q533" s="20">
        <v>-1.0095820399999997</v>
      </c>
      <c r="R533" s="26" t="s">
        <v>393</v>
      </c>
      <c r="S533" s="26"/>
      <c r="T533" s="71" t="s">
        <v>626</v>
      </c>
    </row>
    <row r="534" spans="1:20" s="14" customFormat="1" ht="12.75" customHeight="1">
      <c r="A534" s="19" t="s">
        <v>392</v>
      </c>
      <c r="B534" s="19" t="s">
        <v>370</v>
      </c>
      <c r="C534" s="19" t="s">
        <v>509</v>
      </c>
      <c r="D534" s="34">
        <v>43308</v>
      </c>
      <c r="E534" s="19">
        <v>2018</v>
      </c>
      <c r="F534" s="19">
        <v>7</v>
      </c>
      <c r="G534" s="30">
        <v>27</v>
      </c>
      <c r="H534" s="29">
        <v>0.40160879629629626</v>
      </c>
      <c r="I534" s="35">
        <v>135.74683333333334</v>
      </c>
      <c r="J534" s="35">
        <v>37.00333333333333</v>
      </c>
      <c r="K534" s="28">
        <v>200</v>
      </c>
      <c r="L534" s="28">
        <v>200</v>
      </c>
      <c r="M534" s="28">
        <v>0</v>
      </c>
      <c r="N534" s="36">
        <v>2.1101000000000001</v>
      </c>
      <c r="O534" s="35">
        <v>34.033799999999999</v>
      </c>
      <c r="P534" s="20">
        <v>-1.1686454117647127E-2</v>
      </c>
      <c r="Q534" s="20">
        <v>-0.9058489800000018</v>
      </c>
      <c r="R534" s="26" t="s">
        <v>393</v>
      </c>
      <c r="S534" s="26"/>
      <c r="T534" s="71" t="s">
        <v>626</v>
      </c>
    </row>
    <row r="535" spans="1:20" s="14" customFormat="1" ht="12.75" customHeight="1">
      <c r="A535" s="19" t="s">
        <v>392</v>
      </c>
      <c r="B535" s="19" t="s">
        <v>370</v>
      </c>
      <c r="C535" s="19" t="s">
        <v>509</v>
      </c>
      <c r="D535" s="34">
        <v>43308</v>
      </c>
      <c r="E535" s="19">
        <v>2018</v>
      </c>
      <c r="F535" s="19">
        <v>7</v>
      </c>
      <c r="G535" s="30">
        <v>27</v>
      </c>
      <c r="H535" s="29">
        <v>0.40371527777777777</v>
      </c>
      <c r="I535" s="35">
        <v>135.74683333333334</v>
      </c>
      <c r="J535" s="35">
        <v>37.00333333333333</v>
      </c>
      <c r="K535" s="28">
        <v>125</v>
      </c>
      <c r="L535" s="28">
        <v>125</v>
      </c>
      <c r="M535" s="28">
        <v>0</v>
      </c>
      <c r="N535" s="36">
        <v>7.4048999999999996</v>
      </c>
      <c r="O535" s="35">
        <v>34.1873</v>
      </c>
      <c r="P535" s="20">
        <v>0.14831966235294125</v>
      </c>
      <c r="Q535" s="20">
        <v>0.20683781999999873</v>
      </c>
      <c r="R535" s="26" t="s">
        <v>393</v>
      </c>
      <c r="S535" s="26"/>
      <c r="T535" s="71" t="s">
        <v>626</v>
      </c>
    </row>
    <row r="536" spans="1:20" s="14" customFormat="1" ht="12.75" customHeight="1">
      <c r="A536" s="19" t="s">
        <v>392</v>
      </c>
      <c r="B536" s="19" t="s">
        <v>370</v>
      </c>
      <c r="C536" s="19" t="s">
        <v>509</v>
      </c>
      <c r="D536" s="34">
        <v>43308</v>
      </c>
      <c r="E536" s="19">
        <v>2018</v>
      </c>
      <c r="F536" s="19">
        <v>7</v>
      </c>
      <c r="G536" s="30">
        <v>27</v>
      </c>
      <c r="H536" s="29">
        <v>0.40456018518518522</v>
      </c>
      <c r="I536" s="35">
        <v>135.74683333333334</v>
      </c>
      <c r="J536" s="35">
        <v>37.00333333333333</v>
      </c>
      <c r="K536" s="28">
        <v>100</v>
      </c>
      <c r="L536" s="28">
        <v>100</v>
      </c>
      <c r="M536" s="28">
        <v>0</v>
      </c>
      <c r="N536" s="36">
        <v>9.8995999999999995</v>
      </c>
      <c r="O536" s="35">
        <v>34.286700000000003</v>
      </c>
      <c r="P536" s="20">
        <v>0.10166674823529487</v>
      </c>
      <c r="Q536" s="20">
        <v>0.50700791529411759</v>
      </c>
      <c r="R536" s="26" t="s">
        <v>393</v>
      </c>
      <c r="S536" s="26"/>
      <c r="T536" s="71" t="s">
        <v>626</v>
      </c>
    </row>
    <row r="537" spans="1:20" s="14" customFormat="1" ht="12.75" customHeight="1">
      <c r="A537" s="19" t="s">
        <v>392</v>
      </c>
      <c r="B537" s="19" t="s">
        <v>370</v>
      </c>
      <c r="C537" s="19" t="s">
        <v>509</v>
      </c>
      <c r="D537" s="34">
        <v>43308</v>
      </c>
      <c r="E537" s="19">
        <v>2018</v>
      </c>
      <c r="F537" s="19">
        <v>7</v>
      </c>
      <c r="G537" s="30">
        <v>27</v>
      </c>
      <c r="H537" s="29">
        <v>0.40538194444444442</v>
      </c>
      <c r="I537" s="35">
        <v>135.74683333333334</v>
      </c>
      <c r="J537" s="35">
        <v>37.00333333333333</v>
      </c>
      <c r="K537" s="28">
        <v>80</v>
      </c>
      <c r="L537" s="28">
        <v>80</v>
      </c>
      <c r="M537" s="28">
        <v>0</v>
      </c>
      <c r="N537" s="36">
        <v>13.8482</v>
      </c>
      <c r="O537" s="35">
        <v>34.436700000000002</v>
      </c>
      <c r="P537" s="20">
        <v>0.14642582588235298</v>
      </c>
      <c r="Q537" s="20">
        <v>0.86965710235294047</v>
      </c>
      <c r="R537" s="26" t="s">
        <v>393</v>
      </c>
      <c r="S537" s="26"/>
      <c r="T537" s="71" t="s">
        <v>626</v>
      </c>
    </row>
    <row r="538" spans="1:20" s="14" customFormat="1" ht="12.75" customHeight="1">
      <c r="A538" s="19" t="s">
        <v>392</v>
      </c>
      <c r="B538" s="19" t="s">
        <v>370</v>
      </c>
      <c r="C538" s="19" t="s">
        <v>509</v>
      </c>
      <c r="D538" s="34">
        <v>43308</v>
      </c>
      <c r="E538" s="19">
        <v>2018</v>
      </c>
      <c r="F538" s="19">
        <v>7</v>
      </c>
      <c r="G538" s="30">
        <v>27</v>
      </c>
      <c r="H538" s="29">
        <v>0.40619212962962964</v>
      </c>
      <c r="I538" s="35">
        <v>135.74683333333334</v>
      </c>
      <c r="J538" s="35">
        <v>37.00333333333333</v>
      </c>
      <c r="K538" s="28">
        <v>60</v>
      </c>
      <c r="L538" s="28">
        <v>60</v>
      </c>
      <c r="M538" s="28">
        <v>0</v>
      </c>
      <c r="N538" s="36">
        <v>15.519600000000001</v>
      </c>
      <c r="O538" s="35">
        <v>34.4178</v>
      </c>
      <c r="P538" s="20">
        <v>0.18459345210084033</v>
      </c>
      <c r="Q538" s="20">
        <v>1.1141257865546237</v>
      </c>
      <c r="R538" s="26" t="s">
        <v>393</v>
      </c>
      <c r="S538" s="26"/>
      <c r="T538" s="71" t="s">
        <v>626</v>
      </c>
    </row>
    <row r="539" spans="1:20" s="14" customFormat="1" ht="12.75" customHeight="1">
      <c r="A539" s="19" t="s">
        <v>392</v>
      </c>
      <c r="B539" s="19" t="s">
        <v>370</v>
      </c>
      <c r="C539" s="19" t="s">
        <v>509</v>
      </c>
      <c r="D539" s="34">
        <v>43308</v>
      </c>
      <c r="E539" s="19">
        <v>2018</v>
      </c>
      <c r="F539" s="19">
        <v>7</v>
      </c>
      <c r="G539" s="30">
        <v>27</v>
      </c>
      <c r="H539" s="29">
        <v>0.4067824074074074</v>
      </c>
      <c r="I539" s="35">
        <v>135.74683333333334</v>
      </c>
      <c r="J539" s="35">
        <v>37.00333333333333</v>
      </c>
      <c r="K539" s="28">
        <v>50</v>
      </c>
      <c r="L539" s="28">
        <v>50</v>
      </c>
      <c r="M539" s="28">
        <v>0</v>
      </c>
      <c r="N539" s="36">
        <v>17.239899999999999</v>
      </c>
      <c r="O539" s="35">
        <v>34.451300000000003</v>
      </c>
      <c r="P539" s="20">
        <v>0.16591710117647018</v>
      </c>
      <c r="Q539" s="20">
        <v>1.0257212564705895</v>
      </c>
      <c r="R539" s="26" t="s">
        <v>393</v>
      </c>
      <c r="S539" s="26"/>
      <c r="T539" s="71" t="s">
        <v>626</v>
      </c>
    </row>
    <row r="540" spans="1:20" s="14" customFormat="1" ht="12.75" customHeight="1">
      <c r="A540" s="19" t="s">
        <v>392</v>
      </c>
      <c r="B540" s="19" t="s">
        <v>370</v>
      </c>
      <c r="C540" s="19" t="s">
        <v>509</v>
      </c>
      <c r="D540" s="34">
        <v>43308</v>
      </c>
      <c r="E540" s="19">
        <v>2018</v>
      </c>
      <c r="F540" s="19">
        <v>7</v>
      </c>
      <c r="G540" s="30">
        <v>27</v>
      </c>
      <c r="H540" s="29">
        <v>0.40732638888888889</v>
      </c>
      <c r="I540" s="35">
        <v>135.74683333333334</v>
      </c>
      <c r="J540" s="35">
        <v>37.00333333333333</v>
      </c>
      <c r="K540" s="28">
        <v>40</v>
      </c>
      <c r="L540" s="28">
        <v>40</v>
      </c>
      <c r="M540" s="28">
        <v>0</v>
      </c>
      <c r="N540" s="36">
        <v>18.581900000000001</v>
      </c>
      <c r="O540" s="35">
        <v>34.361699999999999</v>
      </c>
      <c r="P540" s="20">
        <v>0.22333409882352884</v>
      </c>
      <c r="Q540" s="20">
        <v>1.0644112235294116</v>
      </c>
      <c r="R540" s="26" t="s">
        <v>393</v>
      </c>
      <c r="S540" s="26"/>
      <c r="T540" s="71" t="s">
        <v>626</v>
      </c>
    </row>
    <row r="541" spans="1:20" s="14" customFormat="1" ht="12.75" customHeight="1">
      <c r="A541" s="19" t="s">
        <v>392</v>
      </c>
      <c r="B541" s="19" t="s">
        <v>370</v>
      </c>
      <c r="C541" s="19" t="s">
        <v>509</v>
      </c>
      <c r="D541" s="34">
        <v>43308</v>
      </c>
      <c r="E541" s="19">
        <v>2018</v>
      </c>
      <c r="F541" s="19">
        <v>7</v>
      </c>
      <c r="G541" s="30">
        <v>27</v>
      </c>
      <c r="H541" s="29">
        <v>0.40802083333333333</v>
      </c>
      <c r="I541" s="35">
        <v>135.74683333333334</v>
      </c>
      <c r="J541" s="35">
        <v>37.00333333333333</v>
      </c>
      <c r="K541" s="28">
        <v>30</v>
      </c>
      <c r="L541" s="28">
        <v>30</v>
      </c>
      <c r="M541" s="28">
        <v>0</v>
      </c>
      <c r="N541" s="36">
        <v>19.956</v>
      </c>
      <c r="O541" s="35">
        <v>34.206400000000002</v>
      </c>
      <c r="P541" s="20">
        <v>0.11118163361344502</v>
      </c>
      <c r="Q541" s="20">
        <v>0.62903367058823534</v>
      </c>
      <c r="R541" s="26" t="s">
        <v>393</v>
      </c>
      <c r="S541" s="26"/>
      <c r="T541" s="71" t="s">
        <v>626</v>
      </c>
    </row>
    <row r="542" spans="1:20" s="14" customFormat="1" ht="12.75" customHeight="1">
      <c r="A542" s="19" t="s">
        <v>392</v>
      </c>
      <c r="B542" s="19" t="s">
        <v>370</v>
      </c>
      <c r="C542" s="19" t="s">
        <v>509</v>
      </c>
      <c r="D542" s="34">
        <v>43308</v>
      </c>
      <c r="E542" s="19">
        <v>2018</v>
      </c>
      <c r="F542" s="19">
        <v>7</v>
      </c>
      <c r="G542" s="30">
        <v>27</v>
      </c>
      <c r="H542" s="29">
        <v>0.40908564814814818</v>
      </c>
      <c r="I542" s="35">
        <v>135.74683333333334</v>
      </c>
      <c r="J542" s="35">
        <v>37.00333333333333</v>
      </c>
      <c r="K542" s="28">
        <v>20</v>
      </c>
      <c r="L542" s="28">
        <v>20</v>
      </c>
      <c r="M542" s="28">
        <v>0</v>
      </c>
      <c r="N542" s="36">
        <v>21.0777</v>
      </c>
      <c r="O542" s="35">
        <v>34.142899999999997</v>
      </c>
      <c r="P542" s="20">
        <v>9.3788574117646295E-2</v>
      </c>
      <c r="Q542" s="20">
        <v>0.41126409764706118</v>
      </c>
      <c r="R542" s="26" t="s">
        <v>393</v>
      </c>
      <c r="S542" s="26"/>
      <c r="T542" s="71" t="s">
        <v>626</v>
      </c>
    </row>
    <row r="543" spans="1:20" s="14" customFormat="1" ht="12.75" customHeight="1">
      <c r="A543" s="19" t="s">
        <v>392</v>
      </c>
      <c r="B543" s="19" t="s">
        <v>370</v>
      </c>
      <c r="C543" s="19" t="s">
        <v>509</v>
      </c>
      <c r="D543" s="34">
        <v>43308</v>
      </c>
      <c r="E543" s="19">
        <v>2018</v>
      </c>
      <c r="F543" s="19">
        <v>7</v>
      </c>
      <c r="G543" s="30">
        <v>27</v>
      </c>
      <c r="H543" s="29">
        <v>0.40962962962962962</v>
      </c>
      <c r="I543" s="35">
        <v>135.74683333333334</v>
      </c>
      <c r="J543" s="35">
        <v>37.00333333333333</v>
      </c>
      <c r="K543" s="28">
        <v>10</v>
      </c>
      <c r="L543" s="28">
        <v>10</v>
      </c>
      <c r="M543" s="28">
        <v>0</v>
      </c>
      <c r="N543" s="36">
        <v>24.815999999999999</v>
      </c>
      <c r="O543" s="35">
        <v>34.036000000000001</v>
      </c>
      <c r="P543" s="20">
        <v>0.12082776470588152</v>
      </c>
      <c r="Q543" s="20">
        <v>0.18280630588235347</v>
      </c>
      <c r="R543" s="26" t="s">
        <v>393</v>
      </c>
      <c r="S543" s="26"/>
      <c r="T543" s="71" t="s">
        <v>626</v>
      </c>
    </row>
    <row r="544" spans="1:20" s="14" customFormat="1" ht="12.75" customHeight="1">
      <c r="A544" s="19"/>
      <c r="B544" s="19"/>
      <c r="C544" s="19"/>
      <c r="D544" s="34"/>
      <c r="E544" s="19"/>
      <c r="F544" s="19"/>
      <c r="G544" s="30"/>
      <c r="H544" s="29"/>
      <c r="I544" s="35"/>
      <c r="J544" s="35"/>
      <c r="K544" s="28"/>
      <c r="L544" s="28"/>
      <c r="M544" s="28"/>
      <c r="N544" s="36"/>
      <c r="O544" s="35"/>
      <c r="P544" s="20"/>
      <c r="Q544" s="20"/>
      <c r="R544" s="26"/>
      <c r="S544" s="26"/>
      <c r="T544" s="71"/>
    </row>
    <row r="545" spans="1:20" s="14" customFormat="1" ht="12.75" customHeight="1">
      <c r="A545" s="19" t="s">
        <v>392</v>
      </c>
      <c r="B545" s="19" t="s">
        <v>373</v>
      </c>
      <c r="C545" s="19" t="s">
        <v>514</v>
      </c>
      <c r="D545" s="34">
        <v>43310</v>
      </c>
      <c r="E545" s="19">
        <v>2018</v>
      </c>
      <c r="F545" s="19">
        <v>7</v>
      </c>
      <c r="G545" s="30">
        <v>29</v>
      </c>
      <c r="H545" s="29">
        <v>0.76393518518518511</v>
      </c>
      <c r="I545" s="35">
        <v>137.90666666666667</v>
      </c>
      <c r="J545" s="35">
        <v>37.840000000000003</v>
      </c>
      <c r="K545" s="28">
        <v>500</v>
      </c>
      <c r="L545" s="28">
        <v>500</v>
      </c>
      <c r="M545" s="28">
        <v>0</v>
      </c>
      <c r="N545" s="36">
        <v>0.72950000000000004</v>
      </c>
      <c r="O545" s="35">
        <v>34.066000000000003</v>
      </c>
      <c r="P545" s="20">
        <v>-6.736572235294136E-2</v>
      </c>
      <c r="Q545" s="20">
        <v>-0.94456993294117453</v>
      </c>
      <c r="R545" s="26" t="s">
        <v>393</v>
      </c>
      <c r="S545" s="26">
        <v>1</v>
      </c>
      <c r="T545" s="71" t="s">
        <v>626</v>
      </c>
    </row>
    <row r="546" spans="1:20" s="14" customFormat="1" ht="12.75" customHeight="1">
      <c r="A546" s="19" t="s">
        <v>392</v>
      </c>
      <c r="B546" s="19" t="s">
        <v>373</v>
      </c>
      <c r="C546" s="19" t="s">
        <v>514</v>
      </c>
      <c r="D546" s="34">
        <v>43310</v>
      </c>
      <c r="E546" s="19">
        <v>2018</v>
      </c>
      <c r="F546" s="19">
        <v>7</v>
      </c>
      <c r="G546" s="30">
        <v>29</v>
      </c>
      <c r="H546" s="29">
        <v>0.76581018518518518</v>
      </c>
      <c r="I546" s="35">
        <v>137.90666666666667</v>
      </c>
      <c r="J546" s="35">
        <v>37.840000000000003</v>
      </c>
      <c r="K546" s="28">
        <v>400</v>
      </c>
      <c r="L546" s="28">
        <v>400</v>
      </c>
      <c r="M546" s="28">
        <v>0</v>
      </c>
      <c r="N546" s="36">
        <v>0.96020000000000005</v>
      </c>
      <c r="O546" s="35">
        <v>34.058999999999997</v>
      </c>
      <c r="P546" s="20">
        <v>-7.2625844705882292E-2</v>
      </c>
      <c r="Q546" s="20">
        <v>-0.91314010588235206</v>
      </c>
      <c r="R546" s="26" t="s">
        <v>393</v>
      </c>
      <c r="S546" s="26">
        <v>1</v>
      </c>
      <c r="T546" s="71" t="s">
        <v>626</v>
      </c>
    </row>
    <row r="547" spans="1:20" s="14" customFormat="1" ht="12.75" customHeight="1">
      <c r="A547" s="19" t="s">
        <v>392</v>
      </c>
      <c r="B547" s="19" t="s">
        <v>373</v>
      </c>
      <c r="C547" s="19" t="s">
        <v>514</v>
      </c>
      <c r="D547" s="34">
        <v>43310</v>
      </c>
      <c r="E547" s="19">
        <v>2018</v>
      </c>
      <c r="F547" s="19">
        <v>7</v>
      </c>
      <c r="G547" s="30">
        <v>29</v>
      </c>
      <c r="H547" s="29">
        <v>0.76736111111111116</v>
      </c>
      <c r="I547" s="35">
        <v>137.90666666666667</v>
      </c>
      <c r="J547" s="35">
        <v>37.840000000000003</v>
      </c>
      <c r="K547" s="28">
        <v>300</v>
      </c>
      <c r="L547" s="28">
        <v>300</v>
      </c>
      <c r="M547" s="28">
        <v>0</v>
      </c>
      <c r="N547" s="36">
        <v>1.6193</v>
      </c>
      <c r="O547" s="35">
        <v>34.0456</v>
      </c>
      <c r="P547" s="20">
        <v>-1.7760847058823526E-2</v>
      </c>
      <c r="Q547" s="20">
        <v>-0.80621463382352943</v>
      </c>
      <c r="R547" s="26" t="s">
        <v>393</v>
      </c>
      <c r="S547" s="26">
        <v>1</v>
      </c>
      <c r="T547" s="71" t="s">
        <v>626</v>
      </c>
    </row>
    <row r="548" spans="1:20" s="14" customFormat="1" ht="12.75" customHeight="1">
      <c r="A548" s="19" t="s">
        <v>392</v>
      </c>
      <c r="B548" s="19" t="s">
        <v>373</v>
      </c>
      <c r="C548" s="19" t="s">
        <v>514</v>
      </c>
      <c r="D548" s="34">
        <v>43310</v>
      </c>
      <c r="E548" s="19">
        <v>2018</v>
      </c>
      <c r="F548" s="19">
        <v>7</v>
      </c>
      <c r="G548" s="30">
        <v>29</v>
      </c>
      <c r="H548" s="29">
        <v>0.7689583333333333</v>
      </c>
      <c r="I548" s="35">
        <v>137.90666666666667</v>
      </c>
      <c r="J548" s="35">
        <v>37.840000000000003</v>
      </c>
      <c r="K548" s="28">
        <v>200</v>
      </c>
      <c r="L548" s="28">
        <v>200</v>
      </c>
      <c r="M548" s="28">
        <v>0</v>
      </c>
      <c r="N548" s="36">
        <v>6.4691999999999998</v>
      </c>
      <c r="O548" s="35">
        <v>34.1556</v>
      </c>
      <c r="P548" s="20">
        <v>6.3236630588235698E-2</v>
      </c>
      <c r="Q548" s="20">
        <v>-1.0262631764705432E-2</v>
      </c>
      <c r="R548" s="26" t="s">
        <v>393</v>
      </c>
      <c r="S548" s="26">
        <v>1</v>
      </c>
      <c r="T548" s="71" t="s">
        <v>626</v>
      </c>
    </row>
    <row r="549" spans="1:20" s="14" customFormat="1" ht="12.75" customHeight="1">
      <c r="A549" s="19" t="s">
        <v>392</v>
      </c>
      <c r="B549" s="19" t="s">
        <v>373</v>
      </c>
      <c r="C549" s="19" t="s">
        <v>514</v>
      </c>
      <c r="D549" s="34">
        <v>43310</v>
      </c>
      <c r="E549" s="19">
        <v>2018</v>
      </c>
      <c r="F549" s="19">
        <v>7</v>
      </c>
      <c r="G549" s="30">
        <v>29</v>
      </c>
      <c r="H549" s="29">
        <v>0.76989583333333333</v>
      </c>
      <c r="I549" s="35">
        <v>137.90666666666667</v>
      </c>
      <c r="J549" s="35">
        <v>37.840000000000003</v>
      </c>
      <c r="K549" s="28">
        <v>150</v>
      </c>
      <c r="L549" s="28">
        <v>150</v>
      </c>
      <c r="M549" s="28">
        <v>0</v>
      </c>
      <c r="N549" s="36">
        <v>10.767300000000001</v>
      </c>
      <c r="O549" s="35">
        <v>34.336300000000001</v>
      </c>
      <c r="P549" s="20">
        <v>0.15291090823529396</v>
      </c>
      <c r="Q549" s="20">
        <v>0.67045917529411625</v>
      </c>
      <c r="R549" s="26" t="s">
        <v>393</v>
      </c>
      <c r="S549" s="26">
        <v>1</v>
      </c>
      <c r="T549" s="71" t="s">
        <v>626</v>
      </c>
    </row>
    <row r="550" spans="1:20" s="14" customFormat="1" ht="12.75" customHeight="1">
      <c r="A550" s="19" t="s">
        <v>392</v>
      </c>
      <c r="B550" s="19" t="s">
        <v>373</v>
      </c>
      <c r="C550" s="19" t="s">
        <v>514</v>
      </c>
      <c r="D550" s="34">
        <v>43310</v>
      </c>
      <c r="E550" s="19">
        <v>2018</v>
      </c>
      <c r="F550" s="19">
        <v>7</v>
      </c>
      <c r="G550" s="30">
        <v>29</v>
      </c>
      <c r="H550" s="29">
        <v>0.77047453703703705</v>
      </c>
      <c r="I550" s="35">
        <v>137.90666666666667</v>
      </c>
      <c r="J550" s="35">
        <v>37.840000000000003</v>
      </c>
      <c r="K550" s="28">
        <v>125</v>
      </c>
      <c r="L550" s="28">
        <v>125</v>
      </c>
      <c r="M550" s="28">
        <v>0</v>
      </c>
      <c r="N550" s="36">
        <v>12.7111</v>
      </c>
      <c r="O550" s="35">
        <v>34.454599999999999</v>
      </c>
      <c r="P550" s="20">
        <v>0.26268888823529446</v>
      </c>
      <c r="Q550" s="20">
        <v>1.1661739247058822</v>
      </c>
      <c r="R550" s="26" t="s">
        <v>393</v>
      </c>
      <c r="S550" s="26">
        <v>1</v>
      </c>
      <c r="T550" s="71" t="s">
        <v>626</v>
      </c>
    </row>
    <row r="551" spans="1:20" s="14" customFormat="1" ht="12.75" customHeight="1">
      <c r="A551" s="19" t="s">
        <v>392</v>
      </c>
      <c r="B551" s="19" t="s">
        <v>373</v>
      </c>
      <c r="C551" s="19" t="s">
        <v>514</v>
      </c>
      <c r="D551" s="34">
        <v>43310</v>
      </c>
      <c r="E551" s="19">
        <v>2018</v>
      </c>
      <c r="F551" s="19">
        <v>7</v>
      </c>
      <c r="G551" s="30">
        <v>29</v>
      </c>
      <c r="H551" s="29">
        <v>0.77107638888888896</v>
      </c>
      <c r="I551" s="35">
        <v>137.90666666666667</v>
      </c>
      <c r="J551" s="35">
        <v>37.840000000000003</v>
      </c>
      <c r="K551" s="28">
        <v>100</v>
      </c>
      <c r="L551" s="28">
        <v>100</v>
      </c>
      <c r="M551" s="28">
        <v>0</v>
      </c>
      <c r="N551" s="36">
        <v>13.435</v>
      </c>
      <c r="O551" s="35">
        <v>34.487400000000001</v>
      </c>
      <c r="P551" s="20">
        <v>0.22237558588235329</v>
      </c>
      <c r="Q551" s="20">
        <v>1.1715790376470601</v>
      </c>
      <c r="R551" s="26" t="s">
        <v>393</v>
      </c>
      <c r="S551" s="26">
        <v>1</v>
      </c>
      <c r="T551" s="71" t="s">
        <v>626</v>
      </c>
    </row>
    <row r="552" spans="1:20" s="14" customFormat="1" ht="12.75" customHeight="1">
      <c r="A552" s="19" t="s">
        <v>392</v>
      </c>
      <c r="B552" s="19" t="s">
        <v>373</v>
      </c>
      <c r="C552" s="19" t="s">
        <v>514</v>
      </c>
      <c r="D552" s="34">
        <v>43310</v>
      </c>
      <c r="E552" s="19">
        <v>2018</v>
      </c>
      <c r="F552" s="19">
        <v>7</v>
      </c>
      <c r="G552" s="30">
        <v>29</v>
      </c>
      <c r="H552" s="29">
        <v>0.77164351851851853</v>
      </c>
      <c r="I552" s="35">
        <v>137.90666666666667</v>
      </c>
      <c r="J552" s="35">
        <v>37.840000000000003</v>
      </c>
      <c r="K552" s="28">
        <v>80</v>
      </c>
      <c r="L552" s="28">
        <v>80</v>
      </c>
      <c r="M552" s="28">
        <v>0</v>
      </c>
      <c r="N552" s="36">
        <v>14.6098</v>
      </c>
      <c r="O552" s="35">
        <v>34.508600000000001</v>
      </c>
      <c r="P552" s="20">
        <v>0.21843150352941221</v>
      </c>
      <c r="Q552" s="20">
        <v>1.2495885905882371</v>
      </c>
      <c r="R552" s="26" t="s">
        <v>393</v>
      </c>
      <c r="S552" s="26">
        <v>1</v>
      </c>
      <c r="T552" s="71" t="s">
        <v>626</v>
      </c>
    </row>
    <row r="553" spans="1:20" s="14" customFormat="1" ht="12.75" customHeight="1">
      <c r="A553" s="19" t="s">
        <v>392</v>
      </c>
      <c r="B553" s="19" t="s">
        <v>373</v>
      </c>
      <c r="C553" s="19" t="s">
        <v>514</v>
      </c>
      <c r="D553" s="34">
        <v>43310</v>
      </c>
      <c r="E553" s="19">
        <v>2018</v>
      </c>
      <c r="F553" s="19">
        <v>7</v>
      </c>
      <c r="G553" s="30">
        <v>29</v>
      </c>
      <c r="H553" s="29">
        <v>0.77217592592592599</v>
      </c>
      <c r="I553" s="35">
        <v>137.90666666666667</v>
      </c>
      <c r="J553" s="35">
        <v>37.840000000000003</v>
      </c>
      <c r="K553" s="28">
        <v>60</v>
      </c>
      <c r="L553" s="28">
        <v>60</v>
      </c>
      <c r="M553" s="28">
        <v>0</v>
      </c>
      <c r="N553" s="36">
        <v>15.6791</v>
      </c>
      <c r="O553" s="35">
        <v>34.541400000000003</v>
      </c>
      <c r="P553" s="20">
        <v>0.24618350117647037</v>
      </c>
      <c r="Q553" s="20">
        <v>1.334484743529412</v>
      </c>
      <c r="R553" s="26" t="s">
        <v>393</v>
      </c>
      <c r="S553" s="26">
        <v>1</v>
      </c>
      <c r="T553" s="71" t="s">
        <v>626</v>
      </c>
    </row>
    <row r="554" spans="1:20" s="14" customFormat="1" ht="12.75" customHeight="1">
      <c r="A554" s="19" t="s">
        <v>392</v>
      </c>
      <c r="B554" s="19" t="s">
        <v>373</v>
      </c>
      <c r="C554" s="19" t="s">
        <v>514</v>
      </c>
      <c r="D554" s="34">
        <v>43310</v>
      </c>
      <c r="E554" s="19">
        <v>2018</v>
      </c>
      <c r="F554" s="19">
        <v>7</v>
      </c>
      <c r="G554" s="30">
        <v>29</v>
      </c>
      <c r="H554" s="29">
        <v>0.77251157407407411</v>
      </c>
      <c r="I554" s="35">
        <v>137.90666666666667</v>
      </c>
      <c r="J554" s="35">
        <v>37.840000000000003</v>
      </c>
      <c r="K554" s="28">
        <v>50</v>
      </c>
      <c r="L554" s="28">
        <v>50</v>
      </c>
      <c r="M554" s="28">
        <v>0</v>
      </c>
      <c r="N554" s="36">
        <v>16.479600000000001</v>
      </c>
      <c r="O554" s="35">
        <v>34.527500000000003</v>
      </c>
      <c r="P554" s="20">
        <v>0.22781363882352945</v>
      </c>
      <c r="Q554" s="20">
        <v>1.2840100164705888</v>
      </c>
      <c r="R554" s="26" t="s">
        <v>393</v>
      </c>
      <c r="S554" s="26">
        <v>1</v>
      </c>
      <c r="T554" s="71" t="s">
        <v>626</v>
      </c>
    </row>
    <row r="555" spans="1:20" s="14" customFormat="1" ht="12.75" customHeight="1">
      <c r="A555" s="19" t="s">
        <v>392</v>
      </c>
      <c r="B555" s="19" t="s">
        <v>373</v>
      </c>
      <c r="C555" s="19" t="s">
        <v>514</v>
      </c>
      <c r="D555" s="34">
        <v>43310</v>
      </c>
      <c r="E555" s="19">
        <v>2018</v>
      </c>
      <c r="F555" s="19">
        <v>7</v>
      </c>
      <c r="G555" s="30">
        <v>29</v>
      </c>
      <c r="H555" s="29">
        <v>0.77289351851851851</v>
      </c>
      <c r="I555" s="35">
        <v>137.90666666666667</v>
      </c>
      <c r="J555" s="35">
        <v>37.840000000000003</v>
      </c>
      <c r="K555" s="28">
        <v>40</v>
      </c>
      <c r="L555" s="28">
        <v>40</v>
      </c>
      <c r="M555" s="28">
        <v>0</v>
      </c>
      <c r="N555" s="36">
        <v>17.220400000000001</v>
      </c>
      <c r="O555" s="35">
        <v>34.412199999999999</v>
      </c>
      <c r="P555" s="20">
        <v>0.25292429647058823</v>
      </c>
      <c r="Q555" s="20">
        <v>1.1428289294117686</v>
      </c>
      <c r="R555" s="26" t="s">
        <v>393</v>
      </c>
      <c r="S555" s="26">
        <v>1</v>
      </c>
      <c r="T555" s="71" t="s">
        <v>626</v>
      </c>
    </row>
    <row r="556" spans="1:20" s="14" customFormat="1" ht="12.75" customHeight="1">
      <c r="A556" s="19" t="s">
        <v>392</v>
      </c>
      <c r="B556" s="19" t="s">
        <v>373</v>
      </c>
      <c r="C556" s="19" t="s">
        <v>514</v>
      </c>
      <c r="D556" s="34">
        <v>43310</v>
      </c>
      <c r="E556" s="19">
        <v>2018</v>
      </c>
      <c r="F556" s="19">
        <v>7</v>
      </c>
      <c r="G556" s="30">
        <v>29</v>
      </c>
      <c r="H556" s="29">
        <v>0.77328703703703694</v>
      </c>
      <c r="I556" s="35">
        <v>137.90666666666667</v>
      </c>
      <c r="J556" s="35">
        <v>37.840000000000003</v>
      </c>
      <c r="K556" s="28">
        <v>30</v>
      </c>
      <c r="L556" s="28">
        <v>30</v>
      </c>
      <c r="M556" s="28">
        <v>0</v>
      </c>
      <c r="N556" s="36">
        <v>19.2211</v>
      </c>
      <c r="O556" s="35">
        <v>34.337400000000002</v>
      </c>
      <c r="P556" s="20">
        <v>0.19635659411764683</v>
      </c>
      <c r="Q556" s="20">
        <v>0.98767788235294063</v>
      </c>
      <c r="R556" s="26" t="s">
        <v>393</v>
      </c>
      <c r="S556" s="26">
        <v>1</v>
      </c>
      <c r="T556" s="71" t="s">
        <v>626</v>
      </c>
    </row>
    <row r="557" spans="1:20" s="14" customFormat="1" ht="12.75" customHeight="1">
      <c r="A557" s="19" t="s">
        <v>392</v>
      </c>
      <c r="B557" s="19" t="s">
        <v>373</v>
      </c>
      <c r="C557" s="19" t="s">
        <v>514</v>
      </c>
      <c r="D557" s="34">
        <v>43310</v>
      </c>
      <c r="E557" s="19">
        <v>2018</v>
      </c>
      <c r="F557" s="19">
        <v>7</v>
      </c>
      <c r="G557" s="30">
        <v>29</v>
      </c>
      <c r="H557" s="29">
        <v>0.77418981481481486</v>
      </c>
      <c r="I557" s="35">
        <v>137.90666666666667</v>
      </c>
      <c r="J557" s="35">
        <v>37.840000000000003</v>
      </c>
      <c r="K557" s="28">
        <v>20</v>
      </c>
      <c r="L557" s="28">
        <v>20</v>
      </c>
      <c r="M557" s="28">
        <v>0</v>
      </c>
      <c r="N557" s="36">
        <v>20.988900000000001</v>
      </c>
      <c r="O557" s="35">
        <v>34.219099999999997</v>
      </c>
      <c r="P557" s="20">
        <v>0.17976754470588263</v>
      </c>
      <c r="Q557" s="20">
        <v>0.65886877411764644</v>
      </c>
      <c r="R557" s="26" t="s">
        <v>393</v>
      </c>
      <c r="S557" s="26">
        <v>1</v>
      </c>
      <c r="T557" s="71" t="s">
        <v>626</v>
      </c>
    </row>
    <row r="558" spans="1:20" s="14" customFormat="1" ht="12.75" customHeight="1">
      <c r="A558" s="19" t="s">
        <v>392</v>
      </c>
      <c r="B558" s="19" t="s">
        <v>373</v>
      </c>
      <c r="C558" s="19" t="s">
        <v>514</v>
      </c>
      <c r="D558" s="34">
        <v>43310</v>
      </c>
      <c r="E558" s="19">
        <v>2018</v>
      </c>
      <c r="F558" s="19">
        <v>7</v>
      </c>
      <c r="G558" s="30">
        <v>29</v>
      </c>
      <c r="H558" s="29">
        <v>0.77484953703703707</v>
      </c>
      <c r="I558" s="35">
        <v>137.90666666666667</v>
      </c>
      <c r="J558" s="35">
        <v>37.840000000000003</v>
      </c>
      <c r="K558" s="28">
        <v>10</v>
      </c>
      <c r="L558" s="28">
        <v>10</v>
      </c>
      <c r="M558" s="28">
        <v>0</v>
      </c>
      <c r="N558" s="36">
        <v>25.562799999999999</v>
      </c>
      <c r="O558" s="35">
        <v>34.0441</v>
      </c>
      <c r="P558" s="20">
        <v>5.6353622352941279E-2</v>
      </c>
      <c r="Q558" s="20">
        <v>0.14758212705882556</v>
      </c>
      <c r="R558" s="26" t="s">
        <v>393</v>
      </c>
      <c r="S558" s="26">
        <v>1</v>
      </c>
      <c r="T558" s="71" t="s">
        <v>626</v>
      </c>
    </row>
    <row r="559" spans="1:20" s="14" customFormat="1" ht="12.75" customHeight="1">
      <c r="A559" s="19"/>
      <c r="B559" s="19"/>
      <c r="C559" s="19"/>
      <c r="D559" s="34"/>
      <c r="E559" s="19"/>
      <c r="F559" s="19"/>
      <c r="G559" s="30"/>
      <c r="H559" s="29"/>
      <c r="I559" s="35"/>
      <c r="J559" s="35"/>
      <c r="K559" s="28"/>
      <c r="L559" s="28"/>
      <c r="M559" s="28"/>
      <c r="N559" s="36"/>
      <c r="O559" s="35"/>
      <c r="P559" s="20"/>
      <c r="Q559" s="20"/>
      <c r="R559" s="26"/>
      <c r="S559" s="26"/>
      <c r="T559" s="71"/>
    </row>
    <row r="560" spans="1:20" s="14" customFormat="1" ht="12.75" customHeight="1">
      <c r="A560" s="19" t="s">
        <v>392</v>
      </c>
      <c r="B560" s="19" t="s">
        <v>380</v>
      </c>
      <c r="C560" s="19" t="s">
        <v>514</v>
      </c>
      <c r="D560" s="34">
        <v>43313</v>
      </c>
      <c r="E560" s="19">
        <v>2018</v>
      </c>
      <c r="F560" s="19">
        <v>8</v>
      </c>
      <c r="G560" s="30">
        <v>1</v>
      </c>
      <c r="H560" s="29">
        <v>0.26730324074074074</v>
      </c>
      <c r="I560" s="35">
        <v>137.42883333333333</v>
      </c>
      <c r="J560" s="35">
        <v>39.335000000000001</v>
      </c>
      <c r="K560" s="28">
        <v>500</v>
      </c>
      <c r="L560" s="28">
        <v>500</v>
      </c>
      <c r="M560" s="28">
        <v>0</v>
      </c>
      <c r="N560" s="36">
        <v>0.72860000000000003</v>
      </c>
      <c r="O560" s="35">
        <v>34.065399999999997</v>
      </c>
      <c r="P560" s="20">
        <v>-7.2326748235293614E-2</v>
      </c>
      <c r="Q560" s="20">
        <v>-0.86103030117647172</v>
      </c>
      <c r="R560" s="26" t="s">
        <v>393</v>
      </c>
      <c r="S560" s="26">
        <v>1</v>
      </c>
      <c r="T560" s="71" t="s">
        <v>626</v>
      </c>
    </row>
    <row r="561" spans="1:20" s="14" customFormat="1" ht="12.75" customHeight="1">
      <c r="A561" s="19" t="s">
        <v>392</v>
      </c>
      <c r="B561" s="19" t="s">
        <v>380</v>
      </c>
      <c r="C561" s="19" t="s">
        <v>514</v>
      </c>
      <c r="D561" s="34">
        <v>43313</v>
      </c>
      <c r="E561" s="19">
        <v>2018</v>
      </c>
      <c r="F561" s="19">
        <v>8</v>
      </c>
      <c r="G561" s="30">
        <v>1</v>
      </c>
      <c r="H561" s="29">
        <v>0.26931712962962961</v>
      </c>
      <c r="I561" s="35">
        <v>137.42883333333333</v>
      </c>
      <c r="J561" s="35">
        <v>39.335000000000001</v>
      </c>
      <c r="K561" s="28">
        <v>400</v>
      </c>
      <c r="L561" s="28">
        <v>400</v>
      </c>
      <c r="M561" s="28">
        <v>0</v>
      </c>
      <c r="N561" s="36">
        <v>0.8962</v>
      </c>
      <c r="O561" s="35">
        <v>34.055599999999998</v>
      </c>
      <c r="P561" s="20">
        <v>-8.5410065882352892E-2</v>
      </c>
      <c r="Q561" s="20">
        <v>-0.83171612941176321</v>
      </c>
      <c r="R561" s="26" t="s">
        <v>393</v>
      </c>
      <c r="S561" s="26">
        <v>1</v>
      </c>
      <c r="T561" s="71" t="s">
        <v>626</v>
      </c>
    </row>
    <row r="562" spans="1:20" s="14" customFormat="1" ht="12.75" customHeight="1">
      <c r="A562" s="19" t="s">
        <v>392</v>
      </c>
      <c r="B562" s="19" t="s">
        <v>380</v>
      </c>
      <c r="C562" s="19" t="s">
        <v>514</v>
      </c>
      <c r="D562" s="34">
        <v>43313</v>
      </c>
      <c r="E562" s="19">
        <v>2018</v>
      </c>
      <c r="F562" s="19">
        <v>8</v>
      </c>
      <c r="G562" s="30">
        <v>1</v>
      </c>
      <c r="H562" s="29">
        <v>0.27127314814814812</v>
      </c>
      <c r="I562" s="35">
        <v>137.42883333333333</v>
      </c>
      <c r="J562" s="35">
        <v>39.335000000000001</v>
      </c>
      <c r="K562" s="28">
        <v>300</v>
      </c>
      <c r="L562" s="28">
        <v>300</v>
      </c>
      <c r="M562" s="28">
        <v>0</v>
      </c>
      <c r="N562" s="36">
        <v>1.2158</v>
      </c>
      <c r="O562" s="35">
        <v>34.039499999999997</v>
      </c>
      <c r="P562" s="20">
        <v>-7.9984073529411281E-2</v>
      </c>
      <c r="Q562" s="20">
        <v>-0.75935361764705966</v>
      </c>
      <c r="R562" s="26" t="s">
        <v>393</v>
      </c>
      <c r="S562" s="26">
        <v>1</v>
      </c>
      <c r="T562" s="71" t="s">
        <v>626</v>
      </c>
    </row>
    <row r="563" spans="1:20" s="14" customFormat="1" ht="12.75" customHeight="1">
      <c r="A563" s="19" t="s">
        <v>392</v>
      </c>
      <c r="B563" s="19" t="s">
        <v>380</v>
      </c>
      <c r="C563" s="19" t="s">
        <v>514</v>
      </c>
      <c r="D563" s="34">
        <v>43313</v>
      </c>
      <c r="E563" s="19">
        <v>2018</v>
      </c>
      <c r="F563" s="19">
        <v>8</v>
      </c>
      <c r="G563" s="30">
        <v>1</v>
      </c>
      <c r="H563" s="29">
        <v>0.27306712962962965</v>
      </c>
      <c r="I563" s="35">
        <v>137.42883333333333</v>
      </c>
      <c r="J563" s="35">
        <v>39.335000000000001</v>
      </c>
      <c r="K563" s="28">
        <v>200</v>
      </c>
      <c r="L563" s="28">
        <v>200</v>
      </c>
      <c r="M563" s="28">
        <v>0</v>
      </c>
      <c r="N563" s="36">
        <v>2.7111000000000001</v>
      </c>
      <c r="O563" s="35">
        <v>34.028500000000001</v>
      </c>
      <c r="P563" s="20">
        <v>-2.0172701176470298E-2</v>
      </c>
      <c r="Q563" s="20">
        <v>-0.63070466588235341</v>
      </c>
      <c r="R563" s="26" t="s">
        <v>393</v>
      </c>
      <c r="S563" s="26">
        <v>1</v>
      </c>
      <c r="T563" s="71" t="s">
        <v>626</v>
      </c>
    </row>
    <row r="564" spans="1:20" s="14" customFormat="1" ht="12.75" customHeight="1">
      <c r="A564" s="19" t="s">
        <v>392</v>
      </c>
      <c r="B564" s="19" t="s">
        <v>380</v>
      </c>
      <c r="C564" s="19" t="s">
        <v>514</v>
      </c>
      <c r="D564" s="34">
        <v>43313</v>
      </c>
      <c r="E564" s="19">
        <v>2018</v>
      </c>
      <c r="F564" s="19">
        <v>8</v>
      </c>
      <c r="G564" s="30">
        <v>1</v>
      </c>
      <c r="H564" s="29">
        <v>0.27417824074074076</v>
      </c>
      <c r="I564" s="35">
        <v>137.42883333333333</v>
      </c>
      <c r="J564" s="35">
        <v>39.335000000000001</v>
      </c>
      <c r="K564" s="28">
        <v>150</v>
      </c>
      <c r="L564" s="28">
        <v>150</v>
      </c>
      <c r="M564" s="28">
        <v>0</v>
      </c>
      <c r="N564" s="36">
        <v>5.1510999999999996</v>
      </c>
      <c r="O564" s="35">
        <v>34.097499999999997</v>
      </c>
      <c r="P564" s="20">
        <v>3.6034117647076869E-4</v>
      </c>
      <c r="Q564" s="20">
        <v>-0.34153149411764616</v>
      </c>
      <c r="R564" s="26" t="s">
        <v>393</v>
      </c>
      <c r="S564" s="26">
        <v>1</v>
      </c>
      <c r="T564" s="71" t="s">
        <v>626</v>
      </c>
    </row>
    <row r="565" spans="1:20" s="14" customFormat="1" ht="12.75" customHeight="1">
      <c r="A565" s="19" t="s">
        <v>392</v>
      </c>
      <c r="B565" s="19" t="s">
        <v>380</v>
      </c>
      <c r="C565" s="19" t="s">
        <v>514</v>
      </c>
      <c r="D565" s="34">
        <v>43313</v>
      </c>
      <c r="E565" s="19">
        <v>2018</v>
      </c>
      <c r="F565" s="19">
        <v>8</v>
      </c>
      <c r="G565" s="30">
        <v>1</v>
      </c>
      <c r="H565" s="29">
        <v>0.27496527777777779</v>
      </c>
      <c r="I565" s="35">
        <v>137.42883333333333</v>
      </c>
      <c r="J565" s="35">
        <v>39.335000000000001</v>
      </c>
      <c r="K565" s="28">
        <v>125</v>
      </c>
      <c r="L565" s="28">
        <v>125</v>
      </c>
      <c r="M565" s="28">
        <v>0</v>
      </c>
      <c r="N565" s="36">
        <v>7.5316000000000001</v>
      </c>
      <c r="O565" s="35">
        <v>34.179600000000001</v>
      </c>
      <c r="P565" s="20">
        <v>8.6907383529412296E-2</v>
      </c>
      <c r="Q565" s="20">
        <v>0.1425849576470597</v>
      </c>
      <c r="R565" s="26" t="s">
        <v>393</v>
      </c>
      <c r="S565" s="26">
        <v>1</v>
      </c>
      <c r="T565" s="71" t="s">
        <v>626</v>
      </c>
    </row>
    <row r="566" spans="1:20" s="14" customFormat="1" ht="12.75" customHeight="1">
      <c r="A566" s="19" t="s">
        <v>392</v>
      </c>
      <c r="B566" s="19" t="s">
        <v>380</v>
      </c>
      <c r="C566" s="19" t="s">
        <v>514</v>
      </c>
      <c r="D566" s="34">
        <v>43313</v>
      </c>
      <c r="E566" s="19">
        <v>2018</v>
      </c>
      <c r="F566" s="19">
        <v>8</v>
      </c>
      <c r="G566" s="30">
        <v>1</v>
      </c>
      <c r="H566" s="29">
        <v>0.27575231481481483</v>
      </c>
      <c r="I566" s="35">
        <v>137.42883333333333</v>
      </c>
      <c r="J566" s="35">
        <v>39.335000000000001</v>
      </c>
      <c r="K566" s="28">
        <v>100</v>
      </c>
      <c r="L566" s="28">
        <v>100</v>
      </c>
      <c r="M566" s="28">
        <v>0</v>
      </c>
      <c r="N566" s="36">
        <v>9.5131999999999994</v>
      </c>
      <c r="O566" s="35">
        <v>34.271299999999997</v>
      </c>
      <c r="P566" s="20">
        <v>0.16157190588235304</v>
      </c>
      <c r="Q566" s="20">
        <v>0.61807212941176459</v>
      </c>
      <c r="R566" s="26" t="s">
        <v>393</v>
      </c>
      <c r="S566" s="26">
        <v>1</v>
      </c>
      <c r="T566" s="71" t="s">
        <v>626</v>
      </c>
    </row>
    <row r="567" spans="1:20" s="14" customFormat="1" ht="12.75" customHeight="1">
      <c r="A567" s="19" t="s">
        <v>392</v>
      </c>
      <c r="B567" s="19" t="s">
        <v>380</v>
      </c>
      <c r="C567" s="19" t="s">
        <v>514</v>
      </c>
      <c r="D567" s="34">
        <v>43313</v>
      </c>
      <c r="E567" s="19">
        <v>2018</v>
      </c>
      <c r="F567" s="19">
        <v>8</v>
      </c>
      <c r="G567" s="30">
        <v>1</v>
      </c>
      <c r="H567" s="29">
        <v>0.27649305555555553</v>
      </c>
      <c r="I567" s="35">
        <v>137.42883333333333</v>
      </c>
      <c r="J567" s="35">
        <v>39.335000000000001</v>
      </c>
      <c r="K567" s="28">
        <v>80</v>
      </c>
      <c r="L567" s="28">
        <v>80</v>
      </c>
      <c r="M567" s="28">
        <v>0</v>
      </c>
      <c r="N567" s="36">
        <v>10.468500000000001</v>
      </c>
      <c r="O567" s="35">
        <v>34.293999999999997</v>
      </c>
      <c r="P567" s="20">
        <v>0.1488470352941178</v>
      </c>
      <c r="Q567" s="20">
        <v>0.63715674789916044</v>
      </c>
      <c r="R567" s="26" t="s">
        <v>393</v>
      </c>
      <c r="S567" s="26">
        <v>1</v>
      </c>
      <c r="T567" s="71" t="s">
        <v>626</v>
      </c>
    </row>
    <row r="568" spans="1:20" s="14" customFormat="1" ht="12.75" customHeight="1">
      <c r="A568" s="19" t="s">
        <v>392</v>
      </c>
      <c r="B568" s="19" t="s">
        <v>380</v>
      </c>
      <c r="C568" s="19" t="s">
        <v>514</v>
      </c>
      <c r="D568" s="34">
        <v>43313</v>
      </c>
      <c r="E568" s="19">
        <v>2018</v>
      </c>
      <c r="F568" s="19">
        <v>8</v>
      </c>
      <c r="G568" s="30">
        <v>1</v>
      </c>
      <c r="H568" s="29">
        <v>0.2772337962962963</v>
      </c>
      <c r="I568" s="35">
        <v>137.42883333333333</v>
      </c>
      <c r="J568" s="35">
        <v>39.335000000000001</v>
      </c>
      <c r="K568" s="28">
        <v>60</v>
      </c>
      <c r="L568" s="28">
        <v>60</v>
      </c>
      <c r="M568" s="28">
        <v>0</v>
      </c>
      <c r="N568" s="36">
        <v>11.665100000000001</v>
      </c>
      <c r="O568" s="35">
        <v>34.376899999999999</v>
      </c>
      <c r="P568" s="20">
        <v>0.18596337478991654</v>
      </c>
      <c r="Q568" s="20">
        <v>0.90206707394957952</v>
      </c>
      <c r="R568" s="26" t="s">
        <v>393</v>
      </c>
      <c r="S568" s="26">
        <v>1</v>
      </c>
      <c r="T568" s="71" t="s">
        <v>626</v>
      </c>
    </row>
    <row r="569" spans="1:20" s="14" customFormat="1" ht="12.75" customHeight="1">
      <c r="A569" s="19" t="s">
        <v>392</v>
      </c>
      <c r="B569" s="19" t="s">
        <v>380</v>
      </c>
      <c r="C569" s="19" t="s">
        <v>514</v>
      </c>
      <c r="D569" s="34">
        <v>43313</v>
      </c>
      <c r="E569" s="19">
        <v>2018</v>
      </c>
      <c r="F569" s="19">
        <v>8</v>
      </c>
      <c r="G569" s="30">
        <v>1</v>
      </c>
      <c r="H569" s="29">
        <v>0.27769675925925924</v>
      </c>
      <c r="I569" s="35">
        <v>137.42883333333333</v>
      </c>
      <c r="J569" s="35">
        <v>39.335000000000001</v>
      </c>
      <c r="K569" s="28">
        <v>50</v>
      </c>
      <c r="L569" s="28">
        <v>50</v>
      </c>
      <c r="M569" s="28">
        <v>0</v>
      </c>
      <c r="N569" s="36">
        <v>13.674300000000001</v>
      </c>
      <c r="O569" s="35">
        <v>34.451300000000003</v>
      </c>
      <c r="P569" s="20">
        <v>0.16736679999999993</v>
      </c>
      <c r="Q569" s="20">
        <v>0.85043972000000068</v>
      </c>
      <c r="R569" s="26" t="s">
        <v>393</v>
      </c>
      <c r="S569" s="26">
        <v>1</v>
      </c>
      <c r="T569" s="71" t="s">
        <v>626</v>
      </c>
    </row>
    <row r="570" spans="1:20" s="14" customFormat="1" ht="12.75" customHeight="1">
      <c r="A570" s="19" t="s">
        <v>392</v>
      </c>
      <c r="B570" s="19" t="s">
        <v>380</v>
      </c>
      <c r="C570" s="19" t="s">
        <v>514</v>
      </c>
      <c r="D570" s="34">
        <v>43313</v>
      </c>
      <c r="E570" s="19">
        <v>2018</v>
      </c>
      <c r="F570" s="19">
        <v>8</v>
      </c>
      <c r="G570" s="30">
        <v>1</v>
      </c>
      <c r="H570" s="29">
        <v>0.27818287037037037</v>
      </c>
      <c r="I570" s="35">
        <v>137.42883333333333</v>
      </c>
      <c r="J570" s="35">
        <v>39.335000000000001</v>
      </c>
      <c r="K570" s="28">
        <v>40</v>
      </c>
      <c r="L570" s="28">
        <v>40</v>
      </c>
      <c r="M570" s="28">
        <v>0</v>
      </c>
      <c r="N570" s="36">
        <v>14.9719</v>
      </c>
      <c r="O570" s="35">
        <v>34.43</v>
      </c>
      <c r="P570" s="20">
        <v>0.1947043623529412</v>
      </c>
      <c r="Q570" s="20">
        <v>1.0162534117647031</v>
      </c>
      <c r="R570" s="26" t="s">
        <v>393</v>
      </c>
      <c r="S570" s="26">
        <v>1</v>
      </c>
      <c r="T570" s="71" t="s">
        <v>626</v>
      </c>
    </row>
    <row r="571" spans="1:20" s="14" customFormat="1" ht="12.75" customHeight="1">
      <c r="A571" s="19" t="s">
        <v>392</v>
      </c>
      <c r="B571" s="19" t="s">
        <v>380</v>
      </c>
      <c r="C571" s="19" t="s">
        <v>514</v>
      </c>
      <c r="D571" s="34">
        <v>43313</v>
      </c>
      <c r="E571" s="19">
        <v>2018</v>
      </c>
      <c r="F571" s="19">
        <v>8</v>
      </c>
      <c r="G571" s="30">
        <v>1</v>
      </c>
      <c r="H571" s="29">
        <v>0.27879629629629626</v>
      </c>
      <c r="I571" s="35">
        <v>137.42883333333333</v>
      </c>
      <c r="J571" s="35">
        <v>39.335000000000001</v>
      </c>
      <c r="K571" s="28">
        <v>30</v>
      </c>
      <c r="L571" s="28">
        <v>30</v>
      </c>
      <c r="M571" s="28">
        <v>0</v>
      </c>
      <c r="N571" s="36">
        <v>17.531400000000001</v>
      </c>
      <c r="O571" s="35">
        <v>34.339700000000001</v>
      </c>
      <c r="P571" s="20">
        <v>0.2112765647058823</v>
      </c>
      <c r="Q571" s="20">
        <v>0.84885922352941101</v>
      </c>
      <c r="R571" s="26" t="s">
        <v>393</v>
      </c>
      <c r="S571" s="26">
        <v>1</v>
      </c>
      <c r="T571" s="71" t="s">
        <v>626</v>
      </c>
    </row>
    <row r="572" spans="1:20" s="14" customFormat="1" ht="12.75" customHeight="1">
      <c r="A572" s="19" t="s">
        <v>392</v>
      </c>
      <c r="B572" s="19" t="s">
        <v>380</v>
      </c>
      <c r="C572" s="19" t="s">
        <v>514</v>
      </c>
      <c r="D572" s="34">
        <v>43313</v>
      </c>
      <c r="E572" s="19">
        <v>2018</v>
      </c>
      <c r="F572" s="19">
        <v>8</v>
      </c>
      <c r="G572" s="30">
        <v>1</v>
      </c>
      <c r="H572" s="29">
        <v>0.27997685185185184</v>
      </c>
      <c r="I572" s="35">
        <v>137.42883333333333</v>
      </c>
      <c r="J572" s="35">
        <v>39.335000000000001</v>
      </c>
      <c r="K572" s="28">
        <v>20</v>
      </c>
      <c r="L572" s="28">
        <v>20</v>
      </c>
      <c r="M572" s="28">
        <v>0</v>
      </c>
      <c r="N572" s="36">
        <v>20.335100000000001</v>
      </c>
      <c r="O572" s="35">
        <v>34.261600000000001</v>
      </c>
      <c r="P572" s="20">
        <v>0.15604584705882374</v>
      </c>
      <c r="Q572" s="20">
        <v>0.63325220196078469</v>
      </c>
      <c r="R572" s="26" t="s">
        <v>393</v>
      </c>
      <c r="S572" s="26">
        <v>1</v>
      </c>
      <c r="T572" s="71" t="s">
        <v>626</v>
      </c>
    </row>
    <row r="573" spans="1:20" s="14" customFormat="1" ht="12.75" customHeight="1">
      <c r="A573" s="19" t="s">
        <v>392</v>
      </c>
      <c r="B573" s="19" t="s">
        <v>380</v>
      </c>
      <c r="C573" s="19" t="s">
        <v>514</v>
      </c>
      <c r="D573" s="34">
        <v>43313</v>
      </c>
      <c r="E573" s="19">
        <v>2018</v>
      </c>
      <c r="F573" s="19">
        <v>8</v>
      </c>
      <c r="G573" s="30">
        <v>1</v>
      </c>
      <c r="H573" s="29">
        <v>0.28114583333333337</v>
      </c>
      <c r="I573" s="35">
        <v>137.42883333333333</v>
      </c>
      <c r="J573" s="35">
        <v>39.335000000000001</v>
      </c>
      <c r="K573" s="28">
        <v>10</v>
      </c>
      <c r="L573" s="28">
        <v>10</v>
      </c>
      <c r="M573" s="28">
        <v>0</v>
      </c>
      <c r="N573" s="36">
        <v>23.209399999999999</v>
      </c>
      <c r="O573" s="35">
        <v>34.101399999999998</v>
      </c>
      <c r="P573" s="20">
        <v>4.1097849411765086E-2</v>
      </c>
      <c r="Q573" s="20">
        <v>-6.5659872941177255E-2</v>
      </c>
      <c r="R573" s="26" t="s">
        <v>393</v>
      </c>
      <c r="S573" s="26">
        <v>1</v>
      </c>
      <c r="T573" s="71" t="s">
        <v>626</v>
      </c>
    </row>
    <row r="574" spans="1:20" s="14" customFormat="1" ht="12.75" customHeight="1">
      <c r="A574" s="19"/>
      <c r="B574" s="19"/>
      <c r="C574" s="19"/>
      <c r="D574" s="34"/>
      <c r="E574" s="19"/>
      <c r="F574" s="19"/>
      <c r="G574" s="30"/>
      <c r="H574" s="29"/>
      <c r="I574" s="35"/>
      <c r="J574" s="35"/>
      <c r="K574" s="28"/>
      <c r="L574" s="28"/>
      <c r="M574" s="28"/>
      <c r="N574" s="36"/>
      <c r="O574" s="35"/>
      <c r="P574" s="20"/>
      <c r="Q574" s="20"/>
      <c r="R574" s="26"/>
      <c r="S574" s="26"/>
      <c r="T574" s="71"/>
    </row>
    <row r="575" spans="1:20" s="14" customFormat="1" ht="12.75" customHeight="1">
      <c r="A575" s="19" t="s">
        <v>392</v>
      </c>
      <c r="B575" s="19" t="s">
        <v>382</v>
      </c>
      <c r="C575" s="19" t="s">
        <v>514</v>
      </c>
      <c r="D575" s="34">
        <v>43312</v>
      </c>
      <c r="E575" s="19">
        <v>2018</v>
      </c>
      <c r="F575" s="19">
        <v>7</v>
      </c>
      <c r="G575" s="30">
        <v>31</v>
      </c>
      <c r="H575" s="29">
        <v>0.39501157407407406</v>
      </c>
      <c r="I575" s="35">
        <v>138.25383333333335</v>
      </c>
      <c r="J575" s="35">
        <v>38.831666666666663</v>
      </c>
      <c r="K575" s="28">
        <v>500</v>
      </c>
      <c r="L575" s="28">
        <v>500</v>
      </c>
      <c r="M575" s="28">
        <v>0</v>
      </c>
      <c r="N575" s="36">
        <v>0.76019999999999999</v>
      </c>
      <c r="O575" s="35">
        <v>34.064300000000003</v>
      </c>
      <c r="P575" s="20">
        <v>-3.6200829411764168E-2</v>
      </c>
      <c r="Q575" s="20">
        <v>-0.79501225647058682</v>
      </c>
      <c r="R575" s="26" t="s">
        <v>393</v>
      </c>
      <c r="S575" s="26">
        <v>1</v>
      </c>
      <c r="T575" s="71" t="s">
        <v>626</v>
      </c>
    </row>
    <row r="576" spans="1:20" s="14" customFormat="1" ht="12.75" customHeight="1">
      <c r="A576" s="19" t="s">
        <v>392</v>
      </c>
      <c r="B576" s="19" t="s">
        <v>382</v>
      </c>
      <c r="C576" s="19" t="s">
        <v>514</v>
      </c>
      <c r="D576" s="34">
        <v>43312</v>
      </c>
      <c r="E576" s="19">
        <v>2018</v>
      </c>
      <c r="F576" s="19">
        <v>7</v>
      </c>
      <c r="G576" s="30">
        <v>31</v>
      </c>
      <c r="H576" s="29">
        <v>0.3971412037037037</v>
      </c>
      <c r="I576" s="35">
        <v>138.25383333333335</v>
      </c>
      <c r="J576" s="35">
        <v>38.831666666666663</v>
      </c>
      <c r="K576" s="28">
        <v>400</v>
      </c>
      <c r="L576" s="28">
        <v>400</v>
      </c>
      <c r="M576" s="28">
        <v>0</v>
      </c>
      <c r="N576" s="36">
        <v>1.0126999999999999</v>
      </c>
      <c r="O576" s="35">
        <v>34.053699999999999</v>
      </c>
      <c r="P576" s="20">
        <v>-7.6624635294118004E-2</v>
      </c>
      <c r="Q576" s="20">
        <v>-1.0165124917647042</v>
      </c>
      <c r="R576" s="26" t="s">
        <v>393</v>
      </c>
      <c r="S576" s="26">
        <v>1</v>
      </c>
      <c r="T576" s="71" t="s">
        <v>626</v>
      </c>
    </row>
    <row r="577" spans="1:20" s="14" customFormat="1" ht="12.75" customHeight="1">
      <c r="A577" s="19" t="s">
        <v>392</v>
      </c>
      <c r="B577" s="19" t="s">
        <v>382</v>
      </c>
      <c r="C577" s="19" t="s">
        <v>514</v>
      </c>
      <c r="D577" s="34">
        <v>43312</v>
      </c>
      <c r="E577" s="19">
        <v>2018</v>
      </c>
      <c r="F577" s="19">
        <v>7</v>
      </c>
      <c r="G577" s="30">
        <v>31</v>
      </c>
      <c r="H577" s="29">
        <v>0.39900462962962963</v>
      </c>
      <c r="I577" s="35">
        <v>138.25383333333335</v>
      </c>
      <c r="J577" s="35">
        <v>38.831666666666663</v>
      </c>
      <c r="K577" s="28">
        <v>300</v>
      </c>
      <c r="L577" s="28">
        <v>300</v>
      </c>
      <c r="M577" s="28">
        <v>0</v>
      </c>
      <c r="N577" s="36">
        <v>1.8260000000000001</v>
      </c>
      <c r="O577" s="35">
        <v>34.034300000000002</v>
      </c>
      <c r="P577" s="20">
        <v>-2.8877241176470836E-2</v>
      </c>
      <c r="Q577" s="20">
        <v>-0.78046476705882384</v>
      </c>
      <c r="R577" s="26" t="s">
        <v>393</v>
      </c>
      <c r="S577" s="26">
        <v>1</v>
      </c>
      <c r="T577" s="71" t="s">
        <v>626</v>
      </c>
    </row>
    <row r="578" spans="1:20" s="14" customFormat="1" ht="12.75" customHeight="1">
      <c r="A578" s="19" t="s">
        <v>392</v>
      </c>
      <c r="B578" s="19" t="s">
        <v>382</v>
      </c>
      <c r="C578" s="19" t="s">
        <v>514</v>
      </c>
      <c r="D578" s="34">
        <v>43312</v>
      </c>
      <c r="E578" s="19">
        <v>2018</v>
      </c>
      <c r="F578" s="19">
        <v>7</v>
      </c>
      <c r="G578" s="30">
        <v>31</v>
      </c>
      <c r="H578" s="29">
        <v>0.40075231481481483</v>
      </c>
      <c r="I578" s="35">
        <v>138.25383333333335</v>
      </c>
      <c r="J578" s="35">
        <v>38.831666666666663</v>
      </c>
      <c r="K578" s="28">
        <v>200</v>
      </c>
      <c r="L578" s="28">
        <v>200</v>
      </c>
      <c r="M578" s="28">
        <v>0</v>
      </c>
      <c r="N578" s="36">
        <v>5.0540000000000003</v>
      </c>
      <c r="O578" s="35">
        <v>34.085700000000003</v>
      </c>
      <c r="P578" s="20">
        <v>-7.6628470588233633E-3</v>
      </c>
      <c r="Q578" s="20">
        <v>-0.32201696235294008</v>
      </c>
      <c r="R578" s="26" t="s">
        <v>393</v>
      </c>
      <c r="S578" s="26">
        <v>1</v>
      </c>
      <c r="T578" s="71" t="s">
        <v>626</v>
      </c>
    </row>
    <row r="579" spans="1:20" s="14" customFormat="1" ht="12.75" customHeight="1">
      <c r="A579" s="19" t="s">
        <v>392</v>
      </c>
      <c r="B579" s="19" t="s">
        <v>382</v>
      </c>
      <c r="C579" s="19" t="s">
        <v>514</v>
      </c>
      <c r="D579" s="34">
        <v>43312</v>
      </c>
      <c r="E579" s="19">
        <v>2018</v>
      </c>
      <c r="F579" s="19">
        <v>7</v>
      </c>
      <c r="G579" s="30">
        <v>31</v>
      </c>
      <c r="H579" s="29">
        <v>0.40199074074074076</v>
      </c>
      <c r="I579" s="35">
        <v>138.25383333333335</v>
      </c>
      <c r="J579" s="35">
        <v>38.831666666666663</v>
      </c>
      <c r="K579" s="28">
        <v>150</v>
      </c>
      <c r="L579" s="28">
        <v>150</v>
      </c>
      <c r="M579" s="28">
        <v>0</v>
      </c>
      <c r="N579" s="36">
        <v>8.8630999999999993</v>
      </c>
      <c r="O579" s="35">
        <v>34.246499999999997</v>
      </c>
      <c r="P579" s="20">
        <v>0.11682614705882388</v>
      </c>
      <c r="Q579" s="20">
        <v>0.39334804235294207</v>
      </c>
      <c r="R579" s="26" t="s">
        <v>393</v>
      </c>
      <c r="S579" s="26">
        <v>1</v>
      </c>
      <c r="T579" s="71" t="s">
        <v>626</v>
      </c>
    </row>
    <row r="580" spans="1:20" s="14" customFormat="1" ht="12.75" customHeight="1">
      <c r="A580" s="19" t="s">
        <v>392</v>
      </c>
      <c r="B580" s="19" t="s">
        <v>382</v>
      </c>
      <c r="C580" s="19" t="s">
        <v>514</v>
      </c>
      <c r="D580" s="34">
        <v>43312</v>
      </c>
      <c r="E580" s="19">
        <v>2018</v>
      </c>
      <c r="F580" s="19">
        <v>7</v>
      </c>
      <c r="G580" s="30">
        <v>31</v>
      </c>
      <c r="H580" s="29">
        <v>0.40287037037037038</v>
      </c>
      <c r="I580" s="35">
        <v>138.25383333333335</v>
      </c>
      <c r="J580" s="35">
        <v>38.831666666666663</v>
      </c>
      <c r="K580" s="28">
        <v>125</v>
      </c>
      <c r="L580" s="28">
        <v>125</v>
      </c>
      <c r="M580" s="28">
        <v>0</v>
      </c>
      <c r="N580" s="36">
        <v>10.118600000000001</v>
      </c>
      <c r="O580" s="35">
        <v>34.3033</v>
      </c>
      <c r="P580" s="20">
        <v>0.1088542411764708</v>
      </c>
      <c r="Q580" s="20">
        <v>0.58683772705882475</v>
      </c>
      <c r="R580" s="26" t="s">
        <v>393</v>
      </c>
      <c r="S580" s="26">
        <v>1</v>
      </c>
      <c r="T580" s="71" t="s">
        <v>626</v>
      </c>
    </row>
    <row r="581" spans="1:20" s="14" customFormat="1" ht="12.75" customHeight="1">
      <c r="A581" s="19" t="s">
        <v>392</v>
      </c>
      <c r="B581" s="19" t="s">
        <v>382</v>
      </c>
      <c r="C581" s="19" t="s">
        <v>514</v>
      </c>
      <c r="D581" s="34">
        <v>43312</v>
      </c>
      <c r="E581" s="19">
        <v>2018</v>
      </c>
      <c r="F581" s="19">
        <v>7</v>
      </c>
      <c r="G581" s="30">
        <v>31</v>
      </c>
      <c r="H581" s="29">
        <v>0.40369212962962964</v>
      </c>
      <c r="I581" s="35">
        <v>138.25383333333335</v>
      </c>
      <c r="J581" s="35">
        <v>38.831666666666663</v>
      </c>
      <c r="K581" s="28">
        <v>100</v>
      </c>
      <c r="L581" s="28">
        <v>100</v>
      </c>
      <c r="M581" s="28">
        <v>0</v>
      </c>
      <c r="N581" s="36">
        <v>12.2064</v>
      </c>
      <c r="O581" s="35">
        <v>34.414200000000001</v>
      </c>
      <c r="P581" s="20">
        <v>0.21762753529411771</v>
      </c>
      <c r="Q581" s="20">
        <v>0.98880297176470755</v>
      </c>
      <c r="R581" s="26" t="s">
        <v>393</v>
      </c>
      <c r="S581" s="26">
        <v>1</v>
      </c>
      <c r="T581" s="71" t="s">
        <v>626</v>
      </c>
    </row>
    <row r="582" spans="1:20" s="14" customFormat="1" ht="12.75" customHeight="1">
      <c r="A582" s="19" t="s">
        <v>392</v>
      </c>
      <c r="B582" s="19" t="s">
        <v>382</v>
      </c>
      <c r="C582" s="19" t="s">
        <v>514</v>
      </c>
      <c r="D582" s="34">
        <v>43312</v>
      </c>
      <c r="E582" s="19">
        <v>2018</v>
      </c>
      <c r="F582" s="19">
        <v>7</v>
      </c>
      <c r="G582" s="30">
        <v>31</v>
      </c>
      <c r="H582" s="29">
        <v>0.40434027777777781</v>
      </c>
      <c r="I582" s="35">
        <v>138.25383333333335</v>
      </c>
      <c r="J582" s="35">
        <v>38.831666666666663</v>
      </c>
      <c r="K582" s="28">
        <v>80</v>
      </c>
      <c r="L582" s="28">
        <v>80</v>
      </c>
      <c r="M582" s="28">
        <v>0</v>
      </c>
      <c r="N582" s="36">
        <v>14.69</v>
      </c>
      <c r="O582" s="35">
        <v>34.512599999999999</v>
      </c>
      <c r="P582" s="20">
        <v>0.19431211176470553</v>
      </c>
      <c r="Q582" s="20">
        <v>1.1387078705882363</v>
      </c>
      <c r="R582" s="26" t="s">
        <v>393</v>
      </c>
      <c r="S582" s="26">
        <v>1</v>
      </c>
      <c r="T582" s="71" t="s">
        <v>626</v>
      </c>
    </row>
    <row r="583" spans="1:20" s="14" customFormat="1" ht="12.75" customHeight="1">
      <c r="A583" s="19" t="s">
        <v>392</v>
      </c>
      <c r="B583" s="19" t="s">
        <v>382</v>
      </c>
      <c r="C583" s="19" t="s">
        <v>514</v>
      </c>
      <c r="D583" s="34">
        <v>43312</v>
      </c>
      <c r="E583" s="19">
        <v>2018</v>
      </c>
      <c r="F583" s="19">
        <v>7</v>
      </c>
      <c r="G583" s="30">
        <v>31</v>
      </c>
      <c r="H583" s="29">
        <v>0.40502314814814816</v>
      </c>
      <c r="I583" s="35">
        <v>138.25383333333335</v>
      </c>
      <c r="J583" s="35">
        <v>38.831666666666663</v>
      </c>
      <c r="K583" s="28">
        <v>60</v>
      </c>
      <c r="L583" s="28">
        <v>60</v>
      </c>
      <c r="M583" s="28">
        <v>0</v>
      </c>
      <c r="N583" s="36">
        <v>16.092199999999998</v>
      </c>
      <c r="O583" s="35">
        <v>34.538899999999998</v>
      </c>
      <c r="P583" s="20">
        <v>0.19185090588235276</v>
      </c>
      <c r="Q583" s="20">
        <v>1.3357277152941158</v>
      </c>
      <c r="R583" s="26" t="s">
        <v>393</v>
      </c>
      <c r="S583" s="26">
        <v>1</v>
      </c>
      <c r="T583" s="71" t="s">
        <v>626</v>
      </c>
    </row>
    <row r="584" spans="1:20" s="14" customFormat="1" ht="12.75" customHeight="1">
      <c r="A584" s="19" t="s">
        <v>392</v>
      </c>
      <c r="B584" s="19" t="s">
        <v>382</v>
      </c>
      <c r="C584" s="19" t="s">
        <v>514</v>
      </c>
      <c r="D584" s="34">
        <v>43312</v>
      </c>
      <c r="E584" s="19">
        <v>2018</v>
      </c>
      <c r="F584" s="19">
        <v>7</v>
      </c>
      <c r="G584" s="30">
        <v>31</v>
      </c>
      <c r="H584" s="29">
        <v>0.40552083333333333</v>
      </c>
      <c r="I584" s="35">
        <v>138.25383333333335</v>
      </c>
      <c r="J584" s="35">
        <v>38.831666666666663</v>
      </c>
      <c r="K584" s="28">
        <v>50</v>
      </c>
      <c r="L584" s="28">
        <v>50</v>
      </c>
      <c r="M584" s="28">
        <v>0</v>
      </c>
      <c r="N584" s="36">
        <v>16.750599999999999</v>
      </c>
      <c r="O584" s="35">
        <v>34.533799999999999</v>
      </c>
      <c r="P584" s="20">
        <v>0.16163209999999895</v>
      </c>
      <c r="Q584" s="20">
        <v>1.2387636799999999</v>
      </c>
      <c r="R584" s="26" t="s">
        <v>393</v>
      </c>
      <c r="S584" s="26">
        <v>1</v>
      </c>
      <c r="T584" s="71" t="s">
        <v>626</v>
      </c>
    </row>
    <row r="585" spans="1:20" s="14" customFormat="1" ht="12.75" customHeight="1">
      <c r="A585" s="19" t="s">
        <v>392</v>
      </c>
      <c r="B585" s="19" t="s">
        <v>382</v>
      </c>
      <c r="C585" s="19" t="s">
        <v>514</v>
      </c>
      <c r="D585" s="34">
        <v>43312</v>
      </c>
      <c r="E585" s="19">
        <v>2018</v>
      </c>
      <c r="F585" s="19">
        <v>7</v>
      </c>
      <c r="G585" s="30">
        <v>31</v>
      </c>
      <c r="H585" s="29">
        <v>0.40604166666666663</v>
      </c>
      <c r="I585" s="35">
        <v>138.25383333333335</v>
      </c>
      <c r="J585" s="35">
        <v>38.831666666666663</v>
      </c>
      <c r="K585" s="28">
        <v>40</v>
      </c>
      <c r="L585" s="28">
        <v>40</v>
      </c>
      <c r="M585" s="28">
        <v>0</v>
      </c>
      <c r="N585" s="36">
        <v>17.743600000000001</v>
      </c>
      <c r="O585" s="35">
        <v>34.503900000000002</v>
      </c>
      <c r="P585" s="20">
        <v>0.17672349411764676</v>
      </c>
      <c r="Q585" s="20">
        <v>1.1370927647058835</v>
      </c>
      <c r="R585" s="26" t="s">
        <v>393</v>
      </c>
      <c r="S585" s="26">
        <v>1</v>
      </c>
      <c r="T585" s="71" t="s">
        <v>626</v>
      </c>
    </row>
    <row r="586" spans="1:20" s="14" customFormat="1" ht="12.75" customHeight="1">
      <c r="A586" s="19" t="s">
        <v>392</v>
      </c>
      <c r="B586" s="19" t="s">
        <v>382</v>
      </c>
      <c r="C586" s="19" t="s">
        <v>514</v>
      </c>
      <c r="D586" s="34">
        <v>43312</v>
      </c>
      <c r="E586" s="19">
        <v>2018</v>
      </c>
      <c r="F586" s="19">
        <v>7</v>
      </c>
      <c r="G586" s="30">
        <v>31</v>
      </c>
      <c r="H586" s="29">
        <v>0.40653935185185186</v>
      </c>
      <c r="I586" s="35">
        <v>138.25383333333335</v>
      </c>
      <c r="J586" s="35">
        <v>38.831666666666663</v>
      </c>
      <c r="K586" s="28">
        <v>30</v>
      </c>
      <c r="L586" s="28">
        <v>30</v>
      </c>
      <c r="M586" s="28">
        <v>0</v>
      </c>
      <c r="N586" s="36">
        <v>18.971399999999999</v>
      </c>
      <c r="O586" s="35">
        <v>34.415399999999998</v>
      </c>
      <c r="P586" s="20">
        <v>0.12895208823529369</v>
      </c>
      <c r="Q586" s="20">
        <v>0.95520876941176525</v>
      </c>
      <c r="R586" s="26" t="s">
        <v>393</v>
      </c>
      <c r="S586" s="26">
        <v>1</v>
      </c>
      <c r="T586" s="71" t="s">
        <v>626</v>
      </c>
    </row>
    <row r="587" spans="1:20" s="14" customFormat="1" ht="12.75" customHeight="1">
      <c r="A587" s="19" t="s">
        <v>392</v>
      </c>
      <c r="B587" s="19" t="s">
        <v>382</v>
      </c>
      <c r="C587" s="19" t="s">
        <v>514</v>
      </c>
      <c r="D587" s="34">
        <v>43312</v>
      </c>
      <c r="E587" s="19">
        <v>2018</v>
      </c>
      <c r="F587" s="19">
        <v>7</v>
      </c>
      <c r="G587" s="30">
        <v>31</v>
      </c>
      <c r="H587" s="29">
        <v>0.40768518518518521</v>
      </c>
      <c r="I587" s="35">
        <v>138.25383333333335</v>
      </c>
      <c r="J587" s="35">
        <v>38.831666666666663</v>
      </c>
      <c r="K587" s="28">
        <v>20</v>
      </c>
      <c r="L587" s="28">
        <v>20</v>
      </c>
      <c r="M587" s="28">
        <v>0</v>
      </c>
      <c r="N587" s="36">
        <v>20.869599999999998</v>
      </c>
      <c r="O587" s="35">
        <v>34.261400000000002</v>
      </c>
      <c r="P587" s="20">
        <v>9.8120982352940977E-2</v>
      </c>
      <c r="Q587" s="20">
        <v>0.65996741411764859</v>
      </c>
      <c r="R587" s="26" t="s">
        <v>393</v>
      </c>
      <c r="S587" s="26">
        <v>1</v>
      </c>
      <c r="T587" s="71" t="s">
        <v>626</v>
      </c>
    </row>
    <row r="588" spans="1:20" s="14" customFormat="1" ht="12.75" customHeight="1">
      <c r="A588" s="19" t="s">
        <v>392</v>
      </c>
      <c r="B588" s="19" t="s">
        <v>382</v>
      </c>
      <c r="C588" s="19" t="s">
        <v>514</v>
      </c>
      <c r="D588" s="34">
        <v>43312</v>
      </c>
      <c r="E588" s="19">
        <v>2018</v>
      </c>
      <c r="F588" s="19">
        <v>7</v>
      </c>
      <c r="G588" s="30">
        <v>31</v>
      </c>
      <c r="H588" s="29">
        <v>0.4082986111111111</v>
      </c>
      <c r="I588" s="35">
        <v>138.25383333333335</v>
      </c>
      <c r="J588" s="35">
        <v>38.831666666666663</v>
      </c>
      <c r="K588" s="28">
        <v>10</v>
      </c>
      <c r="L588" s="28">
        <v>10</v>
      </c>
      <c r="M588" s="28">
        <v>0</v>
      </c>
      <c r="N588" s="36">
        <v>24.999300000000002</v>
      </c>
      <c r="O588" s="35">
        <v>34.066099999999999</v>
      </c>
      <c r="P588" s="20">
        <v>2.1775576470588032E-2</v>
      </c>
      <c r="Q588" s="20">
        <v>-9.7528781176469792E-2</v>
      </c>
      <c r="R588" s="26" t="s">
        <v>393</v>
      </c>
      <c r="S588" s="26">
        <v>1</v>
      </c>
      <c r="T588" s="71" t="s">
        <v>626</v>
      </c>
    </row>
    <row r="589" spans="1:20" s="14" customFormat="1" ht="12.75" customHeight="1">
      <c r="A589" s="19"/>
      <c r="B589" s="19"/>
      <c r="C589" s="19"/>
      <c r="D589" s="34"/>
      <c r="E589" s="19"/>
      <c r="F589" s="19"/>
      <c r="G589" s="30"/>
      <c r="H589" s="29"/>
      <c r="I589" s="35"/>
      <c r="J589" s="35"/>
      <c r="K589" s="28"/>
      <c r="L589" s="28"/>
      <c r="M589" s="28"/>
      <c r="N589" s="36"/>
      <c r="O589" s="35"/>
      <c r="P589" s="20"/>
      <c r="Q589" s="20"/>
      <c r="R589" s="26"/>
      <c r="S589" s="26"/>
      <c r="T589" s="71"/>
    </row>
    <row r="590" spans="1:20" s="14" customFormat="1" ht="12.75" customHeight="1">
      <c r="A590" s="19" t="s">
        <v>417</v>
      </c>
      <c r="B590" s="19" t="s">
        <v>419</v>
      </c>
      <c r="C590" s="19" t="s">
        <v>514</v>
      </c>
      <c r="D590" s="34">
        <v>43342</v>
      </c>
      <c r="E590" s="19">
        <v>2018</v>
      </c>
      <c r="F590" s="19">
        <v>8</v>
      </c>
      <c r="G590" s="30">
        <v>30</v>
      </c>
      <c r="H590" s="29">
        <v>0.93568287037037035</v>
      </c>
      <c r="I590" s="35">
        <v>138.08316669999999</v>
      </c>
      <c r="J590" s="35">
        <v>37.585000000000001</v>
      </c>
      <c r="K590" s="28">
        <v>500</v>
      </c>
      <c r="L590" s="28">
        <v>500</v>
      </c>
      <c r="M590" s="28">
        <v>0</v>
      </c>
      <c r="N590" s="36">
        <v>0.78759999999999997</v>
      </c>
      <c r="O590" s="35">
        <v>34.0578</v>
      </c>
      <c r="P590" s="20">
        <v>-4.4022927058823491E-2</v>
      </c>
      <c r="Q590" s="20">
        <v>-0.86220887647058753</v>
      </c>
      <c r="R590" s="26" t="s">
        <v>393</v>
      </c>
      <c r="S590" s="26">
        <v>1</v>
      </c>
      <c r="T590" s="71" t="s">
        <v>626</v>
      </c>
    </row>
    <row r="591" spans="1:20" s="14" customFormat="1" ht="12.75" customHeight="1">
      <c r="A591" s="19" t="s">
        <v>417</v>
      </c>
      <c r="B591" s="19" t="s">
        <v>419</v>
      </c>
      <c r="C591" s="19" t="s">
        <v>514</v>
      </c>
      <c r="D591" s="34">
        <v>43342</v>
      </c>
      <c r="E591" s="19">
        <v>2018</v>
      </c>
      <c r="F591" s="19">
        <v>8</v>
      </c>
      <c r="G591" s="30">
        <v>30</v>
      </c>
      <c r="H591" s="29">
        <v>0.93745370370370373</v>
      </c>
      <c r="I591" s="35">
        <v>138.08316669999999</v>
      </c>
      <c r="J591" s="35">
        <v>37.585000000000001</v>
      </c>
      <c r="K591" s="28">
        <v>400</v>
      </c>
      <c r="L591" s="28">
        <v>400</v>
      </c>
      <c r="M591" s="28">
        <v>0</v>
      </c>
      <c r="N591" s="36">
        <v>1.1103000000000001</v>
      </c>
      <c r="O591" s="35">
        <v>34.048400000000001</v>
      </c>
      <c r="P591" s="20">
        <v>-5.1934079999999438E-2</v>
      </c>
      <c r="Q591" s="20">
        <v>-0.76161089999999909</v>
      </c>
      <c r="R591" s="26" t="s">
        <v>393</v>
      </c>
      <c r="S591" s="26">
        <v>1</v>
      </c>
      <c r="T591" s="71" t="s">
        <v>626</v>
      </c>
    </row>
    <row r="592" spans="1:20" s="14" customFormat="1" ht="12.75" customHeight="1">
      <c r="A592" s="19" t="s">
        <v>417</v>
      </c>
      <c r="B592" s="19" t="s">
        <v>419</v>
      </c>
      <c r="C592" s="19" t="s">
        <v>514</v>
      </c>
      <c r="D592" s="34">
        <v>43342</v>
      </c>
      <c r="E592" s="19">
        <v>2018</v>
      </c>
      <c r="F592" s="19">
        <v>8</v>
      </c>
      <c r="G592" s="30">
        <v>30</v>
      </c>
      <c r="H592" s="29">
        <v>0.93887731481481485</v>
      </c>
      <c r="I592" s="35">
        <v>138.08316669999999</v>
      </c>
      <c r="J592" s="35">
        <v>37.585000000000001</v>
      </c>
      <c r="K592" s="28">
        <v>300</v>
      </c>
      <c r="L592" s="28">
        <v>300</v>
      </c>
      <c r="M592" s="28">
        <v>0</v>
      </c>
      <c r="N592" s="36">
        <v>2.3927</v>
      </c>
      <c r="O592" s="35">
        <v>34.0154</v>
      </c>
      <c r="P592" s="20">
        <v>-4.95309929411758E-2</v>
      </c>
      <c r="Q592" s="20">
        <v>-0.39365232352941248</v>
      </c>
      <c r="R592" s="26" t="s">
        <v>393</v>
      </c>
      <c r="S592" s="26">
        <v>1</v>
      </c>
      <c r="T592" s="71" t="s">
        <v>626</v>
      </c>
    </row>
    <row r="593" spans="1:20" s="14" customFormat="1" ht="12.75" customHeight="1">
      <c r="A593" s="19" t="s">
        <v>417</v>
      </c>
      <c r="B593" s="19" t="s">
        <v>419</v>
      </c>
      <c r="C593" s="19" t="s">
        <v>514</v>
      </c>
      <c r="D593" s="34">
        <v>43342</v>
      </c>
      <c r="E593" s="19">
        <v>2018</v>
      </c>
      <c r="F593" s="19">
        <v>8</v>
      </c>
      <c r="G593" s="30">
        <v>30</v>
      </c>
      <c r="H593" s="29">
        <v>0.93991898148148145</v>
      </c>
      <c r="I593" s="35">
        <v>138.08316669999999</v>
      </c>
      <c r="J593" s="35">
        <v>37.585000000000001</v>
      </c>
      <c r="K593" s="28">
        <v>250</v>
      </c>
      <c r="L593" s="28">
        <v>250</v>
      </c>
      <c r="M593" s="28">
        <v>0</v>
      </c>
      <c r="N593" s="36">
        <v>5.3162000000000003</v>
      </c>
      <c r="O593" s="35">
        <v>34.090299999999999</v>
      </c>
      <c r="P593" s="20">
        <v>4.2262174117647211E-2</v>
      </c>
      <c r="Q593" s="20">
        <v>-0.1870523470588239</v>
      </c>
      <c r="R593" s="26" t="s">
        <v>393</v>
      </c>
      <c r="S593" s="26">
        <v>1</v>
      </c>
      <c r="T593" s="71" t="s">
        <v>626</v>
      </c>
    </row>
    <row r="594" spans="1:20" s="14" customFormat="1" ht="12.75" customHeight="1">
      <c r="A594" s="19" t="s">
        <v>417</v>
      </c>
      <c r="B594" s="19" t="s">
        <v>419</v>
      </c>
      <c r="C594" s="19" t="s">
        <v>514</v>
      </c>
      <c r="D594" s="34">
        <v>43342</v>
      </c>
      <c r="E594" s="19">
        <v>2018</v>
      </c>
      <c r="F594" s="19">
        <v>8</v>
      </c>
      <c r="G594" s="30">
        <v>30</v>
      </c>
      <c r="H594" s="29">
        <v>0.94047453703703709</v>
      </c>
      <c r="I594" s="35">
        <v>138.08316669999999</v>
      </c>
      <c r="J594" s="35">
        <v>37.585000000000001</v>
      </c>
      <c r="K594" s="28">
        <v>225</v>
      </c>
      <c r="L594" s="28">
        <v>225</v>
      </c>
      <c r="M594" s="28">
        <v>0</v>
      </c>
      <c r="N594" s="36">
        <v>6.7175000000000002</v>
      </c>
      <c r="O594" s="35">
        <v>34.129899999999999</v>
      </c>
      <c r="P594" s="20">
        <v>6.2260141176471384E-2</v>
      </c>
      <c r="Q594" s="20">
        <v>6.2537329411764375E-2</v>
      </c>
      <c r="R594" s="26" t="s">
        <v>393</v>
      </c>
      <c r="S594" s="26">
        <v>1</v>
      </c>
      <c r="T594" s="71" t="s">
        <v>626</v>
      </c>
    </row>
    <row r="595" spans="1:20" s="14" customFormat="1" ht="12.75" customHeight="1">
      <c r="A595" s="19" t="s">
        <v>417</v>
      </c>
      <c r="B595" s="19" t="s">
        <v>419</v>
      </c>
      <c r="C595" s="19" t="s">
        <v>514</v>
      </c>
      <c r="D595" s="34">
        <v>43342</v>
      </c>
      <c r="E595" s="19">
        <v>2018</v>
      </c>
      <c r="F595" s="19">
        <v>8</v>
      </c>
      <c r="G595" s="30">
        <v>30</v>
      </c>
      <c r="H595" s="29">
        <v>0.9410532407407407</v>
      </c>
      <c r="I595" s="35">
        <v>138.08316669999999</v>
      </c>
      <c r="J595" s="35">
        <v>37.585000000000001</v>
      </c>
      <c r="K595" s="28">
        <v>200</v>
      </c>
      <c r="L595" s="28">
        <v>200</v>
      </c>
      <c r="M595" s="28">
        <v>0</v>
      </c>
      <c r="N595" s="36">
        <v>7.6393000000000004</v>
      </c>
      <c r="O595" s="35">
        <v>34.179000000000002</v>
      </c>
      <c r="P595" s="20">
        <v>0.11825682823529404</v>
      </c>
      <c r="Q595" s="20">
        <v>0.27757820588235305</v>
      </c>
      <c r="R595" s="26" t="s">
        <v>393</v>
      </c>
      <c r="S595" s="26">
        <v>1</v>
      </c>
      <c r="T595" s="71" t="s">
        <v>626</v>
      </c>
    </row>
    <row r="596" spans="1:20" s="14" customFormat="1" ht="12.75" customHeight="1">
      <c r="A596" s="19" t="s">
        <v>417</v>
      </c>
      <c r="B596" s="19" t="s">
        <v>419</v>
      </c>
      <c r="C596" s="19" t="s">
        <v>514</v>
      </c>
      <c r="D596" s="34">
        <v>43342</v>
      </c>
      <c r="E596" s="19">
        <v>2018</v>
      </c>
      <c r="F596" s="19">
        <v>8</v>
      </c>
      <c r="G596" s="30">
        <v>30</v>
      </c>
      <c r="H596" s="29">
        <v>0.9415972222222222</v>
      </c>
      <c r="I596" s="35">
        <v>138.08316669999999</v>
      </c>
      <c r="J596" s="35">
        <v>37.585000000000001</v>
      </c>
      <c r="K596" s="28">
        <v>175</v>
      </c>
      <c r="L596" s="28">
        <v>175</v>
      </c>
      <c r="M596" s="28">
        <v>0</v>
      </c>
      <c r="N596" s="36">
        <v>9.1092999999999993</v>
      </c>
      <c r="O596" s="35">
        <v>34.241700000000002</v>
      </c>
      <c r="P596" s="20">
        <v>0.15160263529411799</v>
      </c>
      <c r="Q596" s="20">
        <v>0.55739808235293964</v>
      </c>
      <c r="R596" s="26" t="s">
        <v>393</v>
      </c>
      <c r="S596" s="26">
        <v>1</v>
      </c>
      <c r="T596" s="71" t="s">
        <v>626</v>
      </c>
    </row>
    <row r="597" spans="1:20" s="14" customFormat="1" ht="12.75" customHeight="1">
      <c r="A597" s="19" t="s">
        <v>417</v>
      </c>
      <c r="B597" s="19" t="s">
        <v>419</v>
      </c>
      <c r="C597" s="19" t="s">
        <v>514</v>
      </c>
      <c r="D597" s="34">
        <v>43342</v>
      </c>
      <c r="E597" s="19">
        <v>2018</v>
      </c>
      <c r="F597" s="19">
        <v>8</v>
      </c>
      <c r="G597" s="30">
        <v>30</v>
      </c>
      <c r="H597" s="29">
        <v>0.94229166666666664</v>
      </c>
      <c r="I597" s="35">
        <v>138.08316669999999</v>
      </c>
      <c r="J597" s="35">
        <v>37.585000000000001</v>
      </c>
      <c r="K597" s="28">
        <v>150</v>
      </c>
      <c r="L597" s="28">
        <v>150</v>
      </c>
      <c r="M597" s="28">
        <v>0</v>
      </c>
      <c r="N597" s="36">
        <v>10.1983</v>
      </c>
      <c r="O597" s="35">
        <v>34.303100000000001</v>
      </c>
      <c r="P597" s="20">
        <v>8.3274564705882348E-2</v>
      </c>
      <c r="Q597" s="20">
        <v>0.50145159764705838</v>
      </c>
      <c r="R597" s="26" t="s">
        <v>393</v>
      </c>
      <c r="S597" s="26">
        <v>1</v>
      </c>
      <c r="T597" s="71" t="s">
        <v>626</v>
      </c>
    </row>
    <row r="598" spans="1:20" s="14" customFormat="1" ht="12.75" customHeight="1">
      <c r="A598" s="19" t="s">
        <v>417</v>
      </c>
      <c r="B598" s="19" t="s">
        <v>419</v>
      </c>
      <c r="C598" s="19" t="s">
        <v>514</v>
      </c>
      <c r="D598" s="34">
        <v>43342</v>
      </c>
      <c r="E598" s="19">
        <v>2018</v>
      </c>
      <c r="F598" s="19">
        <v>8</v>
      </c>
      <c r="G598" s="30">
        <v>30</v>
      </c>
      <c r="H598" s="29">
        <v>0.94353009259259257</v>
      </c>
      <c r="I598" s="35">
        <v>138.08316669999999</v>
      </c>
      <c r="J598" s="35">
        <v>37.585000000000001</v>
      </c>
      <c r="K598" s="28">
        <v>100</v>
      </c>
      <c r="L598" s="28">
        <v>100</v>
      </c>
      <c r="M598" s="28">
        <v>0</v>
      </c>
      <c r="N598" s="36">
        <v>14.5722</v>
      </c>
      <c r="O598" s="35">
        <v>34.4587</v>
      </c>
      <c r="P598" s="20">
        <v>0.11551711764705841</v>
      </c>
      <c r="Q598" s="20">
        <v>1.0143177411764714</v>
      </c>
      <c r="R598" s="26" t="s">
        <v>393</v>
      </c>
      <c r="S598" s="26">
        <v>1</v>
      </c>
      <c r="T598" s="71" t="s">
        <v>626</v>
      </c>
    </row>
    <row r="599" spans="1:20" s="14" customFormat="1" ht="12.75" customHeight="1">
      <c r="A599" s="19" t="s">
        <v>417</v>
      </c>
      <c r="B599" s="19" t="s">
        <v>419</v>
      </c>
      <c r="C599" s="19" t="s">
        <v>514</v>
      </c>
      <c r="D599" s="34">
        <v>43342</v>
      </c>
      <c r="E599" s="19">
        <v>2018</v>
      </c>
      <c r="F599" s="19">
        <v>8</v>
      </c>
      <c r="G599" s="30">
        <v>30</v>
      </c>
      <c r="H599" s="29">
        <v>0.94390046296296293</v>
      </c>
      <c r="I599" s="35">
        <v>138.08316669999999</v>
      </c>
      <c r="J599" s="35">
        <v>37.585000000000001</v>
      </c>
      <c r="K599" s="28">
        <v>90</v>
      </c>
      <c r="L599" s="28">
        <v>90</v>
      </c>
      <c r="M599" s="28">
        <v>0</v>
      </c>
      <c r="N599" s="36">
        <v>15.561199999999999</v>
      </c>
      <c r="O599" s="35">
        <v>34.487900000000003</v>
      </c>
      <c r="P599" s="20">
        <v>0.17865427058823524</v>
      </c>
      <c r="Q599" s="20">
        <v>1.0398604047058804</v>
      </c>
      <c r="R599" s="26" t="s">
        <v>393</v>
      </c>
      <c r="S599" s="26">
        <v>1</v>
      </c>
      <c r="T599" s="71" t="s">
        <v>626</v>
      </c>
    </row>
    <row r="600" spans="1:20" s="14" customFormat="1" ht="12.75" customHeight="1">
      <c r="A600" s="19" t="s">
        <v>417</v>
      </c>
      <c r="B600" s="19" t="s">
        <v>419</v>
      </c>
      <c r="C600" s="19" t="s">
        <v>514</v>
      </c>
      <c r="D600" s="34">
        <v>43342</v>
      </c>
      <c r="E600" s="19">
        <v>2018</v>
      </c>
      <c r="F600" s="19">
        <v>8</v>
      </c>
      <c r="G600" s="30">
        <v>30</v>
      </c>
      <c r="H600" s="29">
        <v>0.94420138888888883</v>
      </c>
      <c r="I600" s="35">
        <v>138.08316669999999</v>
      </c>
      <c r="J600" s="35">
        <v>37.585000000000001</v>
      </c>
      <c r="K600" s="28">
        <v>80</v>
      </c>
      <c r="L600" s="28">
        <v>80</v>
      </c>
      <c r="M600" s="28">
        <v>0</v>
      </c>
      <c r="N600" s="36">
        <v>16.761099999999999</v>
      </c>
      <c r="O600" s="35">
        <v>34.479300000000002</v>
      </c>
      <c r="P600" s="20">
        <v>0.17918382352941142</v>
      </c>
      <c r="Q600" s="20">
        <v>1.2020817682352938</v>
      </c>
      <c r="R600" s="26" t="s">
        <v>393</v>
      </c>
      <c r="S600" s="26">
        <v>1</v>
      </c>
      <c r="T600" s="71" t="s">
        <v>626</v>
      </c>
    </row>
    <row r="601" spans="1:20" s="14" customFormat="1" ht="12.75" customHeight="1">
      <c r="A601" s="19" t="s">
        <v>417</v>
      </c>
      <c r="B601" s="19" t="s">
        <v>419</v>
      </c>
      <c r="C601" s="19" t="s">
        <v>514</v>
      </c>
      <c r="D601" s="34">
        <v>43342</v>
      </c>
      <c r="E601" s="19">
        <v>2018</v>
      </c>
      <c r="F601" s="19">
        <v>8</v>
      </c>
      <c r="G601" s="30">
        <v>30</v>
      </c>
      <c r="H601" s="29">
        <v>0.94451388888888888</v>
      </c>
      <c r="I601" s="35">
        <v>138.08316669999999</v>
      </c>
      <c r="J601" s="35">
        <v>37.585000000000001</v>
      </c>
      <c r="K601" s="28">
        <v>70</v>
      </c>
      <c r="L601" s="28">
        <v>70</v>
      </c>
      <c r="M601" s="28">
        <v>0</v>
      </c>
      <c r="N601" s="36">
        <v>17.808399999999999</v>
      </c>
      <c r="O601" s="35">
        <v>34.434600000000003</v>
      </c>
      <c r="P601" s="20">
        <v>0.15904877647058813</v>
      </c>
      <c r="Q601" s="20">
        <v>1.1562368517647048</v>
      </c>
      <c r="R601" s="26" t="s">
        <v>393</v>
      </c>
      <c r="S601" s="26">
        <v>1</v>
      </c>
      <c r="T601" s="71" t="s">
        <v>626</v>
      </c>
    </row>
    <row r="602" spans="1:20" s="14" customFormat="1" ht="12.75" customHeight="1">
      <c r="A602" s="19" t="s">
        <v>417</v>
      </c>
      <c r="B602" s="19" t="s">
        <v>419</v>
      </c>
      <c r="C602" s="19" t="s">
        <v>514</v>
      </c>
      <c r="D602" s="34">
        <v>43342</v>
      </c>
      <c r="E602" s="19">
        <v>2018</v>
      </c>
      <c r="F602" s="19">
        <v>8</v>
      </c>
      <c r="G602" s="30">
        <v>30</v>
      </c>
      <c r="H602" s="29">
        <v>0.94480324074074085</v>
      </c>
      <c r="I602" s="35">
        <v>138.08316669999999</v>
      </c>
      <c r="J602" s="35">
        <v>37.585000000000001</v>
      </c>
      <c r="K602" s="28">
        <v>60</v>
      </c>
      <c r="L602" s="28">
        <v>60</v>
      </c>
      <c r="M602" s="28">
        <v>0</v>
      </c>
      <c r="N602" s="36">
        <v>18.667200000000001</v>
      </c>
      <c r="O602" s="35">
        <v>34.365699999999997</v>
      </c>
      <c r="P602" s="20">
        <v>0.15732772941176476</v>
      </c>
      <c r="Q602" s="20">
        <v>1.0309412952941166</v>
      </c>
      <c r="R602" s="26" t="s">
        <v>393</v>
      </c>
      <c r="S602" s="26">
        <v>1</v>
      </c>
      <c r="T602" s="71" t="s">
        <v>626</v>
      </c>
    </row>
    <row r="603" spans="1:20" s="14" customFormat="1" ht="12.75" customHeight="1">
      <c r="A603" s="19" t="s">
        <v>417</v>
      </c>
      <c r="B603" s="19" t="s">
        <v>419</v>
      </c>
      <c r="C603" s="19" t="s">
        <v>514</v>
      </c>
      <c r="D603" s="34">
        <v>43342</v>
      </c>
      <c r="E603" s="19">
        <v>2018</v>
      </c>
      <c r="F603" s="19">
        <v>8</v>
      </c>
      <c r="G603" s="30">
        <v>30</v>
      </c>
      <c r="H603" s="29">
        <v>0.94516203703703694</v>
      </c>
      <c r="I603" s="35">
        <v>138.08316669999999</v>
      </c>
      <c r="J603" s="35">
        <v>37.585000000000001</v>
      </c>
      <c r="K603" s="28">
        <v>50</v>
      </c>
      <c r="L603" s="28">
        <v>50</v>
      </c>
      <c r="M603" s="28">
        <v>0</v>
      </c>
      <c r="N603" s="36">
        <v>19.315799999999999</v>
      </c>
      <c r="O603" s="35">
        <v>34.204500000000003</v>
      </c>
      <c r="P603" s="20">
        <v>0.11141308235294112</v>
      </c>
      <c r="Q603" s="20">
        <v>0.86847699882352636</v>
      </c>
      <c r="R603" s="26" t="s">
        <v>393</v>
      </c>
      <c r="S603" s="26">
        <v>1</v>
      </c>
      <c r="T603" s="71" t="s">
        <v>626</v>
      </c>
    </row>
    <row r="604" spans="1:20" s="14" customFormat="1" ht="12.75" customHeight="1">
      <c r="A604" s="19" t="s">
        <v>417</v>
      </c>
      <c r="B604" s="19" t="s">
        <v>419</v>
      </c>
      <c r="C604" s="19" t="s">
        <v>514</v>
      </c>
      <c r="D604" s="34">
        <v>43342</v>
      </c>
      <c r="E604" s="19">
        <v>2018</v>
      </c>
      <c r="F604" s="19">
        <v>8</v>
      </c>
      <c r="G604" s="30">
        <v>30</v>
      </c>
      <c r="H604" s="29">
        <v>0.94634259259259268</v>
      </c>
      <c r="I604" s="35">
        <v>138.08316669999999</v>
      </c>
      <c r="J604" s="35">
        <v>37.585000000000001</v>
      </c>
      <c r="K604" s="28">
        <v>40</v>
      </c>
      <c r="L604" s="28">
        <v>40</v>
      </c>
      <c r="M604" s="28">
        <v>0</v>
      </c>
      <c r="N604" s="36">
        <v>20.177099999999999</v>
      </c>
      <c r="O604" s="35">
        <v>34.156700000000001</v>
      </c>
      <c r="P604" s="20">
        <v>5.9312294117646935E-2</v>
      </c>
      <c r="Q604" s="20">
        <v>0.48017761294117456</v>
      </c>
      <c r="R604" s="26" t="s">
        <v>393</v>
      </c>
      <c r="S604" s="26">
        <v>1</v>
      </c>
      <c r="T604" s="71" t="s">
        <v>626</v>
      </c>
    </row>
    <row r="605" spans="1:20" s="14" customFormat="1" ht="12.75" customHeight="1">
      <c r="A605" s="19" t="s">
        <v>417</v>
      </c>
      <c r="B605" s="19" t="s">
        <v>419</v>
      </c>
      <c r="C605" s="19" t="s">
        <v>514</v>
      </c>
      <c r="D605" s="34">
        <v>43342</v>
      </c>
      <c r="E605" s="19">
        <v>2018</v>
      </c>
      <c r="F605" s="19">
        <v>8</v>
      </c>
      <c r="G605" s="30">
        <v>30</v>
      </c>
      <c r="H605" s="29">
        <v>0.94743055555555555</v>
      </c>
      <c r="I605" s="35">
        <v>138.08316669999999</v>
      </c>
      <c r="J605" s="35">
        <v>37.585000000000001</v>
      </c>
      <c r="K605" s="28">
        <v>30</v>
      </c>
      <c r="L605" s="28">
        <v>30</v>
      </c>
      <c r="M605" s="28">
        <v>0</v>
      </c>
      <c r="N605" s="36">
        <v>22.1404</v>
      </c>
      <c r="O605" s="35">
        <v>34.008600000000001</v>
      </c>
      <c r="P605" s="20">
        <v>2.6696647058822798E-2</v>
      </c>
      <c r="Q605" s="20">
        <v>0.19752596218487461</v>
      </c>
      <c r="R605" s="26" t="s">
        <v>393</v>
      </c>
      <c r="S605" s="26">
        <v>1</v>
      </c>
      <c r="T605" s="71" t="s">
        <v>626</v>
      </c>
    </row>
    <row r="606" spans="1:20" s="14" customFormat="1" ht="12.75" customHeight="1">
      <c r="A606" s="19" t="s">
        <v>417</v>
      </c>
      <c r="B606" s="19" t="s">
        <v>419</v>
      </c>
      <c r="C606" s="19" t="s">
        <v>514</v>
      </c>
      <c r="D606" s="34">
        <v>43342</v>
      </c>
      <c r="E606" s="19">
        <v>2018</v>
      </c>
      <c r="F606" s="19">
        <v>8</v>
      </c>
      <c r="G606" s="30">
        <v>30</v>
      </c>
      <c r="H606" s="29">
        <v>0.94792824074074078</v>
      </c>
      <c r="I606" s="35">
        <v>138.08316669999999</v>
      </c>
      <c r="J606" s="35">
        <v>37.585000000000001</v>
      </c>
      <c r="K606" s="28">
        <v>20</v>
      </c>
      <c r="L606" s="28">
        <v>20</v>
      </c>
      <c r="M606" s="28">
        <v>0</v>
      </c>
      <c r="N606" s="36">
        <v>25.2942</v>
      </c>
      <c r="O606" s="35">
        <v>33.491300000000003</v>
      </c>
      <c r="P606" s="20">
        <v>-0.17184960000000049</v>
      </c>
      <c r="Q606" s="20">
        <v>-1.1425103199999995</v>
      </c>
      <c r="R606" s="26" t="s">
        <v>393</v>
      </c>
      <c r="S606" s="26">
        <v>1</v>
      </c>
      <c r="T606" s="71" t="s">
        <v>626</v>
      </c>
    </row>
    <row r="607" spans="1:20" s="14" customFormat="1" ht="12.75" customHeight="1">
      <c r="A607" s="19" t="s">
        <v>417</v>
      </c>
      <c r="B607" s="19" t="s">
        <v>419</v>
      </c>
      <c r="C607" s="19" t="s">
        <v>514</v>
      </c>
      <c r="D607" s="34">
        <v>43342</v>
      </c>
      <c r="E607" s="19">
        <v>2018</v>
      </c>
      <c r="F607" s="19">
        <v>8</v>
      </c>
      <c r="G607" s="30">
        <v>30</v>
      </c>
      <c r="H607" s="29">
        <v>0.9485069444444445</v>
      </c>
      <c r="I607" s="35">
        <v>138.08316669999999</v>
      </c>
      <c r="J607" s="35">
        <v>37.585000000000001</v>
      </c>
      <c r="K607" s="28">
        <v>10</v>
      </c>
      <c r="L607" s="28">
        <v>10</v>
      </c>
      <c r="M607" s="28">
        <v>0</v>
      </c>
      <c r="N607" s="36">
        <v>25.773800000000001</v>
      </c>
      <c r="O607" s="35">
        <v>33.294199999999996</v>
      </c>
      <c r="P607" s="20">
        <v>-0.22635744705882366</v>
      </c>
      <c r="Q607" s="20">
        <v>-1.7098975564705885</v>
      </c>
      <c r="R607" s="26" t="s">
        <v>393</v>
      </c>
      <c r="S607" s="26">
        <v>1</v>
      </c>
      <c r="T607" s="71" t="s">
        <v>626</v>
      </c>
    </row>
    <row r="608" spans="1:20" s="14" customFormat="1" ht="12.75" customHeight="1">
      <c r="A608" s="19"/>
      <c r="B608" s="19"/>
      <c r="C608" s="19"/>
      <c r="D608" s="34"/>
      <c r="E608" s="19"/>
      <c r="F608" s="19"/>
      <c r="G608" s="30"/>
      <c r="H608" s="29"/>
      <c r="I608" s="35"/>
      <c r="J608" s="35"/>
      <c r="K608" s="28"/>
      <c r="L608" s="28"/>
      <c r="M608" s="28"/>
      <c r="N608" s="36"/>
      <c r="O608" s="35"/>
      <c r="P608" s="20"/>
      <c r="Q608" s="20"/>
      <c r="R608" s="26"/>
      <c r="S608" s="26"/>
      <c r="T608" s="71"/>
    </row>
    <row r="609" spans="1:20" s="14" customFormat="1" ht="12.75" customHeight="1">
      <c r="A609" s="19" t="s">
        <v>417</v>
      </c>
      <c r="B609" s="19" t="s">
        <v>421</v>
      </c>
      <c r="C609" s="19" t="s">
        <v>514</v>
      </c>
      <c r="D609" s="34">
        <v>43343</v>
      </c>
      <c r="E609" s="19">
        <v>2018</v>
      </c>
      <c r="F609" s="19">
        <v>8</v>
      </c>
      <c r="G609" s="30">
        <v>31</v>
      </c>
      <c r="H609" s="29">
        <v>0.76922453703703697</v>
      </c>
      <c r="I609" s="35">
        <v>137.74666669999999</v>
      </c>
      <c r="J609" s="35">
        <v>38.083333330000002</v>
      </c>
      <c r="K609" s="28">
        <v>1000</v>
      </c>
      <c r="L609" s="28">
        <v>1000</v>
      </c>
      <c r="M609" s="28">
        <v>0</v>
      </c>
      <c r="N609" s="36">
        <v>0.36859999999999998</v>
      </c>
      <c r="O609" s="35">
        <v>34.067700000000002</v>
      </c>
      <c r="P609" s="20">
        <v>-5.2411341176470838E-2</v>
      </c>
      <c r="Q609" s="20">
        <v>-0.8835785094117643</v>
      </c>
      <c r="R609" s="26" t="s">
        <v>393</v>
      </c>
      <c r="S609" s="26">
        <v>1</v>
      </c>
      <c r="T609" s="71" t="s">
        <v>626</v>
      </c>
    </row>
    <row r="610" spans="1:20" s="14" customFormat="1" ht="12.75" customHeight="1">
      <c r="A610" s="19" t="s">
        <v>417</v>
      </c>
      <c r="B610" s="19" t="s">
        <v>421</v>
      </c>
      <c r="C610" s="19" t="s">
        <v>514</v>
      </c>
      <c r="D610" s="34">
        <v>43343</v>
      </c>
      <c r="E610" s="19">
        <v>2018</v>
      </c>
      <c r="F610" s="19">
        <v>8</v>
      </c>
      <c r="G610" s="30">
        <v>31</v>
      </c>
      <c r="H610" s="29">
        <v>0.77307870370370368</v>
      </c>
      <c r="I610" s="35">
        <v>137.74666669999999</v>
      </c>
      <c r="J610" s="35">
        <v>38.083333330000002</v>
      </c>
      <c r="K610" s="28">
        <v>750</v>
      </c>
      <c r="L610" s="28">
        <v>750</v>
      </c>
      <c r="M610" s="28">
        <v>0</v>
      </c>
      <c r="N610" s="36">
        <v>0.5252</v>
      </c>
      <c r="O610" s="35">
        <v>34.065899999999999</v>
      </c>
      <c r="P610" s="20">
        <v>-4.9017388235294224E-2</v>
      </c>
      <c r="Q610" s="20">
        <v>-0.74121980588235381</v>
      </c>
      <c r="R610" s="26" t="s">
        <v>393</v>
      </c>
      <c r="S610" s="26">
        <v>1</v>
      </c>
      <c r="T610" s="71" t="s">
        <v>626</v>
      </c>
    </row>
    <row r="611" spans="1:20" s="14" customFormat="1" ht="12.75" customHeight="1">
      <c r="A611" s="19" t="s">
        <v>417</v>
      </c>
      <c r="B611" s="19" t="s">
        <v>421</v>
      </c>
      <c r="C611" s="19" t="s">
        <v>514</v>
      </c>
      <c r="D611" s="34">
        <v>43343</v>
      </c>
      <c r="E611" s="19">
        <v>2018</v>
      </c>
      <c r="F611" s="19">
        <v>8</v>
      </c>
      <c r="G611" s="30">
        <v>31</v>
      </c>
      <c r="H611" s="29">
        <v>0.77660879629629631</v>
      </c>
      <c r="I611" s="35">
        <v>137.74666669999999</v>
      </c>
      <c r="J611" s="35">
        <v>38.083333330000002</v>
      </c>
      <c r="K611" s="28">
        <v>500</v>
      </c>
      <c r="L611" s="28">
        <v>500</v>
      </c>
      <c r="M611" s="28">
        <v>0</v>
      </c>
      <c r="N611" s="36">
        <v>0.75160000000000005</v>
      </c>
      <c r="O611" s="35">
        <v>34.059399999999997</v>
      </c>
      <c r="P611" s="20">
        <v>-3.3347435294117656E-2</v>
      </c>
      <c r="Q611" s="20">
        <v>-0.78863800235294157</v>
      </c>
      <c r="R611" s="26" t="s">
        <v>393</v>
      </c>
      <c r="S611" s="26">
        <v>1</v>
      </c>
      <c r="T611" s="71" t="s">
        <v>626</v>
      </c>
    </row>
    <row r="612" spans="1:20" s="14" customFormat="1" ht="12.75" customHeight="1">
      <c r="A612" s="19" t="s">
        <v>417</v>
      </c>
      <c r="B612" s="19" t="s">
        <v>421</v>
      </c>
      <c r="C612" s="19" t="s">
        <v>514</v>
      </c>
      <c r="D612" s="34">
        <v>43343</v>
      </c>
      <c r="E612" s="19">
        <v>2018</v>
      </c>
      <c r="F612" s="19">
        <v>8</v>
      </c>
      <c r="G612" s="30">
        <v>31</v>
      </c>
      <c r="H612" s="29">
        <v>0.7780555555555555</v>
      </c>
      <c r="I612" s="35">
        <v>137.74666669999999</v>
      </c>
      <c r="J612" s="35">
        <v>38.083333330000002</v>
      </c>
      <c r="K612" s="28">
        <v>400</v>
      </c>
      <c r="L612" s="28">
        <v>400</v>
      </c>
      <c r="M612" s="28">
        <v>0</v>
      </c>
      <c r="N612" s="36">
        <v>0.95699999999999996</v>
      </c>
      <c r="O612" s="35">
        <v>34.054200000000002</v>
      </c>
      <c r="P612" s="20">
        <v>-2.1844065882352215E-2</v>
      </c>
      <c r="Q612" s="20">
        <v>-0.90778605176470606</v>
      </c>
      <c r="R612" s="26" t="s">
        <v>393</v>
      </c>
      <c r="S612" s="26">
        <v>1</v>
      </c>
      <c r="T612" s="71" t="s">
        <v>626</v>
      </c>
    </row>
    <row r="613" spans="1:20" s="14" customFormat="1" ht="12.75" customHeight="1">
      <c r="A613" s="19" t="s">
        <v>417</v>
      </c>
      <c r="B613" s="19" t="s">
        <v>421</v>
      </c>
      <c r="C613" s="19" t="s">
        <v>514</v>
      </c>
      <c r="D613" s="34">
        <v>43343</v>
      </c>
      <c r="E613" s="19">
        <v>2018</v>
      </c>
      <c r="F613" s="19">
        <v>8</v>
      </c>
      <c r="G613" s="30">
        <v>31</v>
      </c>
      <c r="H613" s="29">
        <v>0.77957175925925926</v>
      </c>
      <c r="I613" s="35">
        <v>137.74666669999999</v>
      </c>
      <c r="J613" s="35">
        <v>38.083333330000002</v>
      </c>
      <c r="K613" s="28">
        <v>300</v>
      </c>
      <c r="L613" s="28">
        <v>300</v>
      </c>
      <c r="M613" s="28">
        <v>0</v>
      </c>
      <c r="N613" s="36">
        <v>1.6443000000000001</v>
      </c>
      <c r="O613" s="35">
        <v>34.035699999999999</v>
      </c>
      <c r="P613" s="20">
        <v>9.9649129411774062E-3</v>
      </c>
      <c r="Q613" s="20">
        <v>-0.68093289411764957</v>
      </c>
      <c r="R613" s="26" t="s">
        <v>393</v>
      </c>
      <c r="S613" s="26">
        <v>1</v>
      </c>
      <c r="T613" s="71" t="s">
        <v>626</v>
      </c>
    </row>
    <row r="614" spans="1:20" s="14" customFormat="1" ht="12.75" customHeight="1">
      <c r="A614" s="19" t="s">
        <v>417</v>
      </c>
      <c r="B614" s="19" t="s">
        <v>421</v>
      </c>
      <c r="C614" s="19" t="s">
        <v>514</v>
      </c>
      <c r="D614" s="34">
        <v>43343</v>
      </c>
      <c r="E614" s="19">
        <v>2018</v>
      </c>
      <c r="F614" s="19">
        <v>8</v>
      </c>
      <c r="G614" s="30">
        <v>31</v>
      </c>
      <c r="H614" s="29">
        <v>0.7805671296296296</v>
      </c>
      <c r="I614" s="35">
        <v>137.74666669999999</v>
      </c>
      <c r="J614" s="35">
        <v>38.083333330000002</v>
      </c>
      <c r="K614" s="28">
        <v>250</v>
      </c>
      <c r="L614" s="28">
        <v>250</v>
      </c>
      <c r="M614" s="28">
        <v>0</v>
      </c>
      <c r="N614" s="36">
        <v>2.7654000000000001</v>
      </c>
      <c r="O614" s="35">
        <v>34.036700000000003</v>
      </c>
      <c r="P614" s="20">
        <v>-3.4003388235293919E-2</v>
      </c>
      <c r="Q614" s="20">
        <v>-0.59421850980392144</v>
      </c>
      <c r="R614" s="26" t="s">
        <v>393</v>
      </c>
      <c r="S614" s="26">
        <v>1</v>
      </c>
      <c r="T614" s="71" t="s">
        <v>626</v>
      </c>
    </row>
    <row r="615" spans="1:20" s="14" customFormat="1" ht="12.75" customHeight="1">
      <c r="A615" s="19" t="s">
        <v>417</v>
      </c>
      <c r="B615" s="19" t="s">
        <v>421</v>
      </c>
      <c r="C615" s="19" t="s">
        <v>514</v>
      </c>
      <c r="D615" s="34">
        <v>43343</v>
      </c>
      <c r="E615" s="19">
        <v>2018</v>
      </c>
      <c r="F615" s="19">
        <v>8</v>
      </c>
      <c r="G615" s="30">
        <v>31</v>
      </c>
      <c r="H615" s="29">
        <v>0.78122685185185192</v>
      </c>
      <c r="I615" s="35">
        <v>137.74666669999999</v>
      </c>
      <c r="J615" s="35">
        <v>38.083333330000002</v>
      </c>
      <c r="K615" s="28">
        <v>225</v>
      </c>
      <c r="L615" s="28">
        <v>225</v>
      </c>
      <c r="M615" s="28">
        <v>0</v>
      </c>
      <c r="N615" s="36">
        <v>4.0175999999999998</v>
      </c>
      <c r="O615" s="35">
        <v>34.063600000000001</v>
      </c>
      <c r="P615" s="20">
        <v>5.5673110588235541E-2</v>
      </c>
      <c r="Q615" s="20">
        <v>-0.34934001882352916</v>
      </c>
      <c r="R615" s="26" t="s">
        <v>393</v>
      </c>
      <c r="S615" s="26">
        <v>1</v>
      </c>
      <c r="T615" s="71" t="s">
        <v>626</v>
      </c>
    </row>
    <row r="616" spans="1:20" s="14" customFormat="1" ht="12.75" customHeight="1">
      <c r="A616" s="19" t="s">
        <v>417</v>
      </c>
      <c r="B616" s="19" t="s">
        <v>421</v>
      </c>
      <c r="C616" s="19" t="s">
        <v>514</v>
      </c>
      <c r="D616" s="34">
        <v>43343</v>
      </c>
      <c r="E616" s="19">
        <v>2018</v>
      </c>
      <c r="F616" s="19">
        <v>8</v>
      </c>
      <c r="G616" s="30">
        <v>31</v>
      </c>
      <c r="H616" s="29">
        <v>0.7818518518518518</v>
      </c>
      <c r="I616" s="35">
        <v>137.74666669999999</v>
      </c>
      <c r="J616" s="35">
        <v>38.083333330000002</v>
      </c>
      <c r="K616" s="28">
        <v>200</v>
      </c>
      <c r="L616" s="28">
        <v>200</v>
      </c>
      <c r="M616" s="28">
        <v>0</v>
      </c>
      <c r="N616" s="36">
        <v>5.9104000000000001</v>
      </c>
      <c r="O616" s="35">
        <v>34.107199999999999</v>
      </c>
      <c r="P616" s="20">
        <v>5.2273129411765318E-2</v>
      </c>
      <c r="Q616" s="20">
        <v>2.6172978823529647E-2</v>
      </c>
      <c r="R616" s="26" t="s">
        <v>393</v>
      </c>
      <c r="S616" s="26">
        <v>1</v>
      </c>
      <c r="T616" s="71" t="s">
        <v>626</v>
      </c>
    </row>
    <row r="617" spans="1:20" s="14" customFormat="1" ht="12.75" customHeight="1">
      <c r="A617" s="19" t="s">
        <v>417</v>
      </c>
      <c r="B617" s="19" t="s">
        <v>421</v>
      </c>
      <c r="C617" s="19" t="s">
        <v>514</v>
      </c>
      <c r="D617" s="34">
        <v>43343</v>
      </c>
      <c r="E617" s="19">
        <v>2018</v>
      </c>
      <c r="F617" s="19">
        <v>8</v>
      </c>
      <c r="G617" s="30">
        <v>31</v>
      </c>
      <c r="H617" s="29">
        <v>0.78267361111111111</v>
      </c>
      <c r="I617" s="35">
        <v>137.74666669999999</v>
      </c>
      <c r="J617" s="35">
        <v>38.083333330000002</v>
      </c>
      <c r="K617" s="28">
        <v>175</v>
      </c>
      <c r="L617" s="28">
        <v>175</v>
      </c>
      <c r="M617" s="28">
        <v>0</v>
      </c>
      <c r="N617" s="36">
        <v>8.1941000000000006</v>
      </c>
      <c r="O617" s="35">
        <v>34.215299999999999</v>
      </c>
      <c r="P617" s="20">
        <v>0.15144722823529433</v>
      </c>
      <c r="Q617" s="20">
        <v>0.47404949647058636</v>
      </c>
      <c r="R617" s="26" t="s">
        <v>393</v>
      </c>
      <c r="S617" s="26">
        <v>1</v>
      </c>
      <c r="T617" s="71" t="s">
        <v>626</v>
      </c>
    </row>
    <row r="618" spans="1:20" s="14" customFormat="1" ht="12.75" customHeight="1">
      <c r="A618" s="19" t="s">
        <v>417</v>
      </c>
      <c r="B618" s="19" t="s">
        <v>421</v>
      </c>
      <c r="C618" s="19" t="s">
        <v>514</v>
      </c>
      <c r="D618" s="34">
        <v>43343</v>
      </c>
      <c r="E618" s="19">
        <v>2018</v>
      </c>
      <c r="F618" s="19">
        <v>8</v>
      </c>
      <c r="G618" s="30">
        <v>31</v>
      </c>
      <c r="H618" s="29">
        <v>0.7836805555555556</v>
      </c>
      <c r="I618" s="35">
        <v>137.74666669999999</v>
      </c>
      <c r="J618" s="35">
        <v>38.083333330000002</v>
      </c>
      <c r="K618" s="28">
        <v>150</v>
      </c>
      <c r="L618" s="28">
        <v>150</v>
      </c>
      <c r="M618" s="28">
        <v>0</v>
      </c>
      <c r="N618" s="36">
        <v>10.1805</v>
      </c>
      <c r="O618" s="35">
        <v>34.296700000000001</v>
      </c>
      <c r="P618" s="20">
        <v>0.10245876705882395</v>
      </c>
      <c r="Q618" s="20">
        <v>0.54870329411764907</v>
      </c>
      <c r="R618" s="26" t="s">
        <v>393</v>
      </c>
      <c r="S618" s="26">
        <v>1</v>
      </c>
      <c r="T618" s="71" t="s">
        <v>626</v>
      </c>
    </row>
    <row r="619" spans="1:20" s="14" customFormat="1" ht="12.75" customHeight="1">
      <c r="A619" s="19" t="s">
        <v>417</v>
      </c>
      <c r="B619" s="19" t="s">
        <v>421</v>
      </c>
      <c r="C619" s="19" t="s">
        <v>514</v>
      </c>
      <c r="D619" s="34">
        <v>43343</v>
      </c>
      <c r="E619" s="19">
        <v>2018</v>
      </c>
      <c r="F619" s="19">
        <v>8</v>
      </c>
      <c r="G619" s="30">
        <v>31</v>
      </c>
      <c r="H619" s="29">
        <v>0.78461805555555564</v>
      </c>
      <c r="I619" s="35">
        <v>137.74666669999999</v>
      </c>
      <c r="J619" s="35">
        <v>38.083333330000002</v>
      </c>
      <c r="K619" s="28">
        <v>125</v>
      </c>
      <c r="L619" s="28">
        <v>125</v>
      </c>
      <c r="M619" s="28">
        <v>0</v>
      </c>
      <c r="N619" s="36">
        <v>13.7033</v>
      </c>
      <c r="O619" s="35">
        <v>34.450899999999997</v>
      </c>
      <c r="P619" s="20">
        <v>6.7024053781512993E-2</v>
      </c>
      <c r="Q619" s="20">
        <v>0.78310147899159865</v>
      </c>
      <c r="R619" s="26" t="s">
        <v>393</v>
      </c>
      <c r="S619" s="26">
        <v>1</v>
      </c>
      <c r="T619" s="71" t="s">
        <v>626</v>
      </c>
    </row>
    <row r="620" spans="1:20" s="14" customFormat="1" ht="12.75" customHeight="1">
      <c r="A620" s="19" t="s">
        <v>417</v>
      </c>
      <c r="B620" s="19" t="s">
        <v>421</v>
      </c>
      <c r="C620" s="19" t="s">
        <v>514</v>
      </c>
      <c r="D620" s="34">
        <v>43343</v>
      </c>
      <c r="E620" s="19">
        <v>2018</v>
      </c>
      <c r="F620" s="19">
        <v>8</v>
      </c>
      <c r="G620" s="30">
        <v>31</v>
      </c>
      <c r="H620" s="29">
        <v>0.7853472222222222</v>
      </c>
      <c r="I620" s="35">
        <v>137.74666669999999</v>
      </c>
      <c r="J620" s="35">
        <v>38.083333330000002</v>
      </c>
      <c r="K620" s="28">
        <v>100</v>
      </c>
      <c r="L620" s="28">
        <v>100</v>
      </c>
      <c r="M620" s="28">
        <v>0</v>
      </c>
      <c r="N620" s="36">
        <v>15.7218</v>
      </c>
      <c r="O620" s="35">
        <v>34.462800000000001</v>
      </c>
      <c r="P620" s="20">
        <v>0.12229598117647056</v>
      </c>
      <c r="Q620" s="20">
        <v>1.0128199623529408</v>
      </c>
      <c r="R620" s="26" t="s">
        <v>393</v>
      </c>
      <c r="S620" s="26">
        <v>1</v>
      </c>
      <c r="T620" s="71" t="s">
        <v>626</v>
      </c>
    </row>
    <row r="621" spans="1:20" s="14" customFormat="1" ht="12.75" customHeight="1">
      <c r="A621" s="19" t="s">
        <v>417</v>
      </c>
      <c r="B621" s="19" t="s">
        <v>421</v>
      </c>
      <c r="C621" s="19" t="s">
        <v>514</v>
      </c>
      <c r="D621" s="34">
        <v>43343</v>
      </c>
      <c r="E621" s="19">
        <v>2018</v>
      </c>
      <c r="F621" s="19">
        <v>8</v>
      </c>
      <c r="G621" s="30">
        <v>31</v>
      </c>
      <c r="H621" s="29">
        <v>0.78591435185185177</v>
      </c>
      <c r="I621" s="35">
        <v>137.74666669999999</v>
      </c>
      <c r="J621" s="35">
        <v>38.083333330000002</v>
      </c>
      <c r="K621" s="28">
        <v>90</v>
      </c>
      <c r="L621" s="28">
        <v>90</v>
      </c>
      <c r="M621" s="28">
        <v>0</v>
      </c>
      <c r="N621" s="36">
        <v>16.800999999999998</v>
      </c>
      <c r="O621" s="35">
        <v>34.455399999999997</v>
      </c>
      <c r="P621" s="20">
        <v>0.1758816000000003</v>
      </c>
      <c r="Q621" s="20">
        <v>1.1218857599999996</v>
      </c>
      <c r="R621" s="26" t="s">
        <v>393</v>
      </c>
      <c r="S621" s="26">
        <v>1</v>
      </c>
      <c r="T621" s="71" t="s">
        <v>626</v>
      </c>
    </row>
    <row r="622" spans="1:20" s="14" customFormat="1" ht="12.75" customHeight="1">
      <c r="A622" s="19" t="s">
        <v>417</v>
      </c>
      <c r="B622" s="19" t="s">
        <v>421</v>
      </c>
      <c r="C622" s="19" t="s">
        <v>514</v>
      </c>
      <c r="D622" s="34">
        <v>43343</v>
      </c>
      <c r="E622" s="19">
        <v>2018</v>
      </c>
      <c r="F622" s="19">
        <v>8</v>
      </c>
      <c r="G622" s="30">
        <v>31</v>
      </c>
      <c r="H622" s="29">
        <v>0.78650462962962964</v>
      </c>
      <c r="I622" s="35">
        <v>137.74666669999999</v>
      </c>
      <c r="J622" s="35">
        <v>38.083333330000002</v>
      </c>
      <c r="K622" s="28">
        <v>80</v>
      </c>
      <c r="L622" s="28">
        <v>80</v>
      </c>
      <c r="M622" s="28">
        <v>0</v>
      </c>
      <c r="N622" s="36">
        <v>17.067499999999999</v>
      </c>
      <c r="O622" s="35">
        <v>34.432699999999997</v>
      </c>
      <c r="P622" s="20">
        <v>0.20931873882352958</v>
      </c>
      <c r="Q622" s="20">
        <v>1.2093211576470591</v>
      </c>
      <c r="R622" s="26" t="s">
        <v>393</v>
      </c>
      <c r="S622" s="26">
        <v>1</v>
      </c>
      <c r="T622" s="71" t="s">
        <v>626</v>
      </c>
    </row>
    <row r="623" spans="1:20" s="14" customFormat="1" ht="12.75" customHeight="1">
      <c r="A623" s="19" t="s">
        <v>417</v>
      </c>
      <c r="B623" s="19" t="s">
        <v>421</v>
      </c>
      <c r="C623" s="19" t="s">
        <v>514</v>
      </c>
      <c r="D623" s="34">
        <v>43343</v>
      </c>
      <c r="E623" s="19">
        <v>2018</v>
      </c>
      <c r="F623" s="19">
        <v>8</v>
      </c>
      <c r="G623" s="30">
        <v>31</v>
      </c>
      <c r="H623" s="29">
        <v>0.78697916666666667</v>
      </c>
      <c r="I623" s="35">
        <v>137.74666669999999</v>
      </c>
      <c r="J623" s="35">
        <v>38.083333330000002</v>
      </c>
      <c r="K623" s="28">
        <v>70</v>
      </c>
      <c r="L623" s="28">
        <v>70</v>
      </c>
      <c r="M623" s="28">
        <v>0</v>
      </c>
      <c r="N623" s="36">
        <v>17.731100000000001</v>
      </c>
      <c r="O623" s="35">
        <v>34.400799999999997</v>
      </c>
      <c r="P623" s="20">
        <v>0.22932355764705914</v>
      </c>
      <c r="Q623" s="20">
        <v>1.2782723952941204</v>
      </c>
      <c r="R623" s="26" t="s">
        <v>393</v>
      </c>
      <c r="S623" s="26">
        <v>1</v>
      </c>
      <c r="T623" s="71" t="s">
        <v>626</v>
      </c>
    </row>
    <row r="624" spans="1:20" s="14" customFormat="1" ht="12.75" customHeight="1">
      <c r="A624" s="19" t="s">
        <v>417</v>
      </c>
      <c r="B624" s="19" t="s">
        <v>421</v>
      </c>
      <c r="C624" s="19" t="s">
        <v>514</v>
      </c>
      <c r="D624" s="34">
        <v>43343</v>
      </c>
      <c r="E624" s="19">
        <v>2018</v>
      </c>
      <c r="F624" s="19">
        <v>8</v>
      </c>
      <c r="G624" s="30">
        <v>31</v>
      </c>
      <c r="H624" s="29">
        <v>0.78740740740740733</v>
      </c>
      <c r="I624" s="35">
        <v>137.74666669999999</v>
      </c>
      <c r="J624" s="35">
        <v>38.083333330000002</v>
      </c>
      <c r="K624" s="28">
        <v>60</v>
      </c>
      <c r="L624" s="28">
        <v>60</v>
      </c>
      <c r="M624" s="28">
        <v>0</v>
      </c>
      <c r="N624" s="36">
        <v>18.4102</v>
      </c>
      <c r="O624" s="35">
        <v>34.326599999999999</v>
      </c>
      <c r="P624" s="20">
        <v>0.14878949647058937</v>
      </c>
      <c r="Q624" s="20">
        <v>0.96456219294117851</v>
      </c>
      <c r="R624" s="26" t="s">
        <v>393</v>
      </c>
      <c r="S624" s="26">
        <v>1</v>
      </c>
      <c r="T624" s="71" t="s">
        <v>626</v>
      </c>
    </row>
    <row r="625" spans="1:20" s="14" customFormat="1" ht="12.75" customHeight="1">
      <c r="A625" s="19" t="s">
        <v>417</v>
      </c>
      <c r="B625" s="19" t="s">
        <v>421</v>
      </c>
      <c r="C625" s="19" t="s">
        <v>514</v>
      </c>
      <c r="D625" s="34">
        <v>43343</v>
      </c>
      <c r="E625" s="19">
        <v>2018</v>
      </c>
      <c r="F625" s="19">
        <v>8</v>
      </c>
      <c r="G625" s="30">
        <v>31</v>
      </c>
      <c r="H625" s="29">
        <v>0.78864583333333327</v>
      </c>
      <c r="I625" s="35">
        <v>137.74666669999999</v>
      </c>
      <c r="J625" s="35">
        <v>38.083333330000002</v>
      </c>
      <c r="K625" s="28">
        <v>45</v>
      </c>
      <c r="L625" s="28">
        <v>45</v>
      </c>
      <c r="M625" s="28">
        <v>0</v>
      </c>
      <c r="N625" s="36">
        <v>19.382000000000001</v>
      </c>
      <c r="O625" s="35">
        <v>34.192799999999998</v>
      </c>
      <c r="P625" s="20">
        <v>0.14111559529411766</v>
      </c>
      <c r="Q625" s="20">
        <v>0.80206815058823366</v>
      </c>
      <c r="R625" s="26" t="s">
        <v>393</v>
      </c>
      <c r="S625" s="26">
        <v>1</v>
      </c>
      <c r="T625" s="71" t="s">
        <v>626</v>
      </c>
    </row>
    <row r="626" spans="1:20" s="14" customFormat="1" ht="12.75" customHeight="1">
      <c r="A626" s="19" t="s">
        <v>417</v>
      </c>
      <c r="B626" s="19" t="s">
        <v>421</v>
      </c>
      <c r="C626" s="19" t="s">
        <v>514</v>
      </c>
      <c r="D626" s="34">
        <v>43343</v>
      </c>
      <c r="E626" s="19">
        <v>2018</v>
      </c>
      <c r="F626" s="19">
        <v>8</v>
      </c>
      <c r="G626" s="30">
        <v>31</v>
      </c>
      <c r="H626" s="29">
        <v>0.78914351851851849</v>
      </c>
      <c r="I626" s="35">
        <v>137.74666669999999</v>
      </c>
      <c r="J626" s="35">
        <v>38.083333330000002</v>
      </c>
      <c r="K626" s="28">
        <v>40</v>
      </c>
      <c r="L626" s="28">
        <v>40</v>
      </c>
      <c r="M626" s="28">
        <v>0</v>
      </c>
      <c r="N626" s="36">
        <v>21.193899999999999</v>
      </c>
      <c r="O626" s="35">
        <v>34.006999999999998</v>
      </c>
      <c r="P626" s="20">
        <v>0.16946473411764673</v>
      </c>
      <c r="Q626" s="20">
        <v>0.62875890823529446</v>
      </c>
      <c r="R626" s="26" t="s">
        <v>393</v>
      </c>
      <c r="S626" s="26">
        <v>1</v>
      </c>
      <c r="T626" s="71" t="s">
        <v>626</v>
      </c>
    </row>
    <row r="627" spans="1:20" s="14" customFormat="1" ht="12.75" customHeight="1">
      <c r="A627" s="19" t="s">
        <v>417</v>
      </c>
      <c r="B627" s="19" t="s">
        <v>421</v>
      </c>
      <c r="C627" s="19" t="s">
        <v>514</v>
      </c>
      <c r="D627" s="34">
        <v>43343</v>
      </c>
      <c r="E627" s="19">
        <v>2018</v>
      </c>
      <c r="F627" s="19">
        <v>8</v>
      </c>
      <c r="G627" s="30">
        <v>31</v>
      </c>
      <c r="H627" s="29">
        <v>0.78998842592592589</v>
      </c>
      <c r="I627" s="35">
        <v>137.74666669999999</v>
      </c>
      <c r="J627" s="35">
        <v>38.083333330000002</v>
      </c>
      <c r="K627" s="28">
        <v>30</v>
      </c>
      <c r="L627" s="28">
        <v>30</v>
      </c>
      <c r="M627" s="28">
        <v>0</v>
      </c>
      <c r="N627" s="36">
        <v>22.886299999999999</v>
      </c>
      <c r="O627" s="35">
        <v>33.854700000000001</v>
      </c>
      <c r="P627" s="20">
        <v>1.1155994117646895E-2</v>
      </c>
      <c r="Q627" s="20">
        <v>-7.8987731764707192E-2</v>
      </c>
      <c r="R627" s="26" t="s">
        <v>393</v>
      </c>
      <c r="S627" s="26">
        <v>1</v>
      </c>
      <c r="T627" s="71" t="s">
        <v>626</v>
      </c>
    </row>
    <row r="628" spans="1:20" s="14" customFormat="1" ht="12.75" customHeight="1">
      <c r="A628" s="19" t="s">
        <v>417</v>
      </c>
      <c r="B628" s="19" t="s">
        <v>421</v>
      </c>
      <c r="C628" s="19" t="s">
        <v>514</v>
      </c>
      <c r="D628" s="34">
        <v>43343</v>
      </c>
      <c r="E628" s="19">
        <v>2018</v>
      </c>
      <c r="F628" s="19">
        <v>8</v>
      </c>
      <c r="G628" s="30">
        <v>31</v>
      </c>
      <c r="H628" s="29">
        <v>0.79075231481481489</v>
      </c>
      <c r="I628" s="35">
        <v>137.74666669999999</v>
      </c>
      <c r="J628" s="35">
        <v>38.083333330000002</v>
      </c>
      <c r="K628" s="28">
        <v>20</v>
      </c>
      <c r="L628" s="28">
        <v>20</v>
      </c>
      <c r="M628" s="28">
        <v>0</v>
      </c>
      <c r="N628" s="36">
        <v>24.767199999999999</v>
      </c>
      <c r="O628" s="35">
        <v>33.652200000000001</v>
      </c>
      <c r="P628" s="20">
        <v>-0.10250808705882331</v>
      </c>
      <c r="Q628" s="20">
        <v>-0.75683281411764725</v>
      </c>
      <c r="R628" s="26" t="s">
        <v>393</v>
      </c>
      <c r="S628" s="26">
        <v>1</v>
      </c>
      <c r="T628" s="71" t="s">
        <v>626</v>
      </c>
    </row>
    <row r="629" spans="1:20" s="14" customFormat="1" ht="12.75" customHeight="1">
      <c r="A629" s="19" t="s">
        <v>417</v>
      </c>
      <c r="B629" s="19" t="s">
        <v>421</v>
      </c>
      <c r="C629" s="19" t="s">
        <v>514</v>
      </c>
      <c r="D629" s="34">
        <v>43343</v>
      </c>
      <c r="E629" s="19">
        <v>2018</v>
      </c>
      <c r="F629" s="19">
        <v>8</v>
      </c>
      <c r="G629" s="30">
        <v>31</v>
      </c>
      <c r="H629" s="29">
        <v>0.79143518518518519</v>
      </c>
      <c r="I629" s="35">
        <v>137.74666669999999</v>
      </c>
      <c r="J629" s="35">
        <v>38.083333330000002</v>
      </c>
      <c r="K629" s="28">
        <v>10</v>
      </c>
      <c r="L629" s="28">
        <v>10</v>
      </c>
      <c r="M629" s="28">
        <v>0</v>
      </c>
      <c r="N629" s="36">
        <v>25.193100000000001</v>
      </c>
      <c r="O629" s="35">
        <v>33.383299999999998</v>
      </c>
      <c r="P629" s="20">
        <v>-0.1421286882352939</v>
      </c>
      <c r="Q629" s="20">
        <v>-1.31952337647059</v>
      </c>
      <c r="R629" s="26" t="s">
        <v>393</v>
      </c>
      <c r="S629" s="26">
        <v>1</v>
      </c>
      <c r="T629" s="71" t="s">
        <v>626</v>
      </c>
    </row>
    <row r="630" spans="1:20" s="14" customFormat="1" ht="12.75" customHeight="1">
      <c r="A630" s="19"/>
      <c r="B630" s="19"/>
      <c r="C630" s="19"/>
      <c r="D630" s="34"/>
      <c r="E630" s="19"/>
      <c r="F630" s="19"/>
      <c r="G630" s="30"/>
      <c r="H630" s="29"/>
      <c r="I630" s="35"/>
      <c r="J630" s="35"/>
      <c r="K630" s="28"/>
      <c r="L630" s="28"/>
      <c r="M630" s="28"/>
      <c r="N630" s="36"/>
      <c r="O630" s="35"/>
      <c r="P630" s="20"/>
      <c r="Q630" s="20"/>
      <c r="R630" s="26"/>
      <c r="S630" s="26"/>
      <c r="T630" s="71"/>
    </row>
    <row r="631" spans="1:20" s="14" customFormat="1" ht="12.75" customHeight="1">
      <c r="A631" s="19" t="s">
        <v>417</v>
      </c>
      <c r="B631" s="19" t="s">
        <v>67</v>
      </c>
      <c r="C631" s="19" t="s">
        <v>514</v>
      </c>
      <c r="D631" s="34">
        <v>43345</v>
      </c>
      <c r="E631" s="19">
        <v>2018</v>
      </c>
      <c r="F631" s="19">
        <v>9</v>
      </c>
      <c r="G631" s="30">
        <v>2</v>
      </c>
      <c r="H631" s="29">
        <v>0.77225694444444448</v>
      </c>
      <c r="I631" s="35">
        <v>137.58933329999999</v>
      </c>
      <c r="J631" s="35">
        <v>39.081666669999997</v>
      </c>
      <c r="K631" s="28">
        <v>1000</v>
      </c>
      <c r="L631" s="28">
        <v>1000</v>
      </c>
      <c r="M631" s="28">
        <v>0</v>
      </c>
      <c r="N631" s="36">
        <v>0.34389999999999998</v>
      </c>
      <c r="O631" s="35">
        <v>34.0685</v>
      </c>
      <c r="P631" s="20">
        <v>-7.2861818823529267E-2</v>
      </c>
      <c r="Q631" s="20">
        <v>-0.84108625764705813</v>
      </c>
      <c r="R631" s="26" t="s">
        <v>393</v>
      </c>
      <c r="S631" s="26">
        <v>1</v>
      </c>
      <c r="T631" s="71" t="s">
        <v>626</v>
      </c>
    </row>
    <row r="632" spans="1:20" s="14" customFormat="1" ht="12.75" customHeight="1">
      <c r="A632" s="19" t="s">
        <v>417</v>
      </c>
      <c r="B632" s="19" t="s">
        <v>67</v>
      </c>
      <c r="C632" s="19" t="s">
        <v>514</v>
      </c>
      <c r="D632" s="34">
        <v>43345</v>
      </c>
      <c r="E632" s="19">
        <v>2018</v>
      </c>
      <c r="F632" s="19">
        <v>9</v>
      </c>
      <c r="G632" s="30">
        <v>2</v>
      </c>
      <c r="H632" s="29">
        <v>0.77581018518518519</v>
      </c>
      <c r="I632" s="35">
        <v>137.58933329999999</v>
      </c>
      <c r="J632" s="35">
        <v>39.081666669999997</v>
      </c>
      <c r="K632" s="28">
        <v>750</v>
      </c>
      <c r="L632" s="28">
        <v>750</v>
      </c>
      <c r="M632" s="28">
        <v>0</v>
      </c>
      <c r="N632" s="36">
        <v>0.45929999999999999</v>
      </c>
      <c r="O632" s="35">
        <v>34.0685</v>
      </c>
      <c r="P632" s="20">
        <v>-2.9030099999999948E-2</v>
      </c>
      <c r="Q632" s="20">
        <v>-0.67327769999999987</v>
      </c>
      <c r="R632" s="26" t="s">
        <v>393</v>
      </c>
      <c r="S632" s="26">
        <v>1</v>
      </c>
      <c r="T632" s="71" t="s">
        <v>626</v>
      </c>
    </row>
    <row r="633" spans="1:20" s="14" customFormat="1" ht="12.75" customHeight="1">
      <c r="A633" s="19" t="s">
        <v>417</v>
      </c>
      <c r="B633" s="19" t="s">
        <v>67</v>
      </c>
      <c r="C633" s="19" t="s">
        <v>514</v>
      </c>
      <c r="D633" s="34">
        <v>43345</v>
      </c>
      <c r="E633" s="19">
        <v>2018</v>
      </c>
      <c r="F633" s="19">
        <v>9</v>
      </c>
      <c r="G633" s="30">
        <v>2</v>
      </c>
      <c r="H633" s="29">
        <v>0.77931712962962962</v>
      </c>
      <c r="I633" s="35">
        <v>137.58933329999999</v>
      </c>
      <c r="J633" s="35">
        <v>39.081666669999997</v>
      </c>
      <c r="K633" s="28">
        <v>500</v>
      </c>
      <c r="L633" s="28">
        <v>500</v>
      </c>
      <c r="M633" s="28">
        <v>0</v>
      </c>
      <c r="N633" s="36">
        <v>0.70020000000000004</v>
      </c>
      <c r="O633" s="35">
        <v>34.063299999999998</v>
      </c>
      <c r="P633" s="20">
        <v>-2.3038281176470665E-2</v>
      </c>
      <c r="Q633" s="20">
        <v>-0.74923266235294328</v>
      </c>
      <c r="R633" s="26" t="s">
        <v>393</v>
      </c>
      <c r="S633" s="26">
        <v>1</v>
      </c>
      <c r="T633" s="71" t="s">
        <v>626</v>
      </c>
    </row>
    <row r="634" spans="1:20" s="14" customFormat="1" ht="12.75" customHeight="1">
      <c r="A634" s="19" t="s">
        <v>417</v>
      </c>
      <c r="B634" s="19" t="s">
        <v>67</v>
      </c>
      <c r="C634" s="19" t="s">
        <v>514</v>
      </c>
      <c r="D634" s="34">
        <v>43345</v>
      </c>
      <c r="E634" s="19">
        <v>2018</v>
      </c>
      <c r="F634" s="19">
        <v>9</v>
      </c>
      <c r="G634" s="30">
        <v>2</v>
      </c>
      <c r="H634" s="29">
        <v>0.78084490740740742</v>
      </c>
      <c r="I634" s="35">
        <v>137.58933329999999</v>
      </c>
      <c r="J634" s="35">
        <v>39.081666669999997</v>
      </c>
      <c r="K634" s="28">
        <v>400</v>
      </c>
      <c r="L634" s="28">
        <v>400</v>
      </c>
      <c r="M634" s="28">
        <v>0</v>
      </c>
      <c r="N634" s="36">
        <v>0.84850000000000003</v>
      </c>
      <c r="O634" s="35">
        <v>34.056800000000003</v>
      </c>
      <c r="P634" s="20">
        <v>-6.347704235294116E-2</v>
      </c>
      <c r="Q634" s="20">
        <v>-0.83686136470588401</v>
      </c>
      <c r="R634" s="26" t="s">
        <v>393</v>
      </c>
      <c r="S634" s="26">
        <v>1</v>
      </c>
      <c r="T634" s="71" t="s">
        <v>626</v>
      </c>
    </row>
    <row r="635" spans="1:20" s="14" customFormat="1" ht="12.75" customHeight="1">
      <c r="A635" s="19" t="s">
        <v>417</v>
      </c>
      <c r="B635" s="19" t="s">
        <v>67</v>
      </c>
      <c r="C635" s="19" t="s">
        <v>514</v>
      </c>
      <c r="D635" s="34">
        <v>43345</v>
      </c>
      <c r="E635" s="19">
        <v>2018</v>
      </c>
      <c r="F635" s="19">
        <v>9</v>
      </c>
      <c r="G635" s="30">
        <v>2</v>
      </c>
      <c r="H635" s="29">
        <v>0.78221064814814811</v>
      </c>
      <c r="I635" s="35">
        <v>137.58933329999999</v>
      </c>
      <c r="J635" s="35">
        <v>39.081666669999997</v>
      </c>
      <c r="K635" s="28">
        <v>300</v>
      </c>
      <c r="L635" s="28">
        <v>300</v>
      </c>
      <c r="M635" s="28">
        <v>0</v>
      </c>
      <c r="N635" s="36">
        <v>1.4535</v>
      </c>
      <c r="O635" s="35">
        <v>34.036000000000001</v>
      </c>
      <c r="P635" s="20">
        <v>-4.9712703529412039E-2</v>
      </c>
      <c r="Q635" s="20">
        <v>-0.71218628705882558</v>
      </c>
      <c r="R635" s="26" t="s">
        <v>393</v>
      </c>
      <c r="S635" s="26">
        <v>1</v>
      </c>
      <c r="T635" s="71" t="s">
        <v>626</v>
      </c>
    </row>
    <row r="636" spans="1:20" s="14" customFormat="1" ht="12.75" customHeight="1">
      <c r="A636" s="19" t="s">
        <v>417</v>
      </c>
      <c r="B636" s="19" t="s">
        <v>67</v>
      </c>
      <c r="C636" s="19" t="s">
        <v>514</v>
      </c>
      <c r="D636" s="34">
        <v>43345</v>
      </c>
      <c r="E636" s="19">
        <v>2018</v>
      </c>
      <c r="F636" s="19">
        <v>9</v>
      </c>
      <c r="G636" s="30">
        <v>2</v>
      </c>
      <c r="H636" s="29">
        <v>0.78353009259259254</v>
      </c>
      <c r="I636" s="35">
        <v>137.58933329999999</v>
      </c>
      <c r="J636" s="35">
        <v>39.081666669999997</v>
      </c>
      <c r="K636" s="28">
        <v>250</v>
      </c>
      <c r="L636" s="28">
        <v>250</v>
      </c>
      <c r="M636" s="28">
        <v>0</v>
      </c>
      <c r="N636" s="36">
        <v>2.0828000000000002</v>
      </c>
      <c r="O636" s="35">
        <v>34.024000000000001</v>
      </c>
      <c r="P636" s="20">
        <v>1.7845655294117968E-2</v>
      </c>
      <c r="Q636" s="20">
        <v>-0.48640474941176493</v>
      </c>
      <c r="R636" s="26" t="s">
        <v>393</v>
      </c>
      <c r="S636" s="26">
        <v>1</v>
      </c>
      <c r="T636" s="71" t="s">
        <v>626</v>
      </c>
    </row>
    <row r="637" spans="1:20" s="14" customFormat="1" ht="12.75" customHeight="1">
      <c r="A637" s="19" t="s">
        <v>417</v>
      </c>
      <c r="B637" s="19" t="s">
        <v>67</v>
      </c>
      <c r="C637" s="19" t="s">
        <v>514</v>
      </c>
      <c r="D637" s="34">
        <v>43345</v>
      </c>
      <c r="E637" s="19">
        <v>2018</v>
      </c>
      <c r="F637" s="19">
        <v>9</v>
      </c>
      <c r="G637" s="30">
        <v>2</v>
      </c>
      <c r="H637" s="29">
        <v>0.78434027777777782</v>
      </c>
      <c r="I637" s="35">
        <v>137.58933329999999</v>
      </c>
      <c r="J637" s="35">
        <v>39.081666669999997</v>
      </c>
      <c r="K637" s="28">
        <v>225</v>
      </c>
      <c r="L637" s="28">
        <v>225</v>
      </c>
      <c r="M637" s="28">
        <v>0</v>
      </c>
      <c r="N637" s="36">
        <v>3.3877000000000002</v>
      </c>
      <c r="O637" s="35">
        <v>34.036000000000001</v>
      </c>
      <c r="P637" s="20">
        <v>-1.0525245882352596E-2</v>
      </c>
      <c r="Q637" s="20">
        <v>-0.49310871176470705</v>
      </c>
      <c r="R637" s="26" t="s">
        <v>393</v>
      </c>
      <c r="S637" s="26">
        <v>1</v>
      </c>
      <c r="T637" s="71" t="s">
        <v>626</v>
      </c>
    </row>
    <row r="638" spans="1:20" s="14" customFormat="1" ht="12.75" customHeight="1">
      <c r="A638" s="19" t="s">
        <v>417</v>
      </c>
      <c r="B638" s="19" t="s">
        <v>67</v>
      </c>
      <c r="C638" s="19" t="s">
        <v>514</v>
      </c>
      <c r="D638" s="34">
        <v>43345</v>
      </c>
      <c r="E638" s="19">
        <v>2018</v>
      </c>
      <c r="F638" s="19">
        <v>9</v>
      </c>
      <c r="G638" s="30">
        <v>2</v>
      </c>
      <c r="H638" s="29">
        <v>0.78488425925925931</v>
      </c>
      <c r="I638" s="35">
        <v>137.58933329999999</v>
      </c>
      <c r="J638" s="35">
        <v>39.081666669999997</v>
      </c>
      <c r="K638" s="28">
        <v>200</v>
      </c>
      <c r="L638" s="28">
        <v>200</v>
      </c>
      <c r="M638" s="28">
        <v>0</v>
      </c>
      <c r="N638" s="36">
        <v>4.7667999999999999</v>
      </c>
      <c r="O638" s="35">
        <v>34.0809</v>
      </c>
      <c r="P638" s="20">
        <v>1.0122729411761178E-3</v>
      </c>
      <c r="Q638" s="20">
        <v>-0.2004698317647069</v>
      </c>
      <c r="R638" s="26" t="s">
        <v>393</v>
      </c>
      <c r="S638" s="26">
        <v>1</v>
      </c>
      <c r="T638" s="71" t="s">
        <v>626</v>
      </c>
    </row>
    <row r="639" spans="1:20" s="14" customFormat="1" ht="12.75" customHeight="1">
      <c r="A639" s="19" t="s">
        <v>417</v>
      </c>
      <c r="B639" s="19" t="s">
        <v>67</v>
      </c>
      <c r="C639" s="19" t="s">
        <v>514</v>
      </c>
      <c r="D639" s="34">
        <v>43345</v>
      </c>
      <c r="E639" s="19">
        <v>2018</v>
      </c>
      <c r="F639" s="19">
        <v>9</v>
      </c>
      <c r="G639" s="30">
        <v>2</v>
      </c>
      <c r="H639" s="29">
        <v>0.78545138888888888</v>
      </c>
      <c r="I639" s="35">
        <v>137.58933329999999</v>
      </c>
      <c r="J639" s="35">
        <v>39.081666669999997</v>
      </c>
      <c r="K639" s="28">
        <v>175</v>
      </c>
      <c r="L639" s="28">
        <v>175</v>
      </c>
      <c r="M639" s="28">
        <v>0</v>
      </c>
      <c r="N639" s="36">
        <v>8.3483000000000001</v>
      </c>
      <c r="O639" s="35">
        <v>34.220799999999997</v>
      </c>
      <c r="P639" s="20">
        <v>6.9236423529411173E-2</v>
      </c>
      <c r="Q639" s="20">
        <v>0.17623526588235094</v>
      </c>
      <c r="R639" s="26" t="s">
        <v>393</v>
      </c>
      <c r="S639" s="26">
        <v>1</v>
      </c>
      <c r="T639" s="71" t="s">
        <v>626</v>
      </c>
    </row>
    <row r="640" spans="1:20" s="14" customFormat="1" ht="12.75" customHeight="1">
      <c r="A640" s="19" t="s">
        <v>417</v>
      </c>
      <c r="B640" s="19" t="s">
        <v>67</v>
      </c>
      <c r="C640" s="19" t="s">
        <v>514</v>
      </c>
      <c r="D640" s="34">
        <v>43345</v>
      </c>
      <c r="E640" s="19">
        <v>2018</v>
      </c>
      <c r="F640" s="19">
        <v>9</v>
      </c>
      <c r="G640" s="30">
        <v>2</v>
      </c>
      <c r="H640" s="29">
        <v>0.78593750000000007</v>
      </c>
      <c r="I640" s="35">
        <v>137.58933329999999</v>
      </c>
      <c r="J640" s="35">
        <v>39.081666669999997</v>
      </c>
      <c r="K640" s="28">
        <v>150</v>
      </c>
      <c r="L640" s="28">
        <v>150</v>
      </c>
      <c r="M640" s="28">
        <v>0</v>
      </c>
      <c r="N640" s="36">
        <v>12.0669</v>
      </c>
      <c r="O640" s="35">
        <v>34.403500000000001</v>
      </c>
      <c r="P640" s="20">
        <v>0.10453929411764706</v>
      </c>
      <c r="Q640" s="20">
        <v>0.8548872435294097</v>
      </c>
      <c r="R640" s="26" t="s">
        <v>393</v>
      </c>
      <c r="S640" s="26">
        <v>1</v>
      </c>
      <c r="T640" s="71" t="s">
        <v>626</v>
      </c>
    </row>
    <row r="641" spans="1:20" s="14" customFormat="1" ht="12.75" customHeight="1">
      <c r="A641" s="19" t="s">
        <v>417</v>
      </c>
      <c r="B641" s="19" t="s">
        <v>67</v>
      </c>
      <c r="C641" s="19" t="s">
        <v>514</v>
      </c>
      <c r="D641" s="34">
        <v>43345</v>
      </c>
      <c r="E641" s="19">
        <v>2018</v>
      </c>
      <c r="F641" s="19">
        <v>9</v>
      </c>
      <c r="G641" s="30">
        <v>2</v>
      </c>
      <c r="H641" s="29">
        <v>0.78638888888888892</v>
      </c>
      <c r="I641" s="35">
        <v>137.58933329999999</v>
      </c>
      <c r="J641" s="35">
        <v>39.081666669999997</v>
      </c>
      <c r="K641" s="28">
        <v>125</v>
      </c>
      <c r="L641" s="28">
        <v>125</v>
      </c>
      <c r="M641" s="28">
        <v>0</v>
      </c>
      <c r="N641" s="36">
        <v>13.7989</v>
      </c>
      <c r="O641" s="35">
        <v>34.4465</v>
      </c>
      <c r="P641" s="20">
        <v>0.15926776470588244</v>
      </c>
      <c r="Q641" s="20">
        <v>1.1277981011764719</v>
      </c>
      <c r="R641" s="26" t="s">
        <v>393</v>
      </c>
      <c r="S641" s="26">
        <v>1</v>
      </c>
      <c r="T641" s="71" t="s">
        <v>626</v>
      </c>
    </row>
    <row r="642" spans="1:20" s="14" customFormat="1" ht="12.75" customHeight="1">
      <c r="A642" s="19" t="s">
        <v>417</v>
      </c>
      <c r="B642" s="19" t="s">
        <v>67</v>
      </c>
      <c r="C642" s="19" t="s">
        <v>514</v>
      </c>
      <c r="D642" s="34">
        <v>43345</v>
      </c>
      <c r="E642" s="19">
        <v>2018</v>
      </c>
      <c r="F642" s="19">
        <v>9</v>
      </c>
      <c r="G642" s="30">
        <v>2</v>
      </c>
      <c r="H642" s="29">
        <v>0.78688657407407403</v>
      </c>
      <c r="I642" s="35">
        <v>137.58933329999999</v>
      </c>
      <c r="J642" s="35">
        <v>39.081666669999997</v>
      </c>
      <c r="K642" s="28">
        <v>100</v>
      </c>
      <c r="L642" s="28">
        <v>100</v>
      </c>
      <c r="M642" s="28">
        <v>0</v>
      </c>
      <c r="N642" s="36">
        <v>15.8963</v>
      </c>
      <c r="O642" s="35">
        <v>34.391100000000002</v>
      </c>
      <c r="P642" s="20">
        <v>0.15122087529411754</v>
      </c>
      <c r="Q642" s="20">
        <v>1.0012583988235289</v>
      </c>
      <c r="R642" s="26" t="s">
        <v>393</v>
      </c>
      <c r="S642" s="26">
        <v>1</v>
      </c>
      <c r="T642" s="71" t="s">
        <v>626</v>
      </c>
    </row>
    <row r="643" spans="1:20" s="14" customFormat="1" ht="12.75" customHeight="1">
      <c r="A643" s="19" t="s">
        <v>417</v>
      </c>
      <c r="B643" s="19" t="s">
        <v>67</v>
      </c>
      <c r="C643" s="19" t="s">
        <v>514</v>
      </c>
      <c r="D643" s="34">
        <v>43345</v>
      </c>
      <c r="E643" s="19">
        <v>2018</v>
      </c>
      <c r="F643" s="19">
        <v>9</v>
      </c>
      <c r="G643" s="30">
        <v>2</v>
      </c>
      <c r="H643" s="29">
        <v>0.78755787037037039</v>
      </c>
      <c r="I643" s="35">
        <v>137.58933329999999</v>
      </c>
      <c r="J643" s="35">
        <v>39.081666669999997</v>
      </c>
      <c r="K643" s="28">
        <v>90</v>
      </c>
      <c r="L643" s="28">
        <v>90</v>
      </c>
      <c r="M643" s="28">
        <v>0</v>
      </c>
      <c r="N643" s="36">
        <v>16.898900000000001</v>
      </c>
      <c r="O643" s="35">
        <v>34.372799999999998</v>
      </c>
      <c r="P643" s="20">
        <v>0.16137270588235264</v>
      </c>
      <c r="Q643" s="20">
        <v>0.93428243647058906</v>
      </c>
      <c r="R643" s="26" t="s">
        <v>393</v>
      </c>
      <c r="S643" s="26">
        <v>1</v>
      </c>
      <c r="T643" s="71" t="s">
        <v>626</v>
      </c>
    </row>
    <row r="644" spans="1:20" s="14" customFormat="1" ht="12.75" customHeight="1">
      <c r="A644" s="19" t="s">
        <v>417</v>
      </c>
      <c r="B644" s="19" t="s">
        <v>67</v>
      </c>
      <c r="C644" s="19" t="s">
        <v>514</v>
      </c>
      <c r="D644" s="34">
        <v>43345</v>
      </c>
      <c r="E644" s="19">
        <v>2018</v>
      </c>
      <c r="F644" s="19">
        <v>9</v>
      </c>
      <c r="G644" s="30">
        <v>2</v>
      </c>
      <c r="H644" s="29">
        <v>0.78858796296296296</v>
      </c>
      <c r="I644" s="35">
        <v>137.58933329999999</v>
      </c>
      <c r="J644" s="35">
        <v>39.081666669999997</v>
      </c>
      <c r="K644" s="28">
        <v>70</v>
      </c>
      <c r="L644" s="28">
        <v>70</v>
      </c>
      <c r="M644" s="28">
        <v>0</v>
      </c>
      <c r="N644" s="36">
        <v>18.019100000000002</v>
      </c>
      <c r="O644" s="35">
        <v>34.293900000000001</v>
      </c>
      <c r="P644" s="20">
        <v>0.13103749647058827</v>
      </c>
      <c r="Q644" s="20">
        <v>0.80046927411764557</v>
      </c>
      <c r="R644" s="26" t="s">
        <v>393</v>
      </c>
      <c r="S644" s="26">
        <v>1</v>
      </c>
      <c r="T644" s="71" t="s">
        <v>626</v>
      </c>
    </row>
    <row r="645" spans="1:20" s="14" customFormat="1" ht="12.75" customHeight="1">
      <c r="A645" s="19" t="s">
        <v>417</v>
      </c>
      <c r="B645" s="19" t="s">
        <v>67</v>
      </c>
      <c r="C645" s="19" t="s">
        <v>514</v>
      </c>
      <c r="D645" s="34">
        <v>43345</v>
      </c>
      <c r="E645" s="19">
        <v>2018</v>
      </c>
      <c r="F645" s="19">
        <v>9</v>
      </c>
      <c r="G645" s="30">
        <v>2</v>
      </c>
      <c r="H645" s="29">
        <v>0.78916666666666668</v>
      </c>
      <c r="I645" s="35">
        <v>137.58933329999999</v>
      </c>
      <c r="J645" s="35">
        <v>39.081666669999997</v>
      </c>
      <c r="K645" s="28">
        <v>60</v>
      </c>
      <c r="L645" s="28">
        <v>60</v>
      </c>
      <c r="M645" s="28">
        <v>0</v>
      </c>
      <c r="N645" s="36">
        <v>18.604700000000001</v>
      </c>
      <c r="O645" s="35">
        <v>34.237499999999997</v>
      </c>
      <c r="P645" s="20">
        <v>0.10866497882352988</v>
      </c>
      <c r="Q645" s="20">
        <v>0.76040164470588145</v>
      </c>
      <c r="R645" s="26" t="s">
        <v>393</v>
      </c>
      <c r="S645" s="26">
        <v>1</v>
      </c>
      <c r="T645" s="71" t="s">
        <v>626</v>
      </c>
    </row>
    <row r="646" spans="1:20" s="14" customFormat="1" ht="12.75" customHeight="1">
      <c r="A646" s="19" t="s">
        <v>417</v>
      </c>
      <c r="B646" s="19" t="s">
        <v>67</v>
      </c>
      <c r="C646" s="19" t="s">
        <v>514</v>
      </c>
      <c r="D646" s="34">
        <v>43345</v>
      </c>
      <c r="E646" s="19">
        <v>2018</v>
      </c>
      <c r="F646" s="19">
        <v>9</v>
      </c>
      <c r="G646" s="30">
        <v>2</v>
      </c>
      <c r="H646" s="29">
        <v>0.78971064814814806</v>
      </c>
      <c r="I646" s="35">
        <v>137.58933329999999</v>
      </c>
      <c r="J646" s="35">
        <v>39.081666669999997</v>
      </c>
      <c r="K646" s="28">
        <v>50</v>
      </c>
      <c r="L646" s="28">
        <v>50</v>
      </c>
      <c r="M646" s="28">
        <v>0</v>
      </c>
      <c r="N646" s="36">
        <v>18.9878</v>
      </c>
      <c r="O646" s="35">
        <v>34.154400000000003</v>
      </c>
      <c r="P646" s="20">
        <v>7.6489449411764276E-2</v>
      </c>
      <c r="Q646" s="20">
        <v>0.4331537623529389</v>
      </c>
      <c r="R646" s="26" t="s">
        <v>393</v>
      </c>
      <c r="S646" s="26">
        <v>1</v>
      </c>
      <c r="T646" s="71" t="s">
        <v>626</v>
      </c>
    </row>
    <row r="647" spans="1:20" s="14" customFormat="1" ht="12.75" customHeight="1">
      <c r="A647" s="19" t="s">
        <v>417</v>
      </c>
      <c r="B647" s="19" t="s">
        <v>67</v>
      </c>
      <c r="C647" s="19" t="s">
        <v>514</v>
      </c>
      <c r="D647" s="34">
        <v>43345</v>
      </c>
      <c r="E647" s="19">
        <v>2018</v>
      </c>
      <c r="F647" s="19">
        <v>9</v>
      </c>
      <c r="G647" s="30">
        <v>2</v>
      </c>
      <c r="H647" s="29">
        <v>0.79068287037037033</v>
      </c>
      <c r="I647" s="35">
        <v>137.58933329999999</v>
      </c>
      <c r="J647" s="35">
        <v>39.081666669999997</v>
      </c>
      <c r="K647" s="28">
        <v>40</v>
      </c>
      <c r="L647" s="28">
        <v>40</v>
      </c>
      <c r="M647" s="28">
        <v>0</v>
      </c>
      <c r="N647" s="36">
        <v>20.633900000000001</v>
      </c>
      <c r="O647" s="35">
        <v>33.9741</v>
      </c>
      <c r="P647" s="20">
        <v>1.2824000000000169E-2</v>
      </c>
      <c r="Q647" s="20">
        <v>0.12182886000000082</v>
      </c>
      <c r="R647" s="26" t="s">
        <v>393</v>
      </c>
      <c r="S647" s="26">
        <v>1</v>
      </c>
      <c r="T647" s="71" t="s">
        <v>626</v>
      </c>
    </row>
    <row r="648" spans="1:20" s="14" customFormat="1" ht="12.75" customHeight="1">
      <c r="A648" s="19" t="s">
        <v>417</v>
      </c>
      <c r="B648" s="19" t="s">
        <v>67</v>
      </c>
      <c r="C648" s="19" t="s">
        <v>514</v>
      </c>
      <c r="D648" s="34">
        <v>43345</v>
      </c>
      <c r="E648" s="19">
        <v>2018</v>
      </c>
      <c r="F648" s="19">
        <v>9</v>
      </c>
      <c r="G648" s="30">
        <v>2</v>
      </c>
      <c r="H648" s="29">
        <v>0.79126157407407405</v>
      </c>
      <c r="I648" s="35">
        <v>137.58933329999999</v>
      </c>
      <c r="J648" s="35">
        <v>39.081666669999997</v>
      </c>
      <c r="K648" s="28">
        <v>30</v>
      </c>
      <c r="L648" s="28">
        <v>30</v>
      </c>
      <c r="M648" s="28">
        <v>0</v>
      </c>
      <c r="N648" s="36">
        <v>22.872</v>
      </c>
      <c r="O648" s="35">
        <v>33.711599999999997</v>
      </c>
      <c r="P648" s="20">
        <v>-9.7462889411764841E-2</v>
      </c>
      <c r="Q648" s="20">
        <v>-0.58619448235294236</v>
      </c>
      <c r="R648" s="26" t="s">
        <v>393</v>
      </c>
      <c r="S648" s="26">
        <v>1</v>
      </c>
      <c r="T648" s="71" t="s">
        <v>626</v>
      </c>
    </row>
    <row r="649" spans="1:20" s="14" customFormat="1" ht="12.75" customHeight="1">
      <c r="A649" s="19" t="s">
        <v>417</v>
      </c>
      <c r="B649" s="19" t="s">
        <v>67</v>
      </c>
      <c r="C649" s="19" t="s">
        <v>514</v>
      </c>
      <c r="D649" s="34">
        <v>43345</v>
      </c>
      <c r="E649" s="19">
        <v>2018</v>
      </c>
      <c r="F649" s="19">
        <v>9</v>
      </c>
      <c r="G649" s="30">
        <v>2</v>
      </c>
      <c r="H649" s="29">
        <v>0.7917939814814815</v>
      </c>
      <c r="I649" s="35">
        <v>137.58933329999999</v>
      </c>
      <c r="J649" s="35">
        <v>39.081666669999997</v>
      </c>
      <c r="K649" s="28">
        <v>20</v>
      </c>
      <c r="L649" s="28">
        <v>20</v>
      </c>
      <c r="M649" s="28">
        <v>0</v>
      </c>
      <c r="N649" s="36">
        <v>23.718</v>
      </c>
      <c r="O649" s="35">
        <v>33.616199999999999</v>
      </c>
      <c r="P649" s="20">
        <v>-9.7330578823529024E-2</v>
      </c>
      <c r="Q649" s="20">
        <v>-0.84169066470588305</v>
      </c>
      <c r="R649" s="26" t="s">
        <v>393</v>
      </c>
      <c r="S649" s="26">
        <v>1</v>
      </c>
      <c r="T649" s="71" t="s">
        <v>626</v>
      </c>
    </row>
    <row r="650" spans="1:20" s="14" customFormat="1" ht="12.75" customHeight="1">
      <c r="A650" s="19" t="s">
        <v>417</v>
      </c>
      <c r="B650" s="19" t="s">
        <v>67</v>
      </c>
      <c r="C650" s="19" t="s">
        <v>514</v>
      </c>
      <c r="D650" s="34">
        <v>43345</v>
      </c>
      <c r="E650" s="19">
        <v>2018</v>
      </c>
      <c r="F650" s="19">
        <v>9</v>
      </c>
      <c r="G650" s="30">
        <v>2</v>
      </c>
      <c r="H650" s="29">
        <v>0.79234953703703714</v>
      </c>
      <c r="I650" s="35">
        <v>137.58933329999999</v>
      </c>
      <c r="J650" s="35">
        <v>39.081666669999997</v>
      </c>
      <c r="K650" s="28">
        <v>10</v>
      </c>
      <c r="L650" s="28">
        <v>10</v>
      </c>
      <c r="M650" s="28">
        <v>0</v>
      </c>
      <c r="N650" s="36">
        <v>24.840199999999999</v>
      </c>
      <c r="O650" s="35">
        <v>33.305399999999999</v>
      </c>
      <c r="P650" s="20">
        <v>-0.27959442823529423</v>
      </c>
      <c r="Q650" s="20">
        <v>-1.7319436670588253</v>
      </c>
      <c r="R650" s="26" t="s">
        <v>393</v>
      </c>
      <c r="S650" s="26">
        <v>1</v>
      </c>
      <c r="T650" s="71" t="s">
        <v>626</v>
      </c>
    </row>
    <row r="651" spans="1:20" s="14" customFormat="1" ht="12.75" customHeight="1">
      <c r="A651" s="19" t="s">
        <v>417</v>
      </c>
      <c r="B651" s="19" t="s">
        <v>69</v>
      </c>
      <c r="C651" s="19" t="s">
        <v>514</v>
      </c>
      <c r="D651" s="34">
        <v>43346</v>
      </c>
      <c r="E651" s="19">
        <v>2018</v>
      </c>
      <c r="F651" s="19">
        <v>9</v>
      </c>
      <c r="G651" s="30">
        <v>3</v>
      </c>
      <c r="H651" s="29">
        <v>0.19287037037037036</v>
      </c>
      <c r="I651" s="35">
        <v>137.3051667</v>
      </c>
      <c r="J651" s="35">
        <v>39.550166670000003</v>
      </c>
      <c r="K651" s="28">
        <v>150</v>
      </c>
      <c r="L651" s="28">
        <v>150</v>
      </c>
      <c r="M651" s="28">
        <v>0</v>
      </c>
      <c r="N651" s="36" t="s">
        <v>287</v>
      </c>
      <c r="O651" s="35">
        <v>34.088200000000001</v>
      </c>
      <c r="P651" s="20">
        <v>-1.3710287058823489E-2</v>
      </c>
      <c r="Q651" s="20">
        <v>-0.44796405176470699</v>
      </c>
      <c r="R651" s="26" t="s">
        <v>393</v>
      </c>
      <c r="S651" s="26"/>
      <c r="T651" s="71" t="s">
        <v>626</v>
      </c>
    </row>
    <row r="652" spans="1:20" s="14" customFormat="1" ht="12.75" customHeight="1">
      <c r="A652" s="19"/>
      <c r="B652" s="19"/>
      <c r="C652" s="19"/>
      <c r="D652" s="34"/>
      <c r="E652" s="19"/>
      <c r="F652" s="19"/>
      <c r="G652" s="30"/>
      <c r="H652" s="29"/>
      <c r="I652" s="35"/>
      <c r="J652" s="35"/>
      <c r="K652" s="28"/>
      <c r="L652" s="28"/>
      <c r="M652" s="28"/>
      <c r="N652" s="36"/>
      <c r="O652" s="35"/>
      <c r="P652" s="20"/>
      <c r="Q652" s="20"/>
      <c r="R652" s="26"/>
      <c r="S652" s="26"/>
      <c r="T652" s="71"/>
    </row>
    <row r="653" spans="1:20" s="14" customFormat="1" ht="12.75" customHeight="1">
      <c r="A653" s="19" t="s">
        <v>417</v>
      </c>
      <c r="B653" s="19" t="s">
        <v>72</v>
      </c>
      <c r="C653" s="19" t="s">
        <v>514</v>
      </c>
      <c r="D653" s="34">
        <v>43344</v>
      </c>
      <c r="E653" s="19">
        <v>2018</v>
      </c>
      <c r="F653" s="19">
        <v>9</v>
      </c>
      <c r="G653" s="30">
        <v>1</v>
      </c>
      <c r="H653" s="29">
        <v>0.7712268518518518</v>
      </c>
      <c r="I653" s="35">
        <v>136.74683329999999</v>
      </c>
      <c r="J653" s="35">
        <v>40.331666669999997</v>
      </c>
      <c r="K653" s="28">
        <v>1000</v>
      </c>
      <c r="L653" s="28">
        <v>1000</v>
      </c>
      <c r="M653" s="28">
        <v>0</v>
      </c>
      <c r="N653" s="36">
        <v>0.33050000000000002</v>
      </c>
      <c r="O653" s="35">
        <v>34.068600000000004</v>
      </c>
      <c r="P653" s="20">
        <v>-3.1794002352941053E-2</v>
      </c>
      <c r="Q653" s="20">
        <v>-0.99058346352941129</v>
      </c>
      <c r="R653" s="26" t="s">
        <v>393</v>
      </c>
      <c r="S653" s="26">
        <v>1</v>
      </c>
      <c r="T653" s="71" t="s">
        <v>626</v>
      </c>
    </row>
    <row r="654" spans="1:20" s="14" customFormat="1" ht="12.75" customHeight="1">
      <c r="A654" s="19" t="s">
        <v>417</v>
      </c>
      <c r="B654" s="19" t="s">
        <v>72</v>
      </c>
      <c r="C654" s="19" t="s">
        <v>514</v>
      </c>
      <c r="D654" s="34">
        <v>43344</v>
      </c>
      <c r="E654" s="19">
        <v>2018</v>
      </c>
      <c r="F654" s="19">
        <v>9</v>
      </c>
      <c r="G654" s="30">
        <v>1</v>
      </c>
      <c r="H654" s="29">
        <v>0.77553240740740748</v>
      </c>
      <c r="I654" s="35">
        <v>136.74683329999999</v>
      </c>
      <c r="J654" s="35">
        <v>40.331666669999997</v>
      </c>
      <c r="K654" s="28">
        <v>750</v>
      </c>
      <c r="L654" s="28">
        <v>750</v>
      </c>
      <c r="M654" s="28">
        <v>0</v>
      </c>
      <c r="N654" s="36">
        <v>0.44309999999999999</v>
      </c>
      <c r="O654" s="35">
        <v>34.069000000000003</v>
      </c>
      <c r="P654" s="20">
        <v>-3.6595414117646996E-2</v>
      </c>
      <c r="Q654" s="20">
        <v>-1.0191307011764703</v>
      </c>
      <c r="R654" s="26" t="s">
        <v>393</v>
      </c>
      <c r="S654" s="26">
        <v>1</v>
      </c>
      <c r="T654" s="71" t="s">
        <v>626</v>
      </c>
    </row>
    <row r="655" spans="1:20" s="14" customFormat="1" ht="12.75" customHeight="1">
      <c r="A655" s="19" t="s">
        <v>417</v>
      </c>
      <c r="B655" s="19" t="s">
        <v>72</v>
      </c>
      <c r="C655" s="19" t="s">
        <v>514</v>
      </c>
      <c r="D655" s="34">
        <v>43344</v>
      </c>
      <c r="E655" s="19">
        <v>2018</v>
      </c>
      <c r="F655" s="19">
        <v>9</v>
      </c>
      <c r="G655" s="30">
        <v>1</v>
      </c>
      <c r="H655" s="29">
        <v>0.7793402777777777</v>
      </c>
      <c r="I655" s="35">
        <v>136.74683329999999</v>
      </c>
      <c r="J655" s="35">
        <v>40.331666669999997</v>
      </c>
      <c r="K655" s="28">
        <v>500</v>
      </c>
      <c r="L655" s="28">
        <v>500</v>
      </c>
      <c r="M655" s="28">
        <v>0</v>
      </c>
      <c r="N655" s="36">
        <v>0.65900000000000003</v>
      </c>
      <c r="O655" s="35">
        <v>34.065399999999997</v>
      </c>
      <c r="P655" s="20">
        <v>-2.6254258823534826E-3</v>
      </c>
      <c r="Q655" s="20">
        <v>-0.85940705882353008</v>
      </c>
      <c r="R655" s="26" t="s">
        <v>393</v>
      </c>
      <c r="S655" s="26">
        <v>1</v>
      </c>
      <c r="T655" s="71" t="s">
        <v>626</v>
      </c>
    </row>
    <row r="656" spans="1:20" s="14" customFormat="1" ht="12.75" customHeight="1">
      <c r="A656" s="19" t="s">
        <v>417</v>
      </c>
      <c r="B656" s="19" t="s">
        <v>72</v>
      </c>
      <c r="C656" s="19" t="s">
        <v>514</v>
      </c>
      <c r="D656" s="34">
        <v>43344</v>
      </c>
      <c r="E656" s="19">
        <v>2018</v>
      </c>
      <c r="F656" s="19">
        <v>9</v>
      </c>
      <c r="G656" s="30">
        <v>1</v>
      </c>
      <c r="H656" s="29">
        <v>0.78096064814814825</v>
      </c>
      <c r="I656" s="35">
        <v>136.74683329999999</v>
      </c>
      <c r="J656" s="35">
        <v>40.331666669999997</v>
      </c>
      <c r="K656" s="28">
        <v>400</v>
      </c>
      <c r="L656" s="28">
        <v>400</v>
      </c>
      <c r="M656" s="28">
        <v>0</v>
      </c>
      <c r="N656" s="36">
        <v>0.76629999999999998</v>
      </c>
      <c r="O656" s="35">
        <v>34.057699999999997</v>
      </c>
      <c r="P656" s="20">
        <v>-2.5180057647058884E-2</v>
      </c>
      <c r="Q656" s="20">
        <v>-0.82788037647058843</v>
      </c>
      <c r="R656" s="26" t="s">
        <v>393</v>
      </c>
      <c r="S656" s="26">
        <v>1</v>
      </c>
      <c r="T656" s="71" t="s">
        <v>626</v>
      </c>
    </row>
    <row r="657" spans="1:20" s="14" customFormat="1" ht="12.75" customHeight="1">
      <c r="A657" s="19" t="s">
        <v>417</v>
      </c>
      <c r="B657" s="19" t="s">
        <v>72</v>
      </c>
      <c r="C657" s="19" t="s">
        <v>514</v>
      </c>
      <c r="D657" s="34">
        <v>43344</v>
      </c>
      <c r="E657" s="19">
        <v>2018</v>
      </c>
      <c r="F657" s="19">
        <v>9</v>
      </c>
      <c r="G657" s="30">
        <v>1</v>
      </c>
      <c r="H657" s="29">
        <v>0.78390046296296301</v>
      </c>
      <c r="I657" s="35">
        <v>136.74683329999999</v>
      </c>
      <c r="J657" s="35">
        <v>40.331666669999997</v>
      </c>
      <c r="K657" s="28">
        <v>250</v>
      </c>
      <c r="L657" s="28">
        <v>250</v>
      </c>
      <c r="M657" s="28">
        <v>0</v>
      </c>
      <c r="N657" s="36">
        <v>0.97489999999999999</v>
      </c>
      <c r="O657" s="35">
        <v>34.041899999999998</v>
      </c>
      <c r="P657" s="20">
        <v>-2.3859669411764539E-2</v>
      </c>
      <c r="Q657" s="20">
        <v>-0.837384574117646</v>
      </c>
      <c r="R657" s="26" t="s">
        <v>393</v>
      </c>
      <c r="S657" s="26">
        <v>1</v>
      </c>
      <c r="T657" s="71" t="s">
        <v>626</v>
      </c>
    </row>
    <row r="658" spans="1:20" s="14" customFormat="1" ht="12.75" customHeight="1">
      <c r="A658" s="19" t="s">
        <v>417</v>
      </c>
      <c r="B658" s="19" t="s">
        <v>72</v>
      </c>
      <c r="C658" s="19" t="s">
        <v>514</v>
      </c>
      <c r="D658" s="34">
        <v>43344</v>
      </c>
      <c r="E658" s="19">
        <v>2018</v>
      </c>
      <c r="F658" s="19">
        <v>9</v>
      </c>
      <c r="G658" s="30">
        <v>1</v>
      </c>
      <c r="H658" s="29">
        <v>0.7848032407407407</v>
      </c>
      <c r="I658" s="35">
        <v>136.74683329999999</v>
      </c>
      <c r="J658" s="35">
        <v>40.331666669999997</v>
      </c>
      <c r="K658" s="28">
        <v>225</v>
      </c>
      <c r="L658" s="28">
        <v>225</v>
      </c>
      <c r="M658" s="28">
        <v>0</v>
      </c>
      <c r="N658" s="36">
        <v>1.0392999999999999</v>
      </c>
      <c r="O658" s="35">
        <v>34.037199999999999</v>
      </c>
      <c r="P658" s="20">
        <v>-6.9389056470588351E-2</v>
      </c>
      <c r="Q658" s="20">
        <v>-0.9181991247058825</v>
      </c>
      <c r="R658" s="26" t="s">
        <v>393</v>
      </c>
      <c r="S658" s="26">
        <v>1</v>
      </c>
      <c r="T658" s="71" t="s">
        <v>626</v>
      </c>
    </row>
    <row r="659" spans="1:20" s="14" customFormat="1" ht="12.75" customHeight="1">
      <c r="A659" s="19" t="s">
        <v>417</v>
      </c>
      <c r="B659" s="19" t="s">
        <v>72</v>
      </c>
      <c r="C659" s="19" t="s">
        <v>514</v>
      </c>
      <c r="D659" s="34">
        <v>43344</v>
      </c>
      <c r="E659" s="19">
        <v>2018</v>
      </c>
      <c r="F659" s="19">
        <v>9</v>
      </c>
      <c r="G659" s="30">
        <v>1</v>
      </c>
      <c r="H659" s="29">
        <v>0.78553240740740737</v>
      </c>
      <c r="I659" s="35">
        <v>136.74683329999999</v>
      </c>
      <c r="J659" s="35">
        <v>40.331666669999997</v>
      </c>
      <c r="K659" s="28">
        <v>200</v>
      </c>
      <c r="L659" s="28">
        <v>200</v>
      </c>
      <c r="M659" s="28">
        <v>0</v>
      </c>
      <c r="N659" s="36">
        <v>1.0761000000000001</v>
      </c>
      <c r="O659" s="35">
        <v>34.033099999999997</v>
      </c>
      <c r="P659" s="20">
        <v>-4.5213948235294676E-2</v>
      </c>
      <c r="Q659" s="20">
        <v>-0.8197273223529411</v>
      </c>
      <c r="R659" s="26" t="s">
        <v>393</v>
      </c>
      <c r="S659" s="26">
        <v>1</v>
      </c>
      <c r="T659" s="71" t="s">
        <v>626</v>
      </c>
    </row>
    <row r="660" spans="1:20" s="14" customFormat="1" ht="12.75" customHeight="1">
      <c r="A660" s="19" t="s">
        <v>417</v>
      </c>
      <c r="B660" s="19" t="s">
        <v>72</v>
      </c>
      <c r="C660" s="19" t="s">
        <v>514</v>
      </c>
      <c r="D660" s="34">
        <v>43344</v>
      </c>
      <c r="E660" s="19">
        <v>2018</v>
      </c>
      <c r="F660" s="19">
        <v>9</v>
      </c>
      <c r="G660" s="30">
        <v>1</v>
      </c>
      <c r="H660" s="29">
        <v>0.78608796296296291</v>
      </c>
      <c r="I660" s="35">
        <v>136.74683329999999</v>
      </c>
      <c r="J660" s="35">
        <v>40.331666669999997</v>
      </c>
      <c r="K660" s="28">
        <v>175</v>
      </c>
      <c r="L660" s="28">
        <v>175</v>
      </c>
      <c r="M660" s="28">
        <v>0</v>
      </c>
      <c r="N660" s="36">
        <v>1.194</v>
      </c>
      <c r="O660" s="35">
        <v>34.026200000000003</v>
      </c>
      <c r="P660" s="20">
        <v>-4.6546340000000352E-2</v>
      </c>
      <c r="Q660" s="20">
        <v>-0.91777184000000211</v>
      </c>
      <c r="R660" s="26" t="s">
        <v>393</v>
      </c>
      <c r="S660" s="26">
        <v>1</v>
      </c>
      <c r="T660" s="71" t="s">
        <v>626</v>
      </c>
    </row>
    <row r="661" spans="1:20" s="14" customFormat="1" ht="12.75" customHeight="1">
      <c r="A661" s="19" t="s">
        <v>417</v>
      </c>
      <c r="B661" s="19" t="s">
        <v>72</v>
      </c>
      <c r="C661" s="19" t="s">
        <v>514</v>
      </c>
      <c r="D661" s="34">
        <v>43344</v>
      </c>
      <c r="E661" s="19">
        <v>2018</v>
      </c>
      <c r="F661" s="19">
        <v>9</v>
      </c>
      <c r="G661" s="30">
        <v>1</v>
      </c>
      <c r="H661" s="29">
        <v>0.7866550925925927</v>
      </c>
      <c r="I661" s="35">
        <v>136.74683329999999</v>
      </c>
      <c r="J661" s="35">
        <v>40.331666669999997</v>
      </c>
      <c r="K661" s="28">
        <v>150</v>
      </c>
      <c r="L661" s="28">
        <v>150</v>
      </c>
      <c r="M661" s="28">
        <v>0</v>
      </c>
      <c r="N661" s="36">
        <v>1.4182999999999999</v>
      </c>
      <c r="O661" s="35">
        <v>34.023200000000003</v>
      </c>
      <c r="P661" s="20">
        <v>-7.5222771764705598E-2</v>
      </c>
      <c r="Q661" s="20">
        <v>-0.85090755764705861</v>
      </c>
      <c r="R661" s="26" t="s">
        <v>393</v>
      </c>
      <c r="S661" s="26">
        <v>1</v>
      </c>
      <c r="T661" s="71" t="s">
        <v>626</v>
      </c>
    </row>
    <row r="662" spans="1:20" s="14" customFormat="1" ht="12.75" customHeight="1">
      <c r="A662" s="19" t="s">
        <v>417</v>
      </c>
      <c r="B662" s="19" t="s">
        <v>72</v>
      </c>
      <c r="C662" s="19" t="s">
        <v>514</v>
      </c>
      <c r="D662" s="34">
        <v>43344</v>
      </c>
      <c r="E662" s="19">
        <v>2018</v>
      </c>
      <c r="F662" s="19">
        <v>9</v>
      </c>
      <c r="G662" s="30">
        <v>1</v>
      </c>
      <c r="H662" s="29">
        <v>0.78731481481481491</v>
      </c>
      <c r="I662" s="35">
        <v>136.74683329999999</v>
      </c>
      <c r="J662" s="35">
        <v>40.331666669999997</v>
      </c>
      <c r="K662" s="28">
        <v>125</v>
      </c>
      <c r="L662" s="28">
        <v>125</v>
      </c>
      <c r="M662" s="28">
        <v>0</v>
      </c>
      <c r="N662" s="36">
        <v>1.6514</v>
      </c>
      <c r="O662" s="35">
        <v>34.013599999999997</v>
      </c>
      <c r="P662" s="20">
        <v>-4.6150223529411782E-2</v>
      </c>
      <c r="Q662" s="20">
        <v>-0.87690263529411716</v>
      </c>
      <c r="R662" s="26" t="s">
        <v>393</v>
      </c>
      <c r="S662" s="26">
        <v>1</v>
      </c>
      <c r="T662" s="71" t="s">
        <v>626</v>
      </c>
    </row>
    <row r="663" spans="1:20" s="14" customFormat="1" ht="12.75" customHeight="1">
      <c r="A663" s="19" t="s">
        <v>417</v>
      </c>
      <c r="B663" s="19" t="s">
        <v>72</v>
      </c>
      <c r="C663" s="19" t="s">
        <v>514</v>
      </c>
      <c r="D663" s="34">
        <v>43344</v>
      </c>
      <c r="E663" s="19">
        <v>2018</v>
      </c>
      <c r="F663" s="19">
        <v>9</v>
      </c>
      <c r="G663" s="30">
        <v>1</v>
      </c>
      <c r="H663" s="29">
        <v>0.78803240740740732</v>
      </c>
      <c r="I663" s="35">
        <v>136.74683329999999</v>
      </c>
      <c r="J663" s="35">
        <v>40.331666669999997</v>
      </c>
      <c r="K663" s="28">
        <v>100</v>
      </c>
      <c r="L663" s="28">
        <v>100</v>
      </c>
      <c r="M663" s="28">
        <v>0</v>
      </c>
      <c r="N663" s="36">
        <v>2.6048</v>
      </c>
      <c r="O663" s="35">
        <v>34.003700000000002</v>
      </c>
      <c r="P663" s="20">
        <v>-6.666425529411768E-2</v>
      </c>
      <c r="Q663" s="20">
        <v>-0.85715515294117672</v>
      </c>
      <c r="R663" s="26" t="s">
        <v>393</v>
      </c>
      <c r="S663" s="26">
        <v>1</v>
      </c>
      <c r="T663" s="71" t="s">
        <v>626</v>
      </c>
    </row>
    <row r="664" spans="1:20" s="14" customFormat="1" ht="12.75" customHeight="1">
      <c r="A664" s="19" t="s">
        <v>417</v>
      </c>
      <c r="B664" s="19" t="s">
        <v>72</v>
      </c>
      <c r="C664" s="19" t="s">
        <v>514</v>
      </c>
      <c r="D664" s="34">
        <v>43344</v>
      </c>
      <c r="E664" s="19">
        <v>2018</v>
      </c>
      <c r="F664" s="19">
        <v>9</v>
      </c>
      <c r="G664" s="30">
        <v>1</v>
      </c>
      <c r="H664" s="29">
        <v>0.78871527777777783</v>
      </c>
      <c r="I664" s="35">
        <v>136.74683329999999</v>
      </c>
      <c r="J664" s="35">
        <v>40.331666669999997</v>
      </c>
      <c r="K664" s="28">
        <v>90</v>
      </c>
      <c r="L664" s="28">
        <v>90</v>
      </c>
      <c r="M664" s="28">
        <v>0</v>
      </c>
      <c r="N664" s="36">
        <v>2.8121999999999998</v>
      </c>
      <c r="O664" s="35">
        <v>34.026699999999998</v>
      </c>
      <c r="P664" s="20">
        <v>-5.881394705882359E-2</v>
      </c>
      <c r="Q664" s="20">
        <v>-0.80128479058823388</v>
      </c>
      <c r="R664" s="26" t="s">
        <v>393</v>
      </c>
      <c r="S664" s="26">
        <v>1</v>
      </c>
      <c r="T664" s="71" t="s">
        <v>626</v>
      </c>
    </row>
    <row r="665" spans="1:20" s="14" customFormat="1" ht="12.75" customHeight="1">
      <c r="A665" s="19" t="s">
        <v>417</v>
      </c>
      <c r="B665" s="19" t="s">
        <v>72</v>
      </c>
      <c r="C665" s="19" t="s">
        <v>514</v>
      </c>
      <c r="D665" s="34">
        <v>43344</v>
      </c>
      <c r="E665" s="19">
        <v>2018</v>
      </c>
      <c r="F665" s="19">
        <v>9</v>
      </c>
      <c r="G665" s="30">
        <v>1</v>
      </c>
      <c r="H665" s="29">
        <v>0.78923611111111114</v>
      </c>
      <c r="I665" s="35">
        <v>136.74683329999999</v>
      </c>
      <c r="J665" s="35">
        <v>40.331666669999997</v>
      </c>
      <c r="K665" s="28">
        <v>80</v>
      </c>
      <c r="L665" s="28">
        <v>80</v>
      </c>
      <c r="M665" s="28">
        <v>0</v>
      </c>
      <c r="N665" s="36">
        <v>3.5105</v>
      </c>
      <c r="O665" s="35">
        <v>34.045200000000001</v>
      </c>
      <c r="P665" s="20">
        <v>-7.3410238823529816E-2</v>
      </c>
      <c r="Q665" s="20">
        <v>-0.68671474823529444</v>
      </c>
      <c r="R665" s="26" t="s">
        <v>393</v>
      </c>
      <c r="S665" s="26">
        <v>1</v>
      </c>
      <c r="T665" s="71" t="s">
        <v>626</v>
      </c>
    </row>
    <row r="666" spans="1:20" s="14" customFormat="1" ht="12.75" customHeight="1">
      <c r="A666" s="19" t="s">
        <v>417</v>
      </c>
      <c r="B666" s="19" t="s">
        <v>72</v>
      </c>
      <c r="C666" s="19" t="s">
        <v>514</v>
      </c>
      <c r="D666" s="34">
        <v>43344</v>
      </c>
      <c r="E666" s="19">
        <v>2018</v>
      </c>
      <c r="F666" s="19">
        <v>9</v>
      </c>
      <c r="G666" s="30">
        <v>1</v>
      </c>
      <c r="H666" s="29">
        <v>0.78976851851851848</v>
      </c>
      <c r="I666" s="35">
        <v>136.74683329999999</v>
      </c>
      <c r="J666" s="35">
        <v>40.331666669999997</v>
      </c>
      <c r="K666" s="28">
        <v>70</v>
      </c>
      <c r="L666" s="28">
        <v>70</v>
      </c>
      <c r="M666" s="28">
        <v>0</v>
      </c>
      <c r="N666" s="36">
        <v>4.0021000000000004</v>
      </c>
      <c r="O666" s="35">
        <v>34.050899999999999</v>
      </c>
      <c r="P666" s="38">
        <v>-1.1995376470588237E-2</v>
      </c>
      <c r="Q666" s="38">
        <v>-0.51174314352941153</v>
      </c>
      <c r="R666" s="26" t="s">
        <v>393</v>
      </c>
      <c r="S666" s="26">
        <v>1</v>
      </c>
      <c r="T666" s="71" t="s">
        <v>626</v>
      </c>
    </row>
    <row r="667" spans="1:20" s="14" customFormat="1" ht="12.75" customHeight="1">
      <c r="A667" s="19" t="s">
        <v>417</v>
      </c>
      <c r="B667" s="19" t="s">
        <v>72</v>
      </c>
      <c r="C667" s="19" t="s">
        <v>514</v>
      </c>
      <c r="D667" s="34">
        <v>43344</v>
      </c>
      <c r="E667" s="19">
        <v>2018</v>
      </c>
      <c r="F667" s="19">
        <v>9</v>
      </c>
      <c r="G667" s="30">
        <v>1</v>
      </c>
      <c r="H667" s="29">
        <v>0.79046296296296292</v>
      </c>
      <c r="I667" s="35">
        <v>136.74683329999999</v>
      </c>
      <c r="J667" s="35">
        <v>40.331666669999997</v>
      </c>
      <c r="K667" s="28">
        <v>60</v>
      </c>
      <c r="L667" s="28">
        <v>60</v>
      </c>
      <c r="M667" s="28">
        <v>0</v>
      </c>
      <c r="N667" s="36">
        <v>4.6566000000000001</v>
      </c>
      <c r="O667" s="35">
        <v>34.086500000000001</v>
      </c>
      <c r="P667" s="38">
        <v>-1.3447091764705377E-2</v>
      </c>
      <c r="Q667" s="38">
        <v>-0.33379468823529379</v>
      </c>
      <c r="R667" s="26" t="s">
        <v>393</v>
      </c>
      <c r="S667" s="26">
        <v>1</v>
      </c>
      <c r="T667" s="71" t="s">
        <v>626</v>
      </c>
    </row>
    <row r="668" spans="1:20" s="14" customFormat="1" ht="12.75" customHeight="1">
      <c r="A668" s="19" t="s">
        <v>417</v>
      </c>
      <c r="B668" s="19" t="s">
        <v>72</v>
      </c>
      <c r="C668" s="19" t="s">
        <v>514</v>
      </c>
      <c r="D668" s="34">
        <v>43344</v>
      </c>
      <c r="E668" s="19">
        <v>2018</v>
      </c>
      <c r="F668" s="19">
        <v>9</v>
      </c>
      <c r="G668" s="30">
        <v>1</v>
      </c>
      <c r="H668" s="29">
        <v>0.790949074074074</v>
      </c>
      <c r="I668" s="35">
        <v>136.74683329999999</v>
      </c>
      <c r="J668" s="35">
        <v>40.331666669999997</v>
      </c>
      <c r="K668" s="28">
        <v>50</v>
      </c>
      <c r="L668" s="28">
        <v>50</v>
      </c>
      <c r="M668" s="28">
        <v>0</v>
      </c>
      <c r="N668" s="36">
        <v>5.9668000000000001</v>
      </c>
      <c r="O668" s="35">
        <v>34.118699999999997</v>
      </c>
      <c r="P668" s="38">
        <v>1.936647294117666E-2</v>
      </c>
      <c r="Q668" s="38">
        <v>-0.15604245294117902</v>
      </c>
      <c r="R668" s="26" t="s">
        <v>393</v>
      </c>
      <c r="S668" s="26">
        <v>1</v>
      </c>
      <c r="T668" s="71" t="s">
        <v>626</v>
      </c>
    </row>
    <row r="669" spans="1:20" s="14" customFormat="1" ht="12.75" customHeight="1">
      <c r="A669" s="19" t="s">
        <v>417</v>
      </c>
      <c r="B669" s="19" t="s">
        <v>72</v>
      </c>
      <c r="C669" s="19" t="s">
        <v>514</v>
      </c>
      <c r="D669" s="34">
        <v>43344</v>
      </c>
      <c r="E669" s="19">
        <v>2018</v>
      </c>
      <c r="F669" s="19">
        <v>9</v>
      </c>
      <c r="G669" s="30">
        <v>1</v>
      </c>
      <c r="H669" s="29">
        <v>0.79155092592592602</v>
      </c>
      <c r="I669" s="35">
        <v>136.74683329999999</v>
      </c>
      <c r="J669" s="35">
        <v>40.331666669999997</v>
      </c>
      <c r="K669" s="28">
        <v>40</v>
      </c>
      <c r="L669" s="28">
        <v>40</v>
      </c>
      <c r="M669" s="28">
        <v>0</v>
      </c>
      <c r="N669" s="36">
        <v>7.0148000000000001</v>
      </c>
      <c r="O669" s="35">
        <v>34.122599999999998</v>
      </c>
      <c r="P669" s="38">
        <v>-4.7248023529409267E-3</v>
      </c>
      <c r="Q669" s="38">
        <v>3.6230062352940351E-2</v>
      </c>
      <c r="R669" s="26" t="s">
        <v>393</v>
      </c>
      <c r="S669" s="26">
        <v>1</v>
      </c>
      <c r="T669" s="71" t="s">
        <v>626</v>
      </c>
    </row>
    <row r="670" spans="1:20" s="14" customFormat="1" ht="12.75" customHeight="1">
      <c r="A670" s="19" t="s">
        <v>417</v>
      </c>
      <c r="B670" s="19" t="s">
        <v>72</v>
      </c>
      <c r="C670" s="19" t="s">
        <v>514</v>
      </c>
      <c r="D670" s="34">
        <v>43344</v>
      </c>
      <c r="E670" s="19">
        <v>2018</v>
      </c>
      <c r="F670" s="19">
        <v>9</v>
      </c>
      <c r="G670" s="30">
        <v>1</v>
      </c>
      <c r="H670" s="29">
        <v>0.79276620370370365</v>
      </c>
      <c r="I670" s="35">
        <v>136.74683329999999</v>
      </c>
      <c r="J670" s="35">
        <v>40.331666669999997</v>
      </c>
      <c r="K670" s="28">
        <v>30</v>
      </c>
      <c r="L670" s="28">
        <v>30</v>
      </c>
      <c r="M670" s="28">
        <v>0</v>
      </c>
      <c r="N670" s="36">
        <v>12.038500000000001</v>
      </c>
      <c r="O670" s="35">
        <v>34.053400000000003</v>
      </c>
      <c r="P670" s="38">
        <v>9.6208235294126254E-4</v>
      </c>
      <c r="Q670" s="38">
        <v>-0.2969745823529415</v>
      </c>
      <c r="R670" s="26" t="s">
        <v>393</v>
      </c>
      <c r="S670" s="26">
        <v>1</v>
      </c>
      <c r="T670" s="71" t="s">
        <v>626</v>
      </c>
    </row>
    <row r="671" spans="1:20" s="14" customFormat="1" ht="12.75" customHeight="1">
      <c r="A671" s="19" t="s">
        <v>417</v>
      </c>
      <c r="B671" s="19" t="s">
        <v>72</v>
      </c>
      <c r="C671" s="19" t="s">
        <v>514</v>
      </c>
      <c r="D671" s="34">
        <v>43344</v>
      </c>
      <c r="E671" s="19">
        <v>2018</v>
      </c>
      <c r="F671" s="19">
        <v>9</v>
      </c>
      <c r="G671" s="30">
        <v>1</v>
      </c>
      <c r="H671" s="29">
        <v>0.79327546296296303</v>
      </c>
      <c r="I671" s="35">
        <v>136.74683329999999</v>
      </c>
      <c r="J671" s="35">
        <v>40.331666669999997</v>
      </c>
      <c r="K671" s="28">
        <v>20</v>
      </c>
      <c r="L671" s="28">
        <v>20</v>
      </c>
      <c r="M671" s="28">
        <v>0</v>
      </c>
      <c r="N671" s="36">
        <v>22.1038</v>
      </c>
      <c r="O671" s="35">
        <v>33.955100000000002</v>
      </c>
      <c r="P671" s="38">
        <v>-5.6986552941176161E-2</v>
      </c>
      <c r="Q671" s="38">
        <v>-0.70395794705882331</v>
      </c>
      <c r="R671" s="26" t="s">
        <v>393</v>
      </c>
      <c r="S671" s="26">
        <v>1</v>
      </c>
      <c r="T671" s="71" t="s">
        <v>626</v>
      </c>
    </row>
    <row r="672" spans="1:20" s="14" customFormat="1" ht="12.75" customHeight="1">
      <c r="A672" s="19" t="s">
        <v>417</v>
      </c>
      <c r="B672" s="19" t="s">
        <v>72</v>
      </c>
      <c r="C672" s="19" t="s">
        <v>514</v>
      </c>
      <c r="D672" s="34">
        <v>43344</v>
      </c>
      <c r="E672" s="19">
        <v>2018</v>
      </c>
      <c r="F672" s="19">
        <v>9</v>
      </c>
      <c r="G672" s="30">
        <v>1</v>
      </c>
      <c r="H672" s="29">
        <v>0.79378472222222218</v>
      </c>
      <c r="I672" s="35">
        <v>136.74683329999999</v>
      </c>
      <c r="J672" s="35">
        <v>40.331666669999997</v>
      </c>
      <c r="K672" s="28">
        <v>10</v>
      </c>
      <c r="L672" s="28">
        <v>10</v>
      </c>
      <c r="M672" s="28">
        <v>0</v>
      </c>
      <c r="N672" s="36">
        <v>22.367999999999999</v>
      </c>
      <c r="O672" s="35">
        <v>33.9358</v>
      </c>
      <c r="P672" s="38">
        <v>-7.261348823529401E-2</v>
      </c>
      <c r="Q672" s="38">
        <v>-0.8129321867647068</v>
      </c>
      <c r="R672" s="26" t="s">
        <v>393</v>
      </c>
      <c r="S672" s="26">
        <v>1</v>
      </c>
      <c r="T672" s="71" t="s">
        <v>626</v>
      </c>
    </row>
    <row r="673" spans="1:20" s="14" customFormat="1" ht="12.75" customHeight="1">
      <c r="A673" s="19"/>
      <c r="B673" s="19"/>
      <c r="C673" s="19"/>
      <c r="D673" s="34"/>
      <c r="E673" s="19"/>
      <c r="F673" s="19"/>
      <c r="G673" s="30"/>
      <c r="H673" s="29"/>
      <c r="I673" s="35"/>
      <c r="J673" s="35"/>
      <c r="K673" s="28"/>
      <c r="L673" s="28"/>
      <c r="M673" s="28"/>
      <c r="N673" s="36"/>
      <c r="O673" s="35"/>
      <c r="P673" s="38"/>
      <c r="Q673" s="38"/>
      <c r="R673" s="26"/>
      <c r="S673" s="26"/>
      <c r="T673" s="71"/>
    </row>
    <row r="674" spans="1:20" s="14" customFormat="1" ht="12.75" customHeight="1">
      <c r="A674" s="19" t="s">
        <v>417</v>
      </c>
      <c r="B674" s="19" t="s">
        <v>75</v>
      </c>
      <c r="C674" s="19" t="s">
        <v>514</v>
      </c>
      <c r="D674" s="34">
        <v>43351</v>
      </c>
      <c r="E674" s="19">
        <v>2018</v>
      </c>
      <c r="F674" s="19">
        <v>9</v>
      </c>
      <c r="G674" s="30">
        <v>8</v>
      </c>
      <c r="H674" s="29">
        <v>0.90170138888888884</v>
      </c>
      <c r="I674" s="35">
        <v>137.9208333</v>
      </c>
      <c r="J674" s="35">
        <v>39.331666669999997</v>
      </c>
      <c r="K674" s="28">
        <v>500</v>
      </c>
      <c r="L674" s="28">
        <v>500</v>
      </c>
      <c r="M674" s="28">
        <v>0</v>
      </c>
      <c r="N674" s="36">
        <v>0.75849999999999995</v>
      </c>
      <c r="O674" s="35">
        <v>34.059899999999999</v>
      </c>
      <c r="P674" s="38">
        <v>-0.10057400470588229</v>
      </c>
      <c r="Q674" s="38">
        <v>-0.87578895529411582</v>
      </c>
      <c r="R674" s="26" t="s">
        <v>393</v>
      </c>
      <c r="S674" s="26"/>
      <c r="T674" s="71" t="s">
        <v>626</v>
      </c>
    </row>
    <row r="675" spans="1:20" s="14" customFormat="1" ht="12.75" customHeight="1">
      <c r="A675" s="19" t="s">
        <v>417</v>
      </c>
      <c r="B675" s="19" t="s">
        <v>75</v>
      </c>
      <c r="C675" s="19" t="s">
        <v>514</v>
      </c>
      <c r="D675" s="34">
        <v>43351</v>
      </c>
      <c r="E675" s="19">
        <v>2018</v>
      </c>
      <c r="F675" s="19">
        <v>9</v>
      </c>
      <c r="G675" s="30">
        <v>8</v>
      </c>
      <c r="H675" s="29">
        <v>0.90746527777777775</v>
      </c>
      <c r="I675" s="35">
        <v>137.9208333</v>
      </c>
      <c r="J675" s="35">
        <v>39.331666669999997</v>
      </c>
      <c r="K675" s="28">
        <v>200</v>
      </c>
      <c r="L675" s="28">
        <v>200</v>
      </c>
      <c r="M675" s="28">
        <v>0</v>
      </c>
      <c r="N675" s="36">
        <v>4.5289000000000001</v>
      </c>
      <c r="O675" s="35">
        <v>34.063899999999997</v>
      </c>
      <c r="P675" s="38">
        <v>-2.7172399999999541E-2</v>
      </c>
      <c r="Q675" s="38">
        <v>-0.49099191666666719</v>
      </c>
      <c r="R675" s="26" t="s">
        <v>393</v>
      </c>
      <c r="S675" s="26"/>
      <c r="T675" s="71" t="s">
        <v>626</v>
      </c>
    </row>
    <row r="676" spans="1:20" s="14" customFormat="1" ht="12.75" customHeight="1">
      <c r="A676" s="19" t="s">
        <v>417</v>
      </c>
      <c r="B676" s="19" t="s">
        <v>75</v>
      </c>
      <c r="C676" s="19" t="s">
        <v>514</v>
      </c>
      <c r="D676" s="34">
        <v>43351</v>
      </c>
      <c r="E676" s="19">
        <v>2018</v>
      </c>
      <c r="F676" s="19">
        <v>9</v>
      </c>
      <c r="G676" s="30">
        <v>8</v>
      </c>
      <c r="H676" s="29">
        <v>0.90997685185185195</v>
      </c>
      <c r="I676" s="35">
        <v>137.9208333</v>
      </c>
      <c r="J676" s="35">
        <v>39.331666669999997</v>
      </c>
      <c r="K676" s="28">
        <v>100</v>
      </c>
      <c r="L676" s="28">
        <v>100</v>
      </c>
      <c r="M676" s="28">
        <v>0</v>
      </c>
      <c r="N676" s="36">
        <v>14.6328</v>
      </c>
      <c r="O676" s="35">
        <v>34.421100000000003</v>
      </c>
      <c r="P676" s="38">
        <v>0.11945084470588263</v>
      </c>
      <c r="Q676" s="38">
        <v>0.83971633529411882</v>
      </c>
      <c r="R676" s="26" t="s">
        <v>393</v>
      </c>
      <c r="S676" s="26"/>
      <c r="T676" s="71" t="s">
        <v>626</v>
      </c>
    </row>
    <row r="677" spans="1:20" s="14" customFormat="1" ht="12.75" customHeight="1">
      <c r="A677" s="19" t="s">
        <v>417</v>
      </c>
      <c r="B677" s="19" t="s">
        <v>75</v>
      </c>
      <c r="C677" s="19" t="s">
        <v>514</v>
      </c>
      <c r="D677" s="34">
        <v>43351</v>
      </c>
      <c r="E677" s="19">
        <v>2018</v>
      </c>
      <c r="F677" s="19">
        <v>9</v>
      </c>
      <c r="G677" s="30">
        <v>8</v>
      </c>
      <c r="H677" s="29">
        <v>0.91462962962962957</v>
      </c>
      <c r="I677" s="35">
        <v>137.9208333</v>
      </c>
      <c r="J677" s="35">
        <v>39.331666669999997</v>
      </c>
      <c r="K677" s="28">
        <v>10</v>
      </c>
      <c r="L677" s="28">
        <v>10</v>
      </c>
      <c r="M677" s="28">
        <v>0</v>
      </c>
      <c r="N677" s="36">
        <v>25.585699999999999</v>
      </c>
      <c r="O677" s="35">
        <v>33.136099999999999</v>
      </c>
      <c r="P677" s="38">
        <v>-0.21530550392156833</v>
      </c>
      <c r="Q677" s="38">
        <v>-1.5454916627450999</v>
      </c>
      <c r="R677" s="26" t="s">
        <v>393</v>
      </c>
      <c r="S677" s="26"/>
      <c r="T677" s="71" t="s">
        <v>626</v>
      </c>
    </row>
    <row r="678" spans="1:20" s="14" customFormat="1" ht="12.75" customHeight="1">
      <c r="A678" s="19"/>
      <c r="B678" s="19"/>
      <c r="C678" s="19"/>
      <c r="D678" s="34"/>
      <c r="E678" s="19"/>
      <c r="F678" s="19"/>
      <c r="G678" s="30"/>
      <c r="H678" s="29"/>
      <c r="I678" s="35"/>
      <c r="J678" s="35"/>
      <c r="K678" s="28"/>
      <c r="L678" s="28"/>
      <c r="M678" s="28"/>
      <c r="N678" s="36"/>
      <c r="O678" s="35"/>
      <c r="P678" s="38"/>
      <c r="Q678" s="38"/>
      <c r="R678" s="26"/>
      <c r="S678" s="26"/>
      <c r="T678" s="71"/>
    </row>
    <row r="679" spans="1:20" ht="12.75" customHeight="1">
      <c r="A679" s="1" t="s">
        <v>438</v>
      </c>
      <c r="B679" s="1">
        <v>11</v>
      </c>
      <c r="C679" s="1" t="s">
        <v>507</v>
      </c>
      <c r="D679" s="5">
        <v>43278</v>
      </c>
      <c r="E679" s="1">
        <v>2018</v>
      </c>
      <c r="F679" s="1">
        <v>6</v>
      </c>
      <c r="G679" s="4">
        <v>27</v>
      </c>
      <c r="H679" s="8">
        <v>0.36736111111111108</v>
      </c>
      <c r="I679" s="11">
        <v>124.25164999999998</v>
      </c>
      <c r="J679" s="11">
        <v>30.502083333333331</v>
      </c>
      <c r="K679" s="9">
        <v>0</v>
      </c>
      <c r="L679" s="9">
        <v>0</v>
      </c>
      <c r="M679" s="27">
        <v>0</v>
      </c>
      <c r="N679" s="32">
        <v>25.099999999999998</v>
      </c>
      <c r="O679" s="11">
        <v>33.543683640623634</v>
      </c>
      <c r="P679" s="33">
        <v>-3.9494978823529259E-2</v>
      </c>
      <c r="Q679" s="33">
        <v>-0.666729468235296</v>
      </c>
      <c r="R679" s="1" t="s">
        <v>280</v>
      </c>
      <c r="S679" s="26">
        <v>1</v>
      </c>
      <c r="T679" s="71" t="s">
        <v>626</v>
      </c>
    </row>
    <row r="680" spans="1:20" ht="12.75" customHeight="1">
      <c r="A680" s="1" t="s">
        <v>438</v>
      </c>
      <c r="B680" s="1">
        <v>11</v>
      </c>
      <c r="C680" s="1" t="s">
        <v>507</v>
      </c>
      <c r="D680" s="5">
        <v>43278</v>
      </c>
      <c r="E680" s="1">
        <v>2018</v>
      </c>
      <c r="F680" s="1">
        <v>6</v>
      </c>
      <c r="G680" s="4">
        <v>27</v>
      </c>
      <c r="H680" s="8">
        <v>0.36736111111111108</v>
      </c>
      <c r="I680" s="11">
        <v>124.25164999999998</v>
      </c>
      <c r="J680" s="11">
        <v>30.502083333333331</v>
      </c>
      <c r="K680" s="9">
        <v>9.9819999999999993</v>
      </c>
      <c r="L680" s="9">
        <v>10</v>
      </c>
      <c r="M680" s="9">
        <v>0</v>
      </c>
      <c r="N680" s="12">
        <v>25.1569</v>
      </c>
      <c r="O680" s="11">
        <v>33.544499999999999</v>
      </c>
      <c r="P680" s="33">
        <v>-0.11150616000000002</v>
      </c>
      <c r="Q680" s="33">
        <v>-0.82709383999999986</v>
      </c>
      <c r="R680" s="1" t="s">
        <v>280</v>
      </c>
      <c r="S680" s="26">
        <v>1</v>
      </c>
      <c r="T680" s="71" t="s">
        <v>626</v>
      </c>
    </row>
    <row r="681" spans="1:20" ht="12.75" customHeight="1">
      <c r="A681" s="1" t="s">
        <v>438</v>
      </c>
      <c r="B681" s="1">
        <v>11</v>
      </c>
      <c r="C681" s="1" t="s">
        <v>507</v>
      </c>
      <c r="D681" s="5">
        <v>43278</v>
      </c>
      <c r="E681" s="1">
        <v>2018</v>
      </c>
      <c r="F681" s="1">
        <v>6</v>
      </c>
      <c r="G681" s="4">
        <v>27</v>
      </c>
      <c r="H681" s="8">
        <v>0.36736111111111108</v>
      </c>
      <c r="I681" s="11">
        <v>124.25164999999998</v>
      </c>
      <c r="J681" s="11">
        <v>30.502083333333331</v>
      </c>
      <c r="K681" s="9">
        <v>20.36</v>
      </c>
      <c r="L681" s="9">
        <v>20</v>
      </c>
      <c r="M681" s="9">
        <v>0</v>
      </c>
      <c r="N681" s="12">
        <v>25.136500000000002</v>
      </c>
      <c r="O681" s="11">
        <v>33.543100000000003</v>
      </c>
      <c r="P681" s="33">
        <v>-0.10680769411764701</v>
      </c>
      <c r="Q681" s="33">
        <v>-0.93537850117647103</v>
      </c>
      <c r="R681" s="1" t="s">
        <v>280</v>
      </c>
      <c r="S681" s="26">
        <v>1</v>
      </c>
      <c r="T681" s="71" t="s">
        <v>626</v>
      </c>
    </row>
    <row r="682" spans="1:20" ht="12.75" customHeight="1">
      <c r="A682" s="1" t="s">
        <v>438</v>
      </c>
      <c r="B682" s="1">
        <v>11</v>
      </c>
      <c r="C682" s="1" t="s">
        <v>507</v>
      </c>
      <c r="D682" s="5">
        <v>43278</v>
      </c>
      <c r="E682" s="1">
        <v>2018</v>
      </c>
      <c r="F682" s="1">
        <v>6</v>
      </c>
      <c r="G682" s="4">
        <v>27</v>
      </c>
      <c r="H682" s="8">
        <v>0.36736111111111108</v>
      </c>
      <c r="I682" s="11">
        <v>124.25164999999998</v>
      </c>
      <c r="J682" s="11">
        <v>30.502083333333331</v>
      </c>
      <c r="K682" s="9">
        <v>30.486000000000001</v>
      </c>
      <c r="L682" s="9">
        <v>30</v>
      </c>
      <c r="M682" s="9">
        <v>0</v>
      </c>
      <c r="N682" s="12">
        <v>21.435300000000002</v>
      </c>
      <c r="O682" s="11">
        <v>34.022500000000001</v>
      </c>
      <c r="P682" s="33">
        <v>2.8500931764705584E-2</v>
      </c>
      <c r="Q682" s="33">
        <v>0.13831631764705854</v>
      </c>
      <c r="R682" s="1" t="s">
        <v>280</v>
      </c>
      <c r="S682" s="26">
        <v>1</v>
      </c>
      <c r="T682" s="71" t="s">
        <v>626</v>
      </c>
    </row>
    <row r="683" spans="1:20" ht="12.75" customHeight="1">
      <c r="A683" s="1" t="s">
        <v>438</v>
      </c>
      <c r="B683" s="1">
        <v>11</v>
      </c>
      <c r="C683" s="1" t="s">
        <v>507</v>
      </c>
      <c r="D683" s="5">
        <v>43278</v>
      </c>
      <c r="E683" s="1">
        <v>2018</v>
      </c>
      <c r="F683" s="1">
        <v>6</v>
      </c>
      <c r="G683" s="4">
        <v>27</v>
      </c>
      <c r="H683" s="8">
        <v>0.36736111111111108</v>
      </c>
      <c r="I683" s="11">
        <v>124.25164999999998</v>
      </c>
      <c r="J683" s="11">
        <v>30.502083333333331</v>
      </c>
      <c r="K683" s="9">
        <v>56.079000000000001</v>
      </c>
      <c r="L683" s="9">
        <v>56</v>
      </c>
      <c r="M683" s="9">
        <v>0</v>
      </c>
      <c r="N683" s="12">
        <v>21.344000000000001</v>
      </c>
      <c r="O683" s="11">
        <v>34.038899999999998</v>
      </c>
      <c r="P683" s="33">
        <v>0.10230999529411777</v>
      </c>
      <c r="Q683" s="33">
        <v>0.3881995529411757</v>
      </c>
      <c r="R683" s="1" t="s">
        <v>280</v>
      </c>
      <c r="S683" s="26">
        <v>1</v>
      </c>
      <c r="T683" s="71" t="s">
        <v>626</v>
      </c>
    </row>
    <row r="684" spans="1:20" ht="12.75" customHeight="1">
      <c r="P684" s="33"/>
      <c r="Q684" s="33"/>
      <c r="S684" s="26"/>
      <c r="T684" s="71"/>
    </row>
    <row r="685" spans="1:20" ht="12.75" customHeight="1">
      <c r="A685" s="1" t="s">
        <v>438</v>
      </c>
      <c r="B685" s="1">
        <v>24</v>
      </c>
      <c r="C685" s="1" t="s">
        <v>507</v>
      </c>
      <c r="D685" s="5">
        <v>43281</v>
      </c>
      <c r="E685" s="1">
        <v>2018</v>
      </c>
      <c r="F685" s="1">
        <v>6</v>
      </c>
      <c r="G685" s="4">
        <v>30</v>
      </c>
      <c r="H685" s="8">
        <v>0.34861111111111115</v>
      </c>
      <c r="I685" s="11">
        <v>127.27674999999999</v>
      </c>
      <c r="J685" s="11">
        <v>31.74798333333333</v>
      </c>
      <c r="K685" s="9">
        <v>0</v>
      </c>
      <c r="L685" s="9">
        <v>0</v>
      </c>
      <c r="M685" s="27">
        <v>0</v>
      </c>
      <c r="N685" s="32">
        <v>24.3</v>
      </c>
      <c r="O685" s="11">
        <v>32.176263803678658</v>
      </c>
      <c r="P685" s="33">
        <v>-0.35278944941176449</v>
      </c>
      <c r="Q685" s="33">
        <v>-2.7282139588235284</v>
      </c>
      <c r="R685" s="1" t="s">
        <v>280</v>
      </c>
      <c r="S685" s="26">
        <v>1</v>
      </c>
      <c r="T685" s="71" t="s">
        <v>626</v>
      </c>
    </row>
    <row r="686" spans="1:20" ht="12.75" customHeight="1">
      <c r="A686" s="1" t="s">
        <v>438</v>
      </c>
      <c r="B686" s="1">
        <v>24</v>
      </c>
      <c r="C686" s="1" t="s">
        <v>507</v>
      </c>
      <c r="D686" s="5">
        <v>43281</v>
      </c>
      <c r="E686" s="1">
        <v>2018</v>
      </c>
      <c r="F686" s="1">
        <v>6</v>
      </c>
      <c r="G686" s="4">
        <v>30</v>
      </c>
      <c r="H686" s="8">
        <v>0.34861111111111115</v>
      </c>
      <c r="I686" s="11">
        <v>127.27674999999999</v>
      </c>
      <c r="J686" s="11">
        <v>31.74798333333333</v>
      </c>
      <c r="K686" s="9">
        <v>10.228</v>
      </c>
      <c r="L686" s="9">
        <v>10</v>
      </c>
      <c r="M686" s="9">
        <v>0</v>
      </c>
      <c r="N686" s="12">
        <v>24.103899999999999</v>
      </c>
      <c r="O686" s="11">
        <v>32.524000000000001</v>
      </c>
      <c r="P686" s="33">
        <v>-0.16424741647058827</v>
      </c>
      <c r="Q686" s="33">
        <v>-1.9846094129411771</v>
      </c>
      <c r="R686" s="1" t="s">
        <v>280</v>
      </c>
      <c r="S686" s="26">
        <v>1</v>
      </c>
      <c r="T686" s="71" t="s">
        <v>626</v>
      </c>
    </row>
    <row r="687" spans="1:20" ht="12.75" customHeight="1">
      <c r="A687" s="1" t="s">
        <v>438</v>
      </c>
      <c r="B687" s="1">
        <v>24</v>
      </c>
      <c r="C687" s="1" t="s">
        <v>507</v>
      </c>
      <c r="D687" s="5">
        <v>43281</v>
      </c>
      <c r="E687" s="1">
        <v>2018</v>
      </c>
      <c r="F687" s="1">
        <v>6</v>
      </c>
      <c r="G687" s="4">
        <v>30</v>
      </c>
      <c r="H687" s="8">
        <v>0.34861111111111115</v>
      </c>
      <c r="I687" s="11">
        <v>127.27674999999999</v>
      </c>
      <c r="J687" s="11">
        <v>31.74798333333333</v>
      </c>
      <c r="K687" s="9">
        <v>20.216999999999999</v>
      </c>
      <c r="L687" s="9">
        <v>20</v>
      </c>
      <c r="M687" s="9">
        <v>0</v>
      </c>
      <c r="N687" s="12">
        <v>20.498000000000001</v>
      </c>
      <c r="O687" s="11">
        <v>32.553699999999999</v>
      </c>
      <c r="P687" s="33">
        <v>-0.10836134117647034</v>
      </c>
      <c r="Q687" s="33">
        <v>-1.2919989823529399</v>
      </c>
      <c r="R687" s="1" t="s">
        <v>280</v>
      </c>
      <c r="S687" s="26">
        <v>1</v>
      </c>
      <c r="T687" s="71" t="s">
        <v>626</v>
      </c>
    </row>
    <row r="688" spans="1:20" ht="12.75" customHeight="1">
      <c r="A688" s="1" t="s">
        <v>438</v>
      </c>
      <c r="B688" s="1">
        <v>24</v>
      </c>
      <c r="C688" s="1" t="s">
        <v>507</v>
      </c>
      <c r="D688" s="5">
        <v>43281</v>
      </c>
      <c r="E688" s="1">
        <v>2018</v>
      </c>
      <c r="F688" s="1">
        <v>6</v>
      </c>
      <c r="G688" s="4">
        <v>30</v>
      </c>
      <c r="H688" s="8">
        <v>0.34861111111111115</v>
      </c>
      <c r="I688" s="11">
        <v>127.27674999999999</v>
      </c>
      <c r="J688" s="11">
        <v>31.74798333333333</v>
      </c>
      <c r="K688" s="9">
        <v>30.145</v>
      </c>
      <c r="L688" s="9">
        <v>30</v>
      </c>
      <c r="M688" s="9">
        <v>0</v>
      </c>
      <c r="N688" s="12">
        <v>16.067900000000002</v>
      </c>
      <c r="O688" s="11">
        <v>33.165700000000001</v>
      </c>
      <c r="P688" s="33">
        <v>-4.8396865882352369E-2</v>
      </c>
      <c r="Q688" s="33">
        <v>-0.63824011176470563</v>
      </c>
      <c r="R688" s="1" t="s">
        <v>280</v>
      </c>
      <c r="S688" s="26">
        <v>1</v>
      </c>
      <c r="T688" s="71" t="s">
        <v>626</v>
      </c>
    </row>
    <row r="689" spans="1:20" ht="12.75" customHeight="1">
      <c r="A689" s="1" t="s">
        <v>438</v>
      </c>
      <c r="B689" s="1">
        <v>24</v>
      </c>
      <c r="C689" s="1" t="s">
        <v>507</v>
      </c>
      <c r="D689" s="5">
        <v>43281</v>
      </c>
      <c r="E689" s="1">
        <v>2018</v>
      </c>
      <c r="F689" s="1">
        <v>6</v>
      </c>
      <c r="G689" s="4">
        <v>30</v>
      </c>
      <c r="H689" s="8">
        <v>0.34861111111111115</v>
      </c>
      <c r="I689" s="11">
        <v>127.27674999999999</v>
      </c>
      <c r="J689" s="11">
        <v>31.74798333333333</v>
      </c>
      <c r="K689" s="9">
        <v>50.256</v>
      </c>
      <c r="L689" s="9">
        <v>50</v>
      </c>
      <c r="M689" s="9">
        <v>0</v>
      </c>
      <c r="N689" s="12">
        <v>12.0692</v>
      </c>
      <c r="O689" s="11">
        <v>33.730800000000002</v>
      </c>
      <c r="P689" s="33">
        <v>4.7661449411764423E-2</v>
      </c>
      <c r="Q689" s="33">
        <v>2.140535882352701E-2</v>
      </c>
      <c r="R689" s="1" t="s">
        <v>280</v>
      </c>
      <c r="S689" s="26">
        <v>1</v>
      </c>
      <c r="T689" s="71" t="s">
        <v>626</v>
      </c>
    </row>
    <row r="690" spans="1:20" ht="12.75" customHeight="1">
      <c r="A690" s="1" t="s">
        <v>438</v>
      </c>
      <c r="B690" s="1">
        <v>24</v>
      </c>
      <c r="C690" s="1" t="s">
        <v>507</v>
      </c>
      <c r="D690" s="5">
        <v>43281</v>
      </c>
      <c r="E690" s="1">
        <v>2018</v>
      </c>
      <c r="F690" s="1">
        <v>6</v>
      </c>
      <c r="G690" s="4">
        <v>30</v>
      </c>
      <c r="H690" s="8">
        <v>0.34861111111111115</v>
      </c>
      <c r="I690" s="11">
        <v>127.27674999999999</v>
      </c>
      <c r="J690" s="11">
        <v>31.74798333333333</v>
      </c>
      <c r="K690" s="9">
        <v>75.141000000000005</v>
      </c>
      <c r="L690" s="9">
        <v>75</v>
      </c>
      <c r="M690" s="9">
        <v>0</v>
      </c>
      <c r="N690" s="12">
        <v>12.769</v>
      </c>
      <c r="O690" s="11">
        <v>34.016500000000001</v>
      </c>
      <c r="P690" s="33">
        <v>6.174392470588197E-2</v>
      </c>
      <c r="Q690" s="33">
        <v>0.3296208094117663</v>
      </c>
      <c r="R690" s="1" t="s">
        <v>280</v>
      </c>
      <c r="S690" s="26">
        <v>1</v>
      </c>
      <c r="T690" s="71" t="s">
        <v>626</v>
      </c>
    </row>
    <row r="691" spans="1:20" ht="12.75" customHeight="1">
      <c r="A691" s="1" t="s">
        <v>438</v>
      </c>
      <c r="B691" s="1">
        <v>24</v>
      </c>
      <c r="C691" s="1" t="s">
        <v>507</v>
      </c>
      <c r="D691" s="5">
        <v>43281</v>
      </c>
      <c r="E691" s="1">
        <v>2018</v>
      </c>
      <c r="F691" s="1">
        <v>6</v>
      </c>
      <c r="G691" s="4">
        <v>30</v>
      </c>
      <c r="H691" s="8">
        <v>0.34861111111111115</v>
      </c>
      <c r="I691" s="11">
        <v>127.27674999999999</v>
      </c>
      <c r="J691" s="11">
        <v>31.74798333333333</v>
      </c>
      <c r="K691" s="9">
        <v>100.03700000000001</v>
      </c>
      <c r="L691" s="9">
        <v>100</v>
      </c>
      <c r="M691" s="9">
        <v>0</v>
      </c>
      <c r="N691" s="12">
        <v>12.7903</v>
      </c>
      <c r="O691" s="11">
        <v>34.143799999999999</v>
      </c>
      <c r="P691" s="33">
        <v>0.18594320000000009</v>
      </c>
      <c r="Q691" s="33">
        <v>0.7632208399999989</v>
      </c>
      <c r="R691" s="1" t="s">
        <v>280</v>
      </c>
      <c r="S691" s="26">
        <v>1</v>
      </c>
      <c r="T691" s="71" t="s">
        <v>626</v>
      </c>
    </row>
    <row r="692" spans="1:20" ht="12.75" customHeight="1">
      <c r="A692" s="1" t="s">
        <v>438</v>
      </c>
      <c r="B692" s="1">
        <v>24</v>
      </c>
      <c r="C692" s="1" t="s">
        <v>507</v>
      </c>
      <c r="D692" s="5">
        <v>43281</v>
      </c>
      <c r="E692" s="1">
        <v>2018</v>
      </c>
      <c r="F692" s="1">
        <v>6</v>
      </c>
      <c r="G692" s="4">
        <v>30</v>
      </c>
      <c r="H692" s="8">
        <v>0.34861111111111115</v>
      </c>
      <c r="I692" s="11">
        <v>127.27674999999999</v>
      </c>
      <c r="J692" s="11">
        <v>31.74798333333333</v>
      </c>
      <c r="K692" s="9">
        <v>123.065</v>
      </c>
      <c r="L692" s="9">
        <v>123</v>
      </c>
      <c r="M692" s="9">
        <v>0</v>
      </c>
      <c r="N692" s="12">
        <v>12.8096</v>
      </c>
      <c r="O692" s="11">
        <v>34.152500000000003</v>
      </c>
      <c r="P692" s="33">
        <v>0.13375167529411724</v>
      </c>
      <c r="Q692" s="33">
        <v>0.66388735058823656</v>
      </c>
      <c r="R692" s="1" t="s">
        <v>280</v>
      </c>
      <c r="S692" s="26">
        <v>1</v>
      </c>
      <c r="T692" s="71" t="s">
        <v>626</v>
      </c>
    </row>
    <row r="693" spans="1:20" ht="12.75" customHeight="1">
      <c r="M693" s="27"/>
      <c r="N693" s="32"/>
      <c r="P693" s="33"/>
      <c r="Q693" s="33"/>
      <c r="T693" s="71"/>
    </row>
    <row r="694" spans="1:20" ht="12.75" customHeight="1">
      <c r="A694" s="1" t="s">
        <v>579</v>
      </c>
      <c r="B694" s="1">
        <v>30</v>
      </c>
      <c r="C694" s="1" t="s">
        <v>507</v>
      </c>
      <c r="D694" s="5">
        <v>43281</v>
      </c>
      <c r="E694" s="1">
        <v>2018</v>
      </c>
      <c r="F694" s="1">
        <v>6</v>
      </c>
      <c r="G694" s="4">
        <v>30</v>
      </c>
      <c r="H694" s="8">
        <v>0.84791666666666676</v>
      </c>
      <c r="I694" s="11">
        <v>128.74896666666666</v>
      </c>
      <c r="J694" s="11">
        <v>31.749183333333335</v>
      </c>
      <c r="K694" s="9">
        <v>0</v>
      </c>
      <c r="L694" s="9">
        <v>0</v>
      </c>
      <c r="M694" s="27">
        <v>0</v>
      </c>
      <c r="N694" s="32">
        <v>25.9</v>
      </c>
      <c r="O694" s="11">
        <v>33.903213609154115</v>
      </c>
      <c r="P694" s="33">
        <v>-2.3868482352941367E-2</v>
      </c>
      <c r="Q694" s="33">
        <v>-3.6861911764708211E-2</v>
      </c>
      <c r="R694" s="1" t="s">
        <v>280</v>
      </c>
      <c r="S694" s="26">
        <v>1</v>
      </c>
      <c r="T694" s="71" t="s">
        <v>626</v>
      </c>
    </row>
    <row r="695" spans="1:20" ht="12.75" customHeight="1">
      <c r="A695" s="1" t="s">
        <v>438</v>
      </c>
      <c r="B695" s="1">
        <v>30</v>
      </c>
      <c r="C695" s="1" t="s">
        <v>507</v>
      </c>
      <c r="D695" s="5">
        <v>43281</v>
      </c>
      <c r="E695" s="1">
        <v>2018</v>
      </c>
      <c r="F695" s="1">
        <v>6</v>
      </c>
      <c r="G695" s="4">
        <v>30</v>
      </c>
      <c r="H695" s="8">
        <v>0.84791666666666676</v>
      </c>
      <c r="I695" s="11">
        <v>128.74896666666666</v>
      </c>
      <c r="J695" s="11">
        <v>31.749183333333335</v>
      </c>
      <c r="K695" s="9">
        <v>10.826000000000001</v>
      </c>
      <c r="L695" s="9">
        <v>10</v>
      </c>
      <c r="M695" s="9">
        <v>0</v>
      </c>
      <c r="N695" s="12">
        <v>25.598800000000001</v>
      </c>
      <c r="O695" s="11">
        <v>33.8613</v>
      </c>
      <c r="P695" s="33">
        <v>-2.989928705882372E-2</v>
      </c>
      <c r="Q695" s="33">
        <v>-0.12821963529411917</v>
      </c>
      <c r="R695" s="1" t="s">
        <v>280</v>
      </c>
      <c r="S695" s="26">
        <v>1</v>
      </c>
      <c r="T695" s="71" t="s">
        <v>626</v>
      </c>
    </row>
    <row r="696" spans="1:20" ht="12.75" customHeight="1">
      <c r="A696" s="1" t="s">
        <v>438</v>
      </c>
      <c r="B696" s="1">
        <v>30</v>
      </c>
      <c r="C696" s="1" t="s">
        <v>507</v>
      </c>
      <c r="D696" s="5">
        <v>43281</v>
      </c>
      <c r="E696" s="1">
        <v>2018</v>
      </c>
      <c r="F696" s="1">
        <v>6</v>
      </c>
      <c r="G696" s="4">
        <v>30</v>
      </c>
      <c r="H696" s="8">
        <v>0.84791666666666676</v>
      </c>
      <c r="I696" s="11">
        <v>128.74896666666666</v>
      </c>
      <c r="J696" s="11">
        <v>31.749183333333335</v>
      </c>
      <c r="K696" s="9">
        <v>20.524000000000001</v>
      </c>
      <c r="L696" s="9">
        <v>20</v>
      </c>
      <c r="M696" s="9">
        <v>0</v>
      </c>
      <c r="N696" s="12">
        <v>24.815100000000001</v>
      </c>
      <c r="O696" s="11">
        <v>33.933300000000003</v>
      </c>
      <c r="P696" s="33">
        <v>7.0003864705882268E-2</v>
      </c>
      <c r="Q696" s="33">
        <v>0.21977076352941083</v>
      </c>
      <c r="R696" s="1" t="s">
        <v>280</v>
      </c>
      <c r="S696" s="26">
        <v>1</v>
      </c>
      <c r="T696" s="71" t="s">
        <v>626</v>
      </c>
    </row>
    <row r="697" spans="1:20" ht="12.75" customHeight="1">
      <c r="A697" s="1" t="s">
        <v>438</v>
      </c>
      <c r="B697" s="1">
        <v>30</v>
      </c>
      <c r="C697" s="1" t="s">
        <v>507</v>
      </c>
      <c r="D697" s="5">
        <v>43281</v>
      </c>
      <c r="E697" s="1">
        <v>2018</v>
      </c>
      <c r="F697" s="1">
        <v>6</v>
      </c>
      <c r="G697" s="4">
        <v>30</v>
      </c>
      <c r="H697" s="8">
        <v>0.84791666666666676</v>
      </c>
      <c r="I697" s="11">
        <v>128.74896666666666</v>
      </c>
      <c r="J697" s="11">
        <v>31.749183333333335</v>
      </c>
      <c r="K697" s="9">
        <v>30.338000000000001</v>
      </c>
      <c r="L697" s="9">
        <v>30</v>
      </c>
      <c r="M697" s="9">
        <v>0</v>
      </c>
      <c r="N697" s="12">
        <v>23.250399999999999</v>
      </c>
      <c r="O697" s="11">
        <v>34.102600000000002</v>
      </c>
      <c r="P697" s="33">
        <v>0.18557035647058795</v>
      </c>
      <c r="Q697" s="33">
        <v>0.71610348235293841</v>
      </c>
      <c r="R697" s="1" t="s">
        <v>280</v>
      </c>
      <c r="S697" s="26">
        <v>1</v>
      </c>
      <c r="T697" s="71" t="s">
        <v>626</v>
      </c>
    </row>
    <row r="698" spans="1:20" ht="12.75" customHeight="1">
      <c r="A698" s="1" t="s">
        <v>438</v>
      </c>
      <c r="B698" s="1">
        <v>30</v>
      </c>
      <c r="C698" s="1" t="s">
        <v>507</v>
      </c>
      <c r="D698" s="5">
        <v>43281</v>
      </c>
      <c r="E698" s="1">
        <v>2018</v>
      </c>
      <c r="F698" s="1">
        <v>6</v>
      </c>
      <c r="G698" s="4">
        <v>30</v>
      </c>
      <c r="H698" s="8">
        <v>0.84791666666666676</v>
      </c>
      <c r="I698" s="11">
        <v>128.74896666666666</v>
      </c>
      <c r="J698" s="11">
        <v>31.749183333333335</v>
      </c>
      <c r="K698" s="9">
        <v>49.128999999999998</v>
      </c>
      <c r="L698" s="9">
        <v>50</v>
      </c>
      <c r="M698" s="9">
        <v>0</v>
      </c>
      <c r="N698" s="12">
        <v>21.387</v>
      </c>
      <c r="O698" s="11">
        <v>34.28</v>
      </c>
      <c r="P698" s="33">
        <v>0.20939442823529397</v>
      </c>
      <c r="Q698" s="33">
        <v>0.99698664117646807</v>
      </c>
      <c r="R698" s="1" t="s">
        <v>280</v>
      </c>
      <c r="S698" s="26">
        <v>1</v>
      </c>
      <c r="T698" s="71" t="s">
        <v>626</v>
      </c>
    </row>
    <row r="699" spans="1:20" ht="12.75" customHeight="1">
      <c r="A699" s="1" t="s">
        <v>438</v>
      </c>
      <c r="B699" s="1">
        <v>30</v>
      </c>
      <c r="C699" s="1" t="s">
        <v>507</v>
      </c>
      <c r="D699" s="5">
        <v>43281</v>
      </c>
      <c r="E699" s="1">
        <v>2018</v>
      </c>
      <c r="F699" s="1">
        <v>6</v>
      </c>
      <c r="G699" s="4">
        <v>30</v>
      </c>
      <c r="H699" s="8">
        <v>0.84791666666666676</v>
      </c>
      <c r="I699" s="11">
        <v>128.74896666666666</v>
      </c>
      <c r="J699" s="11">
        <v>31.749183333333335</v>
      </c>
      <c r="K699" s="9">
        <v>75.275999999999996</v>
      </c>
      <c r="L699" s="9">
        <v>75</v>
      </c>
      <c r="M699" s="9">
        <v>0</v>
      </c>
      <c r="N699" s="12">
        <v>19.803799999999999</v>
      </c>
      <c r="O699" s="11">
        <v>34.377200000000002</v>
      </c>
      <c r="P699" s="33">
        <v>0.14717183999999994</v>
      </c>
      <c r="Q699" s="33">
        <v>0.99236970000000113</v>
      </c>
      <c r="R699" s="1" t="s">
        <v>280</v>
      </c>
      <c r="S699" s="26">
        <v>1</v>
      </c>
      <c r="T699" s="71" t="s">
        <v>626</v>
      </c>
    </row>
    <row r="700" spans="1:20" ht="12.75" customHeight="1">
      <c r="A700" s="1" t="s">
        <v>438</v>
      </c>
      <c r="B700" s="1">
        <v>30</v>
      </c>
      <c r="C700" s="1" t="s">
        <v>507</v>
      </c>
      <c r="D700" s="5">
        <v>43281</v>
      </c>
      <c r="E700" s="1">
        <v>2018</v>
      </c>
      <c r="F700" s="1">
        <v>6</v>
      </c>
      <c r="G700" s="4">
        <v>30</v>
      </c>
      <c r="H700" s="8">
        <v>0.84791666666666676</v>
      </c>
      <c r="I700" s="11">
        <v>128.74896666666666</v>
      </c>
      <c r="J700" s="11">
        <v>31.749183333333335</v>
      </c>
      <c r="K700" s="9">
        <v>100.316</v>
      </c>
      <c r="L700" s="9">
        <v>100</v>
      </c>
      <c r="M700" s="9">
        <v>0</v>
      </c>
      <c r="N700" s="12">
        <v>18.539899999999999</v>
      </c>
      <c r="O700" s="11">
        <v>34.415799999999997</v>
      </c>
      <c r="P700" s="33">
        <v>0.20639099176470577</v>
      </c>
      <c r="Q700" s="33">
        <v>1.0122802588235302</v>
      </c>
      <c r="R700" s="1" t="s">
        <v>280</v>
      </c>
      <c r="S700" s="26">
        <v>1</v>
      </c>
      <c r="T700" s="71" t="s">
        <v>626</v>
      </c>
    </row>
    <row r="701" spans="1:20" ht="12.75" customHeight="1">
      <c r="A701" s="1" t="s">
        <v>438</v>
      </c>
      <c r="B701" s="1">
        <v>30</v>
      </c>
      <c r="C701" s="1" t="s">
        <v>507</v>
      </c>
      <c r="D701" s="5">
        <v>43281</v>
      </c>
      <c r="E701" s="1">
        <v>2018</v>
      </c>
      <c r="F701" s="1">
        <v>6</v>
      </c>
      <c r="G701" s="4">
        <v>30</v>
      </c>
      <c r="H701" s="8">
        <v>0.84791666666666676</v>
      </c>
      <c r="I701" s="11">
        <v>128.74896666666666</v>
      </c>
      <c r="J701" s="11">
        <v>31.749183333333335</v>
      </c>
      <c r="K701" s="9">
        <v>124.11</v>
      </c>
      <c r="L701" s="9">
        <v>125</v>
      </c>
      <c r="M701" s="9">
        <v>0</v>
      </c>
      <c r="N701" s="12">
        <v>16.997900000000001</v>
      </c>
      <c r="O701" s="11">
        <v>34.543599999999998</v>
      </c>
      <c r="P701" s="33">
        <v>0.15047442352941198</v>
      </c>
      <c r="Q701" s="33">
        <v>1.0496543976470569</v>
      </c>
      <c r="R701" s="1" t="s">
        <v>280</v>
      </c>
      <c r="S701" s="26">
        <v>1</v>
      </c>
      <c r="T701" s="71" t="s">
        <v>626</v>
      </c>
    </row>
    <row r="702" spans="1:20" ht="12.75" customHeight="1">
      <c r="A702" s="1" t="s">
        <v>438</v>
      </c>
      <c r="B702" s="1">
        <v>30</v>
      </c>
      <c r="C702" s="1" t="s">
        <v>507</v>
      </c>
      <c r="D702" s="5">
        <v>43281</v>
      </c>
      <c r="E702" s="1">
        <v>2018</v>
      </c>
      <c r="F702" s="1">
        <v>6</v>
      </c>
      <c r="G702" s="4">
        <v>30</v>
      </c>
      <c r="H702" s="8">
        <v>0.84791666666666676</v>
      </c>
      <c r="I702" s="11">
        <v>128.74896666666666</v>
      </c>
      <c r="J702" s="11">
        <v>31.749183333333335</v>
      </c>
      <c r="K702" s="9">
        <v>149.102</v>
      </c>
      <c r="L702" s="9">
        <v>150</v>
      </c>
      <c r="M702" s="9">
        <v>0</v>
      </c>
      <c r="N702" s="12">
        <v>16.531300000000002</v>
      </c>
      <c r="O702" s="11">
        <v>34.5886</v>
      </c>
      <c r="P702" s="33">
        <v>0.23865101058823512</v>
      </c>
      <c r="Q702" s="33">
        <v>1.0986863129411741</v>
      </c>
      <c r="R702" s="1" t="s">
        <v>280</v>
      </c>
      <c r="S702" s="26">
        <v>1</v>
      </c>
      <c r="T702" s="71" t="s">
        <v>626</v>
      </c>
    </row>
    <row r="703" spans="1:20" ht="12.75" customHeight="1">
      <c r="A703" s="1" t="s">
        <v>438</v>
      </c>
      <c r="B703" s="1">
        <v>30</v>
      </c>
      <c r="C703" s="1" t="s">
        <v>507</v>
      </c>
      <c r="D703" s="5">
        <v>43281</v>
      </c>
      <c r="E703" s="1">
        <v>2018</v>
      </c>
      <c r="F703" s="1">
        <v>6</v>
      </c>
      <c r="G703" s="4">
        <v>30</v>
      </c>
      <c r="H703" s="8">
        <v>0.84791666666666676</v>
      </c>
      <c r="I703" s="11">
        <v>128.74896666666666</v>
      </c>
      <c r="J703" s="11">
        <v>31.749183333333335</v>
      </c>
      <c r="K703" s="9">
        <v>199.36799999999999</v>
      </c>
      <c r="L703" s="9">
        <v>200</v>
      </c>
      <c r="M703" s="9">
        <v>0</v>
      </c>
      <c r="N703" s="12">
        <v>15.190899999999999</v>
      </c>
      <c r="O703" s="11">
        <v>34.552599999999998</v>
      </c>
      <c r="P703" s="33">
        <v>0.20409354235294064</v>
      </c>
      <c r="Q703" s="33">
        <v>1.0830810517647045</v>
      </c>
      <c r="R703" s="1" t="s">
        <v>280</v>
      </c>
      <c r="S703" s="26">
        <v>1</v>
      </c>
      <c r="T703" s="71" t="s">
        <v>626</v>
      </c>
    </row>
    <row r="704" spans="1:20" ht="12.75" customHeight="1">
      <c r="A704" s="1" t="s">
        <v>438</v>
      </c>
      <c r="B704" s="1">
        <v>30</v>
      </c>
      <c r="C704" s="1" t="s">
        <v>507</v>
      </c>
      <c r="D704" s="5">
        <v>43281</v>
      </c>
      <c r="E704" s="1">
        <v>2018</v>
      </c>
      <c r="F704" s="1">
        <v>6</v>
      </c>
      <c r="G704" s="4">
        <v>30</v>
      </c>
      <c r="H704" s="8">
        <v>0.84791666666666676</v>
      </c>
      <c r="I704" s="11">
        <v>128.74896666666666</v>
      </c>
      <c r="J704" s="11">
        <v>31.749183333333335</v>
      </c>
      <c r="K704" s="9">
        <v>298.517</v>
      </c>
      <c r="L704" s="9">
        <v>300</v>
      </c>
      <c r="M704" s="9">
        <v>0</v>
      </c>
      <c r="N704" s="12">
        <v>12.2849</v>
      </c>
      <c r="O704" s="11">
        <v>34.443199999999997</v>
      </c>
      <c r="P704" s="33">
        <v>9.610145411764659E-2</v>
      </c>
      <c r="Q704" s="33">
        <v>0.2525741305882363</v>
      </c>
      <c r="R704" s="1" t="s">
        <v>280</v>
      </c>
      <c r="S704" s="26">
        <v>1</v>
      </c>
      <c r="T704" s="71" t="s">
        <v>626</v>
      </c>
    </row>
    <row r="705" spans="1:20" ht="12.75" customHeight="1">
      <c r="A705" s="1" t="s">
        <v>438</v>
      </c>
      <c r="B705" s="1">
        <v>30</v>
      </c>
      <c r="C705" s="1" t="s">
        <v>507</v>
      </c>
      <c r="D705" s="5">
        <v>43281</v>
      </c>
      <c r="E705" s="1">
        <v>2018</v>
      </c>
      <c r="F705" s="1">
        <v>6</v>
      </c>
      <c r="G705" s="4">
        <v>30</v>
      </c>
      <c r="H705" s="8">
        <v>0.84791666666666676</v>
      </c>
      <c r="I705" s="11">
        <v>128.74896666666666</v>
      </c>
      <c r="J705" s="11">
        <v>31.749183333333335</v>
      </c>
      <c r="K705" s="9">
        <v>496.91399999999999</v>
      </c>
      <c r="L705" s="9">
        <v>500</v>
      </c>
      <c r="M705" s="9">
        <v>0</v>
      </c>
      <c r="N705" s="12">
        <v>8.6141000000000005</v>
      </c>
      <c r="O705" s="11">
        <v>34.358699999999999</v>
      </c>
      <c r="P705" s="33">
        <v>-5.4812254117647452E-2</v>
      </c>
      <c r="Q705" s="33">
        <v>-0.5706726505882358</v>
      </c>
      <c r="R705" s="1" t="s">
        <v>280</v>
      </c>
      <c r="S705" s="26">
        <v>1</v>
      </c>
      <c r="T705" s="71" t="s">
        <v>626</v>
      </c>
    </row>
    <row r="706" spans="1:20" ht="12.75" customHeight="1">
      <c r="M706" s="27"/>
      <c r="N706" s="32"/>
      <c r="P706" s="31"/>
      <c r="Q706" s="31"/>
      <c r="T706" s="71"/>
    </row>
    <row r="707" spans="1:20" ht="12.75" customHeight="1">
      <c r="A707" s="1" t="s">
        <v>439</v>
      </c>
      <c r="B707" s="1" t="s">
        <v>440</v>
      </c>
      <c r="C707" s="1" t="s">
        <v>509</v>
      </c>
      <c r="D707" s="5">
        <v>43339.256111111114</v>
      </c>
      <c r="E707" s="1">
        <v>2018</v>
      </c>
      <c r="F707" s="1">
        <v>8</v>
      </c>
      <c r="G707" s="4">
        <v>27</v>
      </c>
      <c r="H707" s="8">
        <v>43339.631111111114</v>
      </c>
      <c r="I707" s="11">
        <v>136.00299999999999</v>
      </c>
      <c r="J707" s="11">
        <v>38.841999999999999</v>
      </c>
      <c r="K707" s="27">
        <v>0</v>
      </c>
      <c r="L707" s="27">
        <v>0</v>
      </c>
      <c r="M707" s="27">
        <v>0</v>
      </c>
      <c r="N707" s="32">
        <v>24.8</v>
      </c>
      <c r="O707" s="11">
        <v>33.873103234589394</v>
      </c>
      <c r="P707" s="31">
        <v>-0.10340355294117609</v>
      </c>
      <c r="Q707" s="31">
        <v>-0.83306758352941124</v>
      </c>
      <c r="R707" s="1" t="s">
        <v>441</v>
      </c>
      <c r="T707" s="71" t="s">
        <v>626</v>
      </c>
    </row>
    <row r="708" spans="1:20" ht="12.75" customHeight="1">
      <c r="A708" s="1" t="s">
        <v>439</v>
      </c>
      <c r="B708" s="1" t="s">
        <v>440</v>
      </c>
      <c r="C708" s="1" t="s">
        <v>509</v>
      </c>
      <c r="D708" s="5">
        <v>43339.256111111114</v>
      </c>
      <c r="E708" s="1">
        <v>2018</v>
      </c>
      <c r="F708" s="1">
        <v>8</v>
      </c>
      <c r="G708" s="4">
        <v>27</v>
      </c>
      <c r="H708" s="8">
        <v>43339.631111111114</v>
      </c>
      <c r="I708" s="11">
        <v>136.00299999999999</v>
      </c>
      <c r="J708" s="11">
        <v>38.841999999999999</v>
      </c>
      <c r="K708" s="27">
        <v>20</v>
      </c>
      <c r="L708" s="27">
        <v>20</v>
      </c>
      <c r="M708" s="9">
        <v>0</v>
      </c>
      <c r="N708" s="12">
        <v>24.655000000000001</v>
      </c>
      <c r="O708" s="11">
        <v>33.859357712528862</v>
      </c>
      <c r="P708" s="31">
        <v>-7.0107911764706099E-2</v>
      </c>
      <c r="Q708" s="31">
        <v>-0.66122399411764654</v>
      </c>
      <c r="R708" s="1" t="s">
        <v>441</v>
      </c>
      <c r="T708" s="71" t="s">
        <v>626</v>
      </c>
    </row>
    <row r="709" spans="1:20" ht="12.75" customHeight="1">
      <c r="A709" s="1" t="s">
        <v>439</v>
      </c>
      <c r="B709" s="1" t="s">
        <v>440</v>
      </c>
      <c r="C709" s="1" t="s">
        <v>509</v>
      </c>
      <c r="D709" s="5">
        <v>43339.256111111114</v>
      </c>
      <c r="E709" s="1">
        <v>2018</v>
      </c>
      <c r="F709" s="1">
        <v>8</v>
      </c>
      <c r="G709" s="4">
        <v>27</v>
      </c>
      <c r="H709" s="8">
        <v>43339.631111111114</v>
      </c>
      <c r="I709" s="11">
        <v>136.00299999999999</v>
      </c>
      <c r="J709" s="11">
        <v>38.841999999999999</v>
      </c>
      <c r="K709" s="27">
        <v>50</v>
      </c>
      <c r="L709" s="27">
        <v>50</v>
      </c>
      <c r="M709" s="9">
        <v>0</v>
      </c>
      <c r="N709" s="12">
        <v>20.059000000000001</v>
      </c>
      <c r="O709" s="11">
        <v>34.16134149151938</v>
      </c>
      <c r="P709" s="31">
        <v>6.3441729411765291E-2</v>
      </c>
      <c r="Q709" s="31">
        <v>0.33932459529411929</v>
      </c>
      <c r="R709" s="1" t="s">
        <v>441</v>
      </c>
      <c r="T709" s="71" t="s">
        <v>626</v>
      </c>
    </row>
    <row r="710" spans="1:20" ht="12.75" customHeight="1">
      <c r="K710" s="27"/>
      <c r="L710" s="27"/>
      <c r="P710" s="31"/>
      <c r="Q710" s="31"/>
      <c r="T710" s="71"/>
    </row>
    <row r="711" spans="1:20" ht="12.75" customHeight="1">
      <c r="A711" s="1" t="s">
        <v>439</v>
      </c>
      <c r="B711" s="1" t="s">
        <v>442</v>
      </c>
      <c r="C711" s="1" t="s">
        <v>509</v>
      </c>
      <c r="D711" s="5">
        <v>43340.191666666666</v>
      </c>
      <c r="E711" s="1">
        <v>2018</v>
      </c>
      <c r="F711" s="1">
        <v>8</v>
      </c>
      <c r="G711" s="4">
        <v>28</v>
      </c>
      <c r="H711" s="8">
        <v>43340.566666666666</v>
      </c>
      <c r="I711" s="11">
        <v>135.602</v>
      </c>
      <c r="J711" s="11">
        <v>40.171999999999997</v>
      </c>
      <c r="K711" s="27">
        <v>0</v>
      </c>
      <c r="L711" s="27">
        <v>0</v>
      </c>
      <c r="M711" s="27">
        <v>0</v>
      </c>
      <c r="N711" s="32">
        <v>21.6</v>
      </c>
      <c r="O711" s="11">
        <v>34.110821700952137</v>
      </c>
      <c r="P711" s="31">
        <v>2.2365270588234676E-2</v>
      </c>
      <c r="Q711" s="31">
        <v>-0.21858451529411838</v>
      </c>
      <c r="R711" s="1" t="s">
        <v>441</v>
      </c>
      <c r="T711" s="71" t="s">
        <v>626</v>
      </c>
    </row>
    <row r="712" spans="1:20" ht="12.75" customHeight="1">
      <c r="A712" s="1" t="s">
        <v>439</v>
      </c>
      <c r="B712" s="1" t="s">
        <v>442</v>
      </c>
      <c r="C712" s="1" t="s">
        <v>509</v>
      </c>
      <c r="D712" s="5">
        <v>43340.191666666666</v>
      </c>
      <c r="E712" s="1">
        <v>2018</v>
      </c>
      <c r="F712" s="1">
        <v>8</v>
      </c>
      <c r="G712" s="4">
        <v>28</v>
      </c>
      <c r="H712" s="8">
        <v>43340.566666666666</v>
      </c>
      <c r="I712" s="11">
        <v>135.602</v>
      </c>
      <c r="J712" s="11">
        <v>40.171999999999997</v>
      </c>
      <c r="K712" s="27">
        <v>20</v>
      </c>
      <c r="L712" s="27">
        <v>20</v>
      </c>
      <c r="M712" s="9">
        <v>0</v>
      </c>
      <c r="N712" s="12">
        <v>19.138999999999999</v>
      </c>
      <c r="O712" s="11">
        <v>34.09856339906581</v>
      </c>
      <c r="P712" s="31">
        <v>3.1415811764705648E-2</v>
      </c>
      <c r="Q712" s="31">
        <v>-0.11484242588235283</v>
      </c>
      <c r="R712" s="1" t="s">
        <v>441</v>
      </c>
      <c r="T712" s="71" t="s">
        <v>626</v>
      </c>
    </row>
    <row r="713" spans="1:20" ht="12.75" customHeight="1">
      <c r="A713" s="1" t="s">
        <v>439</v>
      </c>
      <c r="B713" s="1" t="s">
        <v>442</v>
      </c>
      <c r="C713" s="1" t="s">
        <v>509</v>
      </c>
      <c r="D713" s="5">
        <v>43340.191666666666</v>
      </c>
      <c r="E713" s="1">
        <v>2018</v>
      </c>
      <c r="F713" s="1">
        <v>8</v>
      </c>
      <c r="G713" s="4">
        <v>28</v>
      </c>
      <c r="H713" s="8">
        <v>43340.566666666666</v>
      </c>
      <c r="I713" s="11">
        <v>135.602</v>
      </c>
      <c r="J713" s="11">
        <v>40.171999999999997</v>
      </c>
      <c r="K713" s="27">
        <v>50</v>
      </c>
      <c r="L713" s="27">
        <v>50</v>
      </c>
      <c r="M713" s="9">
        <v>0</v>
      </c>
      <c r="N713" s="12">
        <v>7.2930000000000001</v>
      </c>
      <c r="O713" s="11">
        <v>34.135631714505742</v>
      </c>
      <c r="P713" s="31">
        <v>3.678355294117619E-2</v>
      </c>
      <c r="Q713" s="31">
        <v>-1.956789647059054E-2</v>
      </c>
      <c r="R713" s="1" t="s">
        <v>441</v>
      </c>
      <c r="T713" s="71" t="s">
        <v>626</v>
      </c>
    </row>
    <row r="714" spans="1:20" ht="12.75" customHeight="1">
      <c r="K714" s="27"/>
      <c r="L714" s="27"/>
      <c r="P714" s="31"/>
      <c r="Q714" s="31"/>
      <c r="T714" s="71"/>
    </row>
    <row r="715" spans="1:20" ht="12.75" customHeight="1">
      <c r="A715" s="1" t="s">
        <v>439</v>
      </c>
      <c r="B715" s="1" t="s">
        <v>216</v>
      </c>
      <c r="C715" s="1" t="s">
        <v>508</v>
      </c>
      <c r="D715" s="5">
        <v>43339.368657407409</v>
      </c>
      <c r="E715" s="1">
        <v>2018</v>
      </c>
      <c r="F715" s="1">
        <v>8</v>
      </c>
      <c r="G715" s="4">
        <v>27</v>
      </c>
      <c r="H715" s="8">
        <v>43339.743657407409</v>
      </c>
      <c r="I715" s="11">
        <v>135.75700000000001</v>
      </c>
      <c r="J715" s="11">
        <v>38.643999999999998</v>
      </c>
      <c r="K715" s="27">
        <v>0</v>
      </c>
      <c r="L715" s="27">
        <v>0</v>
      </c>
      <c r="M715" s="27">
        <v>0</v>
      </c>
      <c r="N715" s="32">
        <v>24.5</v>
      </c>
      <c r="O715" s="11">
        <v>33.659942325689244</v>
      </c>
      <c r="P715" s="31">
        <v>-9.192188235294152E-2</v>
      </c>
      <c r="Q715" s="31">
        <v>-0.83613721882352721</v>
      </c>
      <c r="R715" s="1" t="s">
        <v>441</v>
      </c>
      <c r="T715" s="71" t="s">
        <v>626</v>
      </c>
    </row>
    <row r="716" spans="1:20" ht="12.75" customHeight="1">
      <c r="A716" s="1" t="s">
        <v>439</v>
      </c>
      <c r="B716" s="1" t="s">
        <v>216</v>
      </c>
      <c r="C716" s="1" t="s">
        <v>508</v>
      </c>
      <c r="D716" s="5">
        <v>43339.368657407409</v>
      </c>
      <c r="E716" s="1">
        <v>2018</v>
      </c>
      <c r="F716" s="1">
        <v>8</v>
      </c>
      <c r="G716" s="4">
        <v>27</v>
      </c>
      <c r="H716" s="8">
        <v>43339.743657407409</v>
      </c>
      <c r="I716" s="11">
        <v>135.75700000000001</v>
      </c>
      <c r="J716" s="11">
        <v>38.643999999999998</v>
      </c>
      <c r="K716" s="27">
        <v>20</v>
      </c>
      <c r="L716" s="27">
        <v>20</v>
      </c>
      <c r="M716" s="9">
        <v>0</v>
      </c>
      <c r="N716" s="12">
        <v>24.626999999999999</v>
      </c>
      <c r="O716" s="11">
        <v>33.701305473077554</v>
      </c>
      <c r="P716" s="31">
        <v>-8.2052941176470551E-2</v>
      </c>
      <c r="Q716" s="31">
        <v>-0.72156452941176319</v>
      </c>
      <c r="R716" s="1" t="s">
        <v>441</v>
      </c>
      <c r="T716" s="71" t="s">
        <v>626</v>
      </c>
    </row>
    <row r="717" spans="1:20" ht="12.75" customHeight="1">
      <c r="A717" s="1" t="s">
        <v>439</v>
      </c>
      <c r="B717" s="1" t="s">
        <v>216</v>
      </c>
      <c r="C717" s="1" t="s">
        <v>508</v>
      </c>
      <c r="D717" s="5">
        <v>43339.368657407409</v>
      </c>
      <c r="E717" s="1">
        <v>2018</v>
      </c>
      <c r="F717" s="1">
        <v>8</v>
      </c>
      <c r="G717" s="4">
        <v>27</v>
      </c>
      <c r="H717" s="8">
        <v>43339.743657407409</v>
      </c>
      <c r="I717" s="11">
        <v>135.75700000000001</v>
      </c>
      <c r="J717" s="11">
        <v>38.643999999999998</v>
      </c>
      <c r="K717" s="27">
        <v>50</v>
      </c>
      <c r="L717" s="27">
        <v>50</v>
      </c>
      <c r="M717" s="9">
        <v>0</v>
      </c>
      <c r="N717" s="12">
        <v>19.568000000000001</v>
      </c>
      <c r="O717" s="11">
        <v>34.315688711595328</v>
      </c>
      <c r="P717" s="31">
        <v>8.351659999999983E-2</v>
      </c>
      <c r="Q717" s="31">
        <v>0.69937544000000251</v>
      </c>
      <c r="R717" s="1" t="s">
        <v>441</v>
      </c>
      <c r="T717" s="71" t="s">
        <v>626</v>
      </c>
    </row>
    <row r="718" spans="1:20" ht="12.75" customHeight="1">
      <c r="K718" s="27"/>
      <c r="L718" s="27"/>
      <c r="P718" s="31"/>
      <c r="Q718" s="31"/>
      <c r="T718" s="71"/>
    </row>
    <row r="719" spans="1:20" ht="12.75" customHeight="1">
      <c r="A719" s="1" t="s">
        <v>439</v>
      </c>
      <c r="B719" s="1" t="s">
        <v>218</v>
      </c>
      <c r="C719" s="1" t="s">
        <v>508</v>
      </c>
      <c r="D719" s="5">
        <v>43340.355000000003</v>
      </c>
      <c r="E719" s="1">
        <v>2018</v>
      </c>
      <c r="F719" s="1">
        <v>8</v>
      </c>
      <c r="G719" s="4">
        <v>28</v>
      </c>
      <c r="H719" s="8">
        <v>43340.73</v>
      </c>
      <c r="I719" s="11">
        <v>135.76400000000001</v>
      </c>
      <c r="J719" s="11">
        <v>40.037999999999997</v>
      </c>
      <c r="K719" s="27">
        <v>0</v>
      </c>
      <c r="L719" s="27">
        <v>0</v>
      </c>
      <c r="M719" s="27">
        <v>0</v>
      </c>
      <c r="N719" s="32">
        <v>22.9</v>
      </c>
      <c r="O719" s="11">
        <v>34.083912700915164</v>
      </c>
      <c r="P719" s="31">
        <v>-9.3236588235288131E-3</v>
      </c>
      <c r="Q719" s="31">
        <v>-0.27088415058823401</v>
      </c>
      <c r="R719" s="1" t="s">
        <v>441</v>
      </c>
      <c r="T719" s="71" t="s">
        <v>626</v>
      </c>
    </row>
    <row r="720" spans="1:20" ht="12.75" customHeight="1">
      <c r="A720" s="1" t="s">
        <v>439</v>
      </c>
      <c r="B720" s="1" t="s">
        <v>218</v>
      </c>
      <c r="C720" s="1" t="s">
        <v>508</v>
      </c>
      <c r="D720" s="5">
        <v>43340.355000000003</v>
      </c>
      <c r="E720" s="1">
        <v>2018</v>
      </c>
      <c r="F720" s="1">
        <v>8</v>
      </c>
      <c r="G720" s="4">
        <v>28</v>
      </c>
      <c r="H720" s="8">
        <v>43340.73</v>
      </c>
      <c r="I720" s="11">
        <v>135.76400000000001</v>
      </c>
      <c r="J720" s="11">
        <v>40.037999999999997</v>
      </c>
      <c r="K720" s="27">
        <v>20</v>
      </c>
      <c r="L720" s="27">
        <v>20</v>
      </c>
      <c r="M720" s="9">
        <v>0</v>
      </c>
      <c r="N720" s="12">
        <v>22.42</v>
      </c>
      <c r="O720" s="11">
        <v>34.087268123967732</v>
      </c>
      <c r="P720" s="31">
        <v>-5.9197917647058951E-2</v>
      </c>
      <c r="Q720" s="31">
        <v>-0.51234282117647112</v>
      </c>
      <c r="R720" s="1" t="s">
        <v>441</v>
      </c>
      <c r="T720" s="71" t="s">
        <v>626</v>
      </c>
    </row>
    <row r="721" spans="1:20" ht="12.75" customHeight="1">
      <c r="A721" s="1" t="s">
        <v>439</v>
      </c>
      <c r="B721" s="1" t="s">
        <v>218</v>
      </c>
      <c r="C721" s="1" t="s">
        <v>508</v>
      </c>
      <c r="D721" s="5">
        <v>43340.355000000003</v>
      </c>
      <c r="E721" s="1">
        <v>2018</v>
      </c>
      <c r="F721" s="1">
        <v>8</v>
      </c>
      <c r="G721" s="4">
        <v>28</v>
      </c>
      <c r="H721" s="8">
        <v>43340.73</v>
      </c>
      <c r="I721" s="11">
        <v>135.76400000000001</v>
      </c>
      <c r="J721" s="11">
        <v>40.037999999999997</v>
      </c>
      <c r="K721" s="27">
        <v>50</v>
      </c>
      <c r="L721" s="27">
        <v>50</v>
      </c>
      <c r="M721" s="9">
        <v>0</v>
      </c>
      <c r="N721" s="12">
        <v>5.2770000000000001</v>
      </c>
      <c r="O721" s="11">
        <v>33.981295727561374</v>
      </c>
      <c r="P721" s="31">
        <v>-8.2269576470588301E-2</v>
      </c>
      <c r="Q721" s="31">
        <v>-0.93496789176470685</v>
      </c>
      <c r="R721" s="1" t="s">
        <v>441</v>
      </c>
      <c r="T721" s="71" t="s">
        <v>626</v>
      </c>
    </row>
    <row r="722" spans="1:20" ht="12.75" customHeight="1">
      <c r="K722" s="27"/>
      <c r="L722" s="27"/>
      <c r="P722" s="31"/>
      <c r="Q722" s="31"/>
      <c r="T722" s="71"/>
    </row>
    <row r="723" spans="1:20" ht="12.75" customHeight="1">
      <c r="A723" s="1" t="s">
        <v>439</v>
      </c>
      <c r="B723" s="1" t="s">
        <v>219</v>
      </c>
      <c r="C723" s="1" t="s">
        <v>508</v>
      </c>
      <c r="D723" s="5">
        <v>43340.50273148148</v>
      </c>
      <c r="E723" s="1">
        <v>2018</v>
      </c>
      <c r="F723" s="1">
        <v>8</v>
      </c>
      <c r="G723" s="4">
        <v>28</v>
      </c>
      <c r="H723" s="8">
        <v>43340.87773148148</v>
      </c>
      <c r="I723" s="11">
        <v>135.90600000000001</v>
      </c>
      <c r="J723" s="11">
        <v>39.835000000000001</v>
      </c>
      <c r="K723" s="27">
        <v>0</v>
      </c>
      <c r="L723" s="27">
        <v>0</v>
      </c>
      <c r="M723" s="27">
        <v>0</v>
      </c>
      <c r="N723" s="32">
        <v>22.5</v>
      </c>
      <c r="O723" s="11">
        <v>33.938831786197092</v>
      </c>
      <c r="P723" s="31">
        <v>-0.10475666386554661</v>
      </c>
      <c r="Q723" s="31">
        <v>-1.0009427109243685</v>
      </c>
      <c r="R723" s="1" t="s">
        <v>441</v>
      </c>
      <c r="T723" s="71" t="s">
        <v>626</v>
      </c>
    </row>
    <row r="724" spans="1:20" ht="12.75" customHeight="1">
      <c r="A724" s="1" t="s">
        <v>439</v>
      </c>
      <c r="B724" s="1" t="s">
        <v>219</v>
      </c>
      <c r="C724" s="1" t="s">
        <v>508</v>
      </c>
      <c r="D724" s="5">
        <v>43340.50273148148</v>
      </c>
      <c r="E724" s="1">
        <v>2018</v>
      </c>
      <c r="F724" s="1">
        <v>8</v>
      </c>
      <c r="G724" s="4">
        <v>28</v>
      </c>
      <c r="H724" s="8">
        <v>43340.87773148148</v>
      </c>
      <c r="I724" s="11">
        <v>135.90600000000001</v>
      </c>
      <c r="J724" s="11">
        <v>39.835000000000001</v>
      </c>
      <c r="K724" s="27">
        <v>20</v>
      </c>
      <c r="L724" s="27">
        <v>20</v>
      </c>
      <c r="M724" s="9">
        <v>0</v>
      </c>
      <c r="N724" s="12">
        <v>20.32</v>
      </c>
      <c r="O724" s="11">
        <v>33.904390206745639</v>
      </c>
      <c r="P724" s="31">
        <v>-0.11388629411764728</v>
      </c>
      <c r="Q724" s="31">
        <v>-0.92637291294117574</v>
      </c>
      <c r="R724" s="1" t="s">
        <v>441</v>
      </c>
      <c r="T724" s="71" t="s">
        <v>626</v>
      </c>
    </row>
    <row r="725" spans="1:20" ht="12.75" customHeight="1">
      <c r="A725" s="1" t="s">
        <v>439</v>
      </c>
      <c r="B725" s="1" t="s">
        <v>219</v>
      </c>
      <c r="C725" s="1" t="s">
        <v>508</v>
      </c>
      <c r="D725" s="5">
        <v>43340.50273148148</v>
      </c>
      <c r="E725" s="1">
        <v>2018</v>
      </c>
      <c r="F725" s="1">
        <v>8</v>
      </c>
      <c r="G725" s="4">
        <v>28</v>
      </c>
      <c r="H725" s="8">
        <v>43340.87773148148</v>
      </c>
      <c r="I725" s="11">
        <v>135.90600000000001</v>
      </c>
      <c r="J725" s="11">
        <v>39.835000000000001</v>
      </c>
      <c r="K725" s="27">
        <v>50</v>
      </c>
      <c r="L725" s="27">
        <v>50</v>
      </c>
      <c r="M725" s="9">
        <v>0</v>
      </c>
      <c r="N725" s="12">
        <v>5.9720000000000004</v>
      </c>
      <c r="O725" s="11">
        <v>34.124490503724196</v>
      </c>
      <c r="P725" s="31">
        <v>-4.0289647058822986E-2</v>
      </c>
      <c r="Q725" s="31">
        <v>-0.17306991764706048</v>
      </c>
      <c r="R725" s="1" t="s">
        <v>441</v>
      </c>
      <c r="T725" s="71" t="s">
        <v>626</v>
      </c>
    </row>
    <row r="726" spans="1:20" ht="12.75" customHeight="1">
      <c r="K726" s="27"/>
      <c r="L726" s="27"/>
      <c r="P726" s="31"/>
      <c r="Q726" s="31"/>
      <c r="T726" s="71"/>
    </row>
    <row r="727" spans="1:20" ht="12.75" customHeight="1">
      <c r="A727" s="1" t="s">
        <v>439</v>
      </c>
      <c r="B727" s="1" t="s">
        <v>460</v>
      </c>
      <c r="C727" s="1" t="s">
        <v>508</v>
      </c>
      <c r="D727" s="5">
        <v>43341.359560185185</v>
      </c>
      <c r="E727" s="1">
        <v>2018</v>
      </c>
      <c r="F727" s="1">
        <v>8</v>
      </c>
      <c r="G727" s="4">
        <v>29</v>
      </c>
      <c r="H727" s="8">
        <v>43341.734560185185</v>
      </c>
      <c r="I727" s="11">
        <v>135.80000000000001</v>
      </c>
      <c r="J727" s="11">
        <v>39.366</v>
      </c>
      <c r="K727" s="27">
        <v>0</v>
      </c>
      <c r="L727" s="27">
        <v>0</v>
      </c>
      <c r="M727" s="27">
        <v>0</v>
      </c>
      <c r="N727" s="32">
        <v>24.7</v>
      </c>
      <c r="O727" s="11">
        <v>34.1359740606473</v>
      </c>
      <c r="P727" s="31">
        <v>-6.8851764705875063E-3</v>
      </c>
      <c r="Q727" s="31">
        <v>-0.15193686117647154</v>
      </c>
      <c r="R727" s="1" t="s">
        <v>441</v>
      </c>
      <c r="T727" s="71" t="s">
        <v>626</v>
      </c>
    </row>
    <row r="728" spans="1:20" ht="12.75" customHeight="1">
      <c r="A728" s="1" t="s">
        <v>439</v>
      </c>
      <c r="B728" s="1" t="s">
        <v>460</v>
      </c>
      <c r="C728" s="1" t="s">
        <v>508</v>
      </c>
      <c r="D728" s="5">
        <v>43341.359560185185</v>
      </c>
      <c r="E728" s="1">
        <v>2018</v>
      </c>
      <c r="F728" s="1">
        <v>8</v>
      </c>
      <c r="G728" s="4">
        <v>29</v>
      </c>
      <c r="H728" s="8">
        <v>43341.734560185185</v>
      </c>
      <c r="I728" s="11">
        <v>135.80000000000001</v>
      </c>
      <c r="J728" s="11">
        <v>39.366</v>
      </c>
      <c r="K728" s="27">
        <v>20</v>
      </c>
      <c r="L728" s="27">
        <v>20</v>
      </c>
      <c r="M728" s="9">
        <v>0</v>
      </c>
      <c r="N728" s="12">
        <v>22.766999999999999</v>
      </c>
      <c r="O728" s="11">
        <v>34.158607923280549</v>
      </c>
      <c r="P728" s="31">
        <v>3.4500254117647344E-2</v>
      </c>
      <c r="Q728" s="31">
        <v>0.20795143529411675</v>
      </c>
      <c r="R728" s="1" t="s">
        <v>441</v>
      </c>
      <c r="T728" s="71" t="s">
        <v>626</v>
      </c>
    </row>
    <row r="729" spans="1:20" ht="12.75" customHeight="1">
      <c r="A729" s="1" t="s">
        <v>439</v>
      </c>
      <c r="B729" s="1" t="s">
        <v>460</v>
      </c>
      <c r="C729" s="1" t="s">
        <v>508</v>
      </c>
      <c r="D729" s="5">
        <v>43341.359560185185</v>
      </c>
      <c r="E729" s="1">
        <v>2018</v>
      </c>
      <c r="F729" s="1">
        <v>8</v>
      </c>
      <c r="G729" s="4">
        <v>29</v>
      </c>
      <c r="H729" s="8">
        <v>43341.734560185185</v>
      </c>
      <c r="I729" s="11">
        <v>135.80000000000001</v>
      </c>
      <c r="J729" s="11">
        <v>39.366</v>
      </c>
      <c r="K729" s="27">
        <v>50</v>
      </c>
      <c r="L729" s="27">
        <v>50</v>
      </c>
      <c r="M729" s="9">
        <v>0</v>
      </c>
      <c r="N729" s="12">
        <v>13.847</v>
      </c>
      <c r="O729" s="11">
        <v>34.454076789068239</v>
      </c>
      <c r="P729" s="31">
        <v>0.15651384470588248</v>
      </c>
      <c r="Q729" s="31">
        <v>0.98546697176470666</v>
      </c>
      <c r="R729" s="1" t="s">
        <v>441</v>
      </c>
      <c r="T729" s="71" t="s">
        <v>626</v>
      </c>
    </row>
    <row r="730" spans="1:20" ht="12.75" customHeight="1">
      <c r="K730" s="27"/>
      <c r="L730" s="27"/>
      <c r="P730" s="31"/>
      <c r="Q730" s="31"/>
      <c r="T730" s="71"/>
    </row>
    <row r="731" spans="1:20" ht="12.75" customHeight="1">
      <c r="A731" s="1" t="s">
        <v>439</v>
      </c>
      <c r="B731" s="1" t="s">
        <v>461</v>
      </c>
      <c r="C731" s="1" t="s">
        <v>508</v>
      </c>
      <c r="D731" s="5">
        <v>43341.501226851855</v>
      </c>
      <c r="E731" s="1">
        <v>2018</v>
      </c>
      <c r="F731" s="1">
        <v>8</v>
      </c>
      <c r="G731" s="4">
        <v>29</v>
      </c>
      <c r="H731" s="8">
        <v>43341.876226851855</v>
      </c>
      <c r="I731" s="11">
        <v>135.613</v>
      </c>
      <c r="J731" s="11">
        <v>39.201999999999998</v>
      </c>
      <c r="K731" s="27">
        <v>0</v>
      </c>
      <c r="L731" s="27">
        <v>0</v>
      </c>
      <c r="M731" s="27">
        <v>0</v>
      </c>
      <c r="N731" s="32">
        <v>25.2</v>
      </c>
      <c r="O731" s="11">
        <v>33.817872670522306</v>
      </c>
      <c r="P731" s="31">
        <v>-0.13320824470588177</v>
      </c>
      <c r="Q731" s="31">
        <v>-0.99872057176470541</v>
      </c>
      <c r="R731" s="1" t="s">
        <v>441</v>
      </c>
      <c r="T731" s="71" t="s">
        <v>626</v>
      </c>
    </row>
    <row r="732" spans="1:20" ht="12.75" customHeight="1">
      <c r="A732" s="1" t="s">
        <v>439</v>
      </c>
      <c r="B732" s="1" t="s">
        <v>461</v>
      </c>
      <c r="C732" s="1" t="s">
        <v>508</v>
      </c>
      <c r="D732" s="5">
        <v>43341.501226851855</v>
      </c>
      <c r="E732" s="1">
        <v>2018</v>
      </c>
      <c r="F732" s="1">
        <v>8</v>
      </c>
      <c r="G732" s="4">
        <v>29</v>
      </c>
      <c r="H732" s="8">
        <v>43341.876226851855</v>
      </c>
      <c r="I732" s="11">
        <v>135.613</v>
      </c>
      <c r="J732" s="11">
        <v>39.201999999999998</v>
      </c>
      <c r="K732" s="27">
        <v>20</v>
      </c>
      <c r="L732" s="27">
        <v>20</v>
      </c>
      <c r="M732" s="9">
        <v>0</v>
      </c>
      <c r="N732" s="12">
        <v>20.581</v>
      </c>
      <c r="O732" s="11">
        <v>34.205606972739879</v>
      </c>
      <c r="P732" s="31">
        <v>8.6418625882353162E-2</v>
      </c>
      <c r="Q732" s="31">
        <v>0.44467182470588362</v>
      </c>
      <c r="R732" s="1" t="s">
        <v>441</v>
      </c>
      <c r="T732" s="71" t="s">
        <v>626</v>
      </c>
    </row>
    <row r="733" spans="1:20" ht="12.75" customHeight="1">
      <c r="A733" s="1" t="s">
        <v>439</v>
      </c>
      <c r="B733" s="1" t="s">
        <v>461</v>
      </c>
      <c r="C733" s="1" t="s">
        <v>508</v>
      </c>
      <c r="D733" s="5">
        <v>43341.501226851855</v>
      </c>
      <c r="E733" s="1">
        <v>2018</v>
      </c>
      <c r="F733" s="1">
        <v>8</v>
      </c>
      <c r="G733" s="4">
        <v>29</v>
      </c>
      <c r="H733" s="8">
        <v>43341.876226851855</v>
      </c>
      <c r="I733" s="11">
        <v>135.613</v>
      </c>
      <c r="J733" s="11">
        <v>39.201999999999998</v>
      </c>
      <c r="K733" s="27">
        <v>50</v>
      </c>
      <c r="L733" s="27">
        <v>50</v>
      </c>
      <c r="M733" s="9">
        <v>0</v>
      </c>
      <c r="N733" s="12">
        <v>16.158999999999999</v>
      </c>
      <c r="O733" s="11">
        <v>34.520188074206956</v>
      </c>
      <c r="P733" s="31">
        <v>0.16116037647058867</v>
      </c>
      <c r="Q733" s="31">
        <v>1.1192594011764729</v>
      </c>
      <c r="R733" s="1" t="s">
        <v>441</v>
      </c>
      <c r="T733" s="71" t="s">
        <v>626</v>
      </c>
    </row>
    <row r="734" spans="1:20" ht="12.75" customHeight="1">
      <c r="K734" s="27"/>
      <c r="L734" s="27"/>
      <c r="P734" s="31"/>
      <c r="Q734" s="31"/>
      <c r="T734" s="71"/>
    </row>
    <row r="735" spans="1:20" ht="12.75" customHeight="1">
      <c r="A735" s="1" t="s">
        <v>439</v>
      </c>
      <c r="B735" s="1" t="s">
        <v>222</v>
      </c>
      <c r="C735" s="1" t="s">
        <v>508</v>
      </c>
      <c r="D735" s="5">
        <v>43342.355925925927</v>
      </c>
      <c r="E735" s="1">
        <v>2018</v>
      </c>
      <c r="F735" s="1">
        <v>8</v>
      </c>
      <c r="G735" s="4">
        <v>30</v>
      </c>
      <c r="H735" s="8">
        <v>43342.730925925927</v>
      </c>
      <c r="I735" s="11">
        <v>135.97499999999999</v>
      </c>
      <c r="J735" s="11">
        <v>37.700000000000003</v>
      </c>
      <c r="K735" s="27">
        <v>0</v>
      </c>
      <c r="L735" s="27">
        <v>0</v>
      </c>
      <c r="M735" s="27">
        <v>0</v>
      </c>
      <c r="N735" s="32">
        <v>26.2</v>
      </c>
      <c r="O735" s="11">
        <v>33.421704611300932</v>
      </c>
      <c r="P735" s="31">
        <v>-0.22070990117647016</v>
      </c>
      <c r="Q735" s="31">
        <v>-1.7231482929411763</v>
      </c>
      <c r="R735" s="1" t="s">
        <v>441</v>
      </c>
      <c r="T735" s="71" t="s">
        <v>626</v>
      </c>
    </row>
    <row r="736" spans="1:20" ht="12.75" customHeight="1">
      <c r="A736" s="1" t="s">
        <v>439</v>
      </c>
      <c r="B736" s="1" t="s">
        <v>222</v>
      </c>
      <c r="C736" s="1" t="s">
        <v>508</v>
      </c>
      <c r="D736" s="5">
        <v>43342.355925925927</v>
      </c>
      <c r="E736" s="1">
        <v>2018</v>
      </c>
      <c r="F736" s="1">
        <v>8</v>
      </c>
      <c r="G736" s="4">
        <v>30</v>
      </c>
      <c r="H736" s="8">
        <v>43342.730925925927</v>
      </c>
      <c r="I736" s="11">
        <v>135.97499999999999</v>
      </c>
      <c r="J736" s="11">
        <v>37.700000000000003</v>
      </c>
      <c r="K736" s="27">
        <v>20</v>
      </c>
      <c r="L736" s="27">
        <v>20</v>
      </c>
      <c r="M736" s="9">
        <v>0</v>
      </c>
      <c r="N736" s="12">
        <v>24.152000000000001</v>
      </c>
      <c r="O736" s="11">
        <v>33.460286384382101</v>
      </c>
      <c r="P736" s="31">
        <v>-0.18904487058823505</v>
      </c>
      <c r="Q736" s="31">
        <v>-1.4226111764705864</v>
      </c>
      <c r="R736" s="1" t="s">
        <v>441</v>
      </c>
      <c r="T736" s="71" t="s">
        <v>626</v>
      </c>
    </row>
    <row r="737" spans="1:20" ht="12.75" customHeight="1">
      <c r="A737" s="1" t="s">
        <v>439</v>
      </c>
      <c r="B737" s="1" t="s">
        <v>222</v>
      </c>
      <c r="C737" s="1" t="s">
        <v>508</v>
      </c>
      <c r="D737" s="5">
        <v>43342.355925925927</v>
      </c>
      <c r="E737" s="1">
        <v>2018</v>
      </c>
      <c r="F737" s="1">
        <v>8</v>
      </c>
      <c r="G737" s="4">
        <v>30</v>
      </c>
      <c r="H737" s="8">
        <v>43342.730925925927</v>
      </c>
      <c r="I737" s="11">
        <v>135.97499999999999</v>
      </c>
      <c r="J737" s="11">
        <v>37.700000000000003</v>
      </c>
      <c r="K737" s="27">
        <v>50</v>
      </c>
      <c r="L737" s="27">
        <v>50</v>
      </c>
      <c r="M737" s="9">
        <v>0</v>
      </c>
      <c r="N737" s="12">
        <v>15.052</v>
      </c>
      <c r="O737" s="11">
        <v>34.403019858008534</v>
      </c>
      <c r="P737" s="31">
        <v>9.9648000000000181E-2</v>
      </c>
      <c r="Q737" s="31">
        <v>0.85268364000000041</v>
      </c>
      <c r="R737" s="1" t="s">
        <v>441</v>
      </c>
      <c r="T737" s="71" t="s">
        <v>626</v>
      </c>
    </row>
    <row r="738" spans="1:20" ht="12.75" customHeight="1">
      <c r="K738" s="27"/>
      <c r="L738" s="27"/>
      <c r="P738" s="31"/>
      <c r="Q738" s="31"/>
      <c r="T738" s="71"/>
    </row>
    <row r="739" spans="1:20" ht="12.75" customHeight="1">
      <c r="A739" s="1" t="s">
        <v>439</v>
      </c>
      <c r="B739" s="1" t="s">
        <v>223</v>
      </c>
      <c r="C739" s="1" t="s">
        <v>508</v>
      </c>
      <c r="D739" s="5">
        <v>43342.520451388889</v>
      </c>
      <c r="E739" s="1">
        <v>2018</v>
      </c>
      <c r="F739" s="1">
        <v>8</v>
      </c>
      <c r="G739" s="4">
        <v>30</v>
      </c>
      <c r="H739" s="8">
        <v>43342.895451388889</v>
      </c>
      <c r="I739" s="11">
        <v>135.75700000000001</v>
      </c>
      <c r="J739" s="11">
        <v>37.881</v>
      </c>
      <c r="K739" s="27">
        <v>0</v>
      </c>
      <c r="L739" s="27">
        <v>0</v>
      </c>
      <c r="M739" s="27">
        <v>0</v>
      </c>
      <c r="N739" s="32">
        <v>25.3</v>
      </c>
      <c r="O739" s="11">
        <v>33.459682547273601</v>
      </c>
      <c r="P739" s="31">
        <v>-0.25801456941176459</v>
      </c>
      <c r="Q739" s="31">
        <v>-1.8845343235294125</v>
      </c>
      <c r="R739" s="1" t="s">
        <v>441</v>
      </c>
      <c r="T739" s="71" t="s">
        <v>626</v>
      </c>
    </row>
    <row r="740" spans="1:20" ht="12.75" customHeight="1">
      <c r="A740" s="1" t="s">
        <v>439</v>
      </c>
      <c r="B740" s="1" t="s">
        <v>223</v>
      </c>
      <c r="C740" s="1" t="s">
        <v>508</v>
      </c>
      <c r="D740" s="5">
        <v>43342.520451388889</v>
      </c>
      <c r="E740" s="1">
        <v>2018</v>
      </c>
      <c r="F740" s="1">
        <v>8</v>
      </c>
      <c r="G740" s="4">
        <v>30</v>
      </c>
      <c r="H740" s="8">
        <v>43342.895451388889</v>
      </c>
      <c r="I740" s="11">
        <v>135.75700000000001</v>
      </c>
      <c r="J740" s="11">
        <v>37.881</v>
      </c>
      <c r="K740" s="27">
        <v>20</v>
      </c>
      <c r="L740" s="27">
        <v>20</v>
      </c>
      <c r="M740" s="9">
        <v>0</v>
      </c>
      <c r="N740" s="12">
        <v>24.033999999999999</v>
      </c>
      <c r="O740" s="11">
        <v>33.61987440935733</v>
      </c>
      <c r="P740" s="31">
        <v>-0.15012113882352929</v>
      </c>
      <c r="Q740" s="31">
        <v>-1.0760615270588225</v>
      </c>
      <c r="R740" s="1" t="s">
        <v>441</v>
      </c>
      <c r="T740" s="71" t="s">
        <v>626</v>
      </c>
    </row>
    <row r="741" spans="1:20" ht="12.75" customHeight="1">
      <c r="A741" s="1" t="s">
        <v>439</v>
      </c>
      <c r="B741" s="1" t="s">
        <v>223</v>
      </c>
      <c r="C741" s="1" t="s">
        <v>508</v>
      </c>
      <c r="D741" s="5">
        <v>43342.520451388889</v>
      </c>
      <c r="E741" s="1">
        <v>2018</v>
      </c>
      <c r="F741" s="1">
        <v>8</v>
      </c>
      <c r="G741" s="4">
        <v>30</v>
      </c>
      <c r="H741" s="8">
        <v>43342.895451388889</v>
      </c>
      <c r="I741" s="11">
        <v>135.75700000000001</v>
      </c>
      <c r="J741" s="11">
        <v>37.881</v>
      </c>
      <c r="K741" s="27">
        <v>50</v>
      </c>
      <c r="L741" s="27">
        <v>50</v>
      </c>
      <c r="M741" s="9">
        <v>0</v>
      </c>
      <c r="N741" s="12">
        <v>14.1</v>
      </c>
      <c r="O741" s="11">
        <v>34.373721840195053</v>
      </c>
      <c r="P741" s="31">
        <v>0.19761037176470619</v>
      </c>
      <c r="Q741" s="31">
        <v>0.86935114941176472</v>
      </c>
      <c r="R741" s="1" t="s">
        <v>441</v>
      </c>
      <c r="T741" s="71" t="s">
        <v>626</v>
      </c>
    </row>
    <row r="742" spans="1:20" ht="12.75" customHeight="1">
      <c r="K742" s="27"/>
      <c r="L742" s="27"/>
      <c r="P742" s="31"/>
      <c r="Q742" s="31"/>
      <c r="T742" s="71"/>
    </row>
    <row r="743" spans="1:20" ht="12.75" customHeight="1">
      <c r="A743" s="1" t="s">
        <v>439</v>
      </c>
      <c r="B743" s="1" t="s">
        <v>226</v>
      </c>
      <c r="C743" s="1" t="s">
        <v>508</v>
      </c>
      <c r="D743" s="5">
        <v>43343.365277777775</v>
      </c>
      <c r="E743" s="1">
        <v>2018</v>
      </c>
      <c r="F743" s="1">
        <v>8</v>
      </c>
      <c r="G743" s="4">
        <v>31</v>
      </c>
      <c r="H743" s="8">
        <v>43343.740277777775</v>
      </c>
      <c r="I743" s="11">
        <v>135.76</v>
      </c>
      <c r="J743" s="11">
        <v>37.136000000000003</v>
      </c>
      <c r="K743" s="27">
        <v>0</v>
      </c>
      <c r="L743" s="27">
        <v>0</v>
      </c>
      <c r="M743" s="27">
        <v>0</v>
      </c>
      <c r="N743" s="32">
        <v>25.4</v>
      </c>
      <c r="O743" s="11">
        <v>33.201400468988766</v>
      </c>
      <c r="P743" s="31">
        <v>-0.2887707576470584</v>
      </c>
      <c r="Q743" s="31">
        <v>-2.5284198141176475</v>
      </c>
      <c r="R743" s="1" t="s">
        <v>441</v>
      </c>
      <c r="T743" s="71" t="s">
        <v>626</v>
      </c>
    </row>
    <row r="744" spans="1:20" ht="12.75" customHeight="1">
      <c r="A744" s="1" t="s">
        <v>439</v>
      </c>
      <c r="B744" s="1" t="s">
        <v>226</v>
      </c>
      <c r="C744" s="1" t="s">
        <v>508</v>
      </c>
      <c r="D744" s="5">
        <v>43343.365277777775</v>
      </c>
      <c r="E744" s="1">
        <v>2018</v>
      </c>
      <c r="F744" s="1">
        <v>8</v>
      </c>
      <c r="G744" s="4">
        <v>31</v>
      </c>
      <c r="H744" s="8">
        <v>43343.740277777775</v>
      </c>
      <c r="I744" s="11">
        <v>135.76</v>
      </c>
      <c r="J744" s="11">
        <v>37.136000000000003</v>
      </c>
      <c r="K744" s="27">
        <v>20</v>
      </c>
      <c r="L744" s="27">
        <v>20</v>
      </c>
      <c r="M744" s="9">
        <v>0</v>
      </c>
      <c r="N744" s="12">
        <v>24.402999999999999</v>
      </c>
      <c r="O744" s="11">
        <v>33.848048031436953</v>
      </c>
      <c r="P744" s="31">
        <v>-3.4150447058823197E-2</v>
      </c>
      <c r="Q744" s="31">
        <v>-0.74883551764705913</v>
      </c>
      <c r="R744" s="1" t="s">
        <v>441</v>
      </c>
      <c r="T744" s="71" t="s">
        <v>626</v>
      </c>
    </row>
    <row r="745" spans="1:20" ht="12.75" customHeight="1">
      <c r="A745" s="1" t="s">
        <v>439</v>
      </c>
      <c r="B745" s="1" t="s">
        <v>226</v>
      </c>
      <c r="C745" s="1" t="s">
        <v>508</v>
      </c>
      <c r="D745" s="5">
        <v>43343.365277777775</v>
      </c>
      <c r="E745" s="1">
        <v>2018</v>
      </c>
      <c r="F745" s="1">
        <v>8</v>
      </c>
      <c r="G745" s="4">
        <v>31</v>
      </c>
      <c r="H745" s="8">
        <v>43343.740277777775</v>
      </c>
      <c r="I745" s="11">
        <v>135.76</v>
      </c>
      <c r="J745" s="11">
        <v>37.136000000000003</v>
      </c>
      <c r="K745" s="27">
        <v>50</v>
      </c>
      <c r="L745" s="27">
        <v>50</v>
      </c>
      <c r="M745" s="9">
        <v>0</v>
      </c>
      <c r="N745" s="12">
        <v>12.868</v>
      </c>
      <c r="O745" s="11">
        <v>34.379764082928858</v>
      </c>
      <c r="P745" s="31">
        <v>5.4991960000000173E-2</v>
      </c>
      <c r="Q745" s="31">
        <v>0.59847329999999843</v>
      </c>
      <c r="R745" s="1" t="s">
        <v>441</v>
      </c>
      <c r="T745" s="71" t="s">
        <v>626</v>
      </c>
    </row>
    <row r="746" spans="1:20" ht="12.75" customHeight="1">
      <c r="K746" s="27"/>
      <c r="L746" s="27"/>
      <c r="P746" s="31"/>
      <c r="Q746" s="31"/>
      <c r="T746" s="71"/>
    </row>
    <row r="747" spans="1:20" ht="12.75" customHeight="1">
      <c r="A747" s="1" t="s">
        <v>439</v>
      </c>
      <c r="B747" s="1" t="s">
        <v>115</v>
      </c>
      <c r="C747" s="1" t="s">
        <v>508</v>
      </c>
      <c r="D747" s="5">
        <v>43343.490972222222</v>
      </c>
      <c r="E747" s="1">
        <v>2018</v>
      </c>
      <c r="F747" s="1">
        <v>8</v>
      </c>
      <c r="G747" s="4">
        <v>31</v>
      </c>
      <c r="H747" s="8">
        <v>43343.865972222222</v>
      </c>
      <c r="I747" s="11">
        <v>135.95699999999999</v>
      </c>
      <c r="J747" s="11">
        <v>37.298000000000002</v>
      </c>
      <c r="K747" s="27">
        <v>0</v>
      </c>
      <c r="L747" s="27">
        <v>0</v>
      </c>
      <c r="M747" s="27">
        <v>0</v>
      </c>
      <c r="N747" s="32">
        <v>26.1</v>
      </c>
      <c r="O747" s="11">
        <v>32.566520188603342</v>
      </c>
      <c r="P747" s="31">
        <v>-0.65725087999999965</v>
      </c>
      <c r="Q747" s="31">
        <v>-4.3860501999999997</v>
      </c>
      <c r="R747" s="1" t="s">
        <v>441</v>
      </c>
      <c r="T747" s="71" t="s">
        <v>626</v>
      </c>
    </row>
    <row r="748" spans="1:20" ht="12.75" customHeight="1">
      <c r="A748" s="1" t="s">
        <v>439</v>
      </c>
      <c r="B748" s="1" t="s">
        <v>115</v>
      </c>
      <c r="C748" s="1" t="s">
        <v>508</v>
      </c>
      <c r="D748" s="5">
        <v>43343.490972222222</v>
      </c>
      <c r="E748" s="1">
        <v>2018</v>
      </c>
      <c r="F748" s="1">
        <v>8</v>
      </c>
      <c r="G748" s="4">
        <v>31</v>
      </c>
      <c r="H748" s="8">
        <v>43343.865972222222</v>
      </c>
      <c r="I748" s="11">
        <v>135.95699999999999</v>
      </c>
      <c r="J748" s="11">
        <v>37.298000000000002</v>
      </c>
      <c r="K748" s="27">
        <v>20</v>
      </c>
      <c r="L748" s="27">
        <v>20</v>
      </c>
      <c r="M748" s="9">
        <v>0</v>
      </c>
      <c r="N748" s="12">
        <v>22.364000000000001</v>
      </c>
      <c r="O748" s="11">
        <v>33.971092664051582</v>
      </c>
      <c r="P748" s="31">
        <v>-0.14085943999999939</v>
      </c>
      <c r="Q748" s="31">
        <v>-0.57839799999999819</v>
      </c>
      <c r="R748" s="1" t="s">
        <v>441</v>
      </c>
      <c r="T748" s="71" t="s">
        <v>626</v>
      </c>
    </row>
    <row r="749" spans="1:20" ht="12.75" customHeight="1">
      <c r="A749" s="1" t="s">
        <v>439</v>
      </c>
      <c r="B749" s="1" t="s">
        <v>115</v>
      </c>
      <c r="C749" s="1" t="s">
        <v>508</v>
      </c>
      <c r="D749" s="5">
        <v>43343.490972222222</v>
      </c>
      <c r="E749" s="1">
        <v>2018</v>
      </c>
      <c r="F749" s="1">
        <v>8</v>
      </c>
      <c r="G749" s="4">
        <v>31</v>
      </c>
      <c r="H749" s="8">
        <v>43343.865972222222</v>
      </c>
      <c r="I749" s="11">
        <v>135.95699999999999</v>
      </c>
      <c r="J749" s="11">
        <v>37.298000000000002</v>
      </c>
      <c r="K749" s="27">
        <v>50</v>
      </c>
      <c r="L749" s="27">
        <v>50</v>
      </c>
      <c r="M749" s="9">
        <v>0</v>
      </c>
      <c r="N749" s="12">
        <v>13.96</v>
      </c>
      <c r="O749" s="11">
        <v>34.419834020522337</v>
      </c>
      <c r="P749" s="31">
        <v>3.6466399999999677E-2</v>
      </c>
      <c r="Q749" s="31">
        <v>0.64549958333333279</v>
      </c>
      <c r="R749" s="1" t="s">
        <v>441</v>
      </c>
      <c r="T749" s="71" t="s">
        <v>626</v>
      </c>
    </row>
    <row r="750" spans="1:20" ht="12.75" customHeight="1">
      <c r="K750" s="27"/>
      <c r="L750" s="27"/>
      <c r="P750" s="31"/>
      <c r="Q750" s="31"/>
      <c r="T750" s="71"/>
    </row>
    <row r="751" spans="1:20" ht="12.75" customHeight="1">
      <c r="A751" s="1" t="s">
        <v>439</v>
      </c>
      <c r="B751" s="1" t="s">
        <v>229</v>
      </c>
      <c r="C751" s="1" t="s">
        <v>505</v>
      </c>
      <c r="D751" s="5">
        <v>43345.354375000003</v>
      </c>
      <c r="E751" s="1">
        <v>2018</v>
      </c>
      <c r="F751" s="1">
        <v>9</v>
      </c>
      <c r="G751" s="4">
        <v>2</v>
      </c>
      <c r="H751" s="8">
        <v>43345.729375000003</v>
      </c>
      <c r="I751" s="11">
        <v>130.36699999999999</v>
      </c>
      <c r="J751" s="11">
        <v>34.506</v>
      </c>
      <c r="K751" s="27">
        <v>0</v>
      </c>
      <c r="L751" s="27">
        <v>0</v>
      </c>
      <c r="M751" s="27">
        <v>0</v>
      </c>
      <c r="N751" s="32">
        <v>26.9</v>
      </c>
      <c r="O751" s="11">
        <v>32.783112436562782</v>
      </c>
      <c r="P751" s="31">
        <v>-0.37198459999999955</v>
      </c>
      <c r="Q751" s="31">
        <v>-2.3654624000000002</v>
      </c>
      <c r="R751" s="1" t="s">
        <v>441</v>
      </c>
      <c r="T751" s="71" t="s">
        <v>626</v>
      </c>
    </row>
    <row r="752" spans="1:20" ht="12.75" customHeight="1">
      <c r="A752" s="1" t="s">
        <v>439</v>
      </c>
      <c r="B752" s="1" t="s">
        <v>229</v>
      </c>
      <c r="C752" s="1" t="s">
        <v>505</v>
      </c>
      <c r="D752" s="5">
        <v>43345.354375000003</v>
      </c>
      <c r="E752" s="1">
        <v>2018</v>
      </c>
      <c r="F752" s="1">
        <v>9</v>
      </c>
      <c r="G752" s="4">
        <v>2</v>
      </c>
      <c r="H752" s="8">
        <v>43345.729375000003</v>
      </c>
      <c r="I752" s="11">
        <v>130.36699999999999</v>
      </c>
      <c r="J752" s="11">
        <v>34.506</v>
      </c>
      <c r="K752" s="27">
        <v>20</v>
      </c>
      <c r="L752" s="27">
        <v>20</v>
      </c>
      <c r="M752" s="9">
        <v>0</v>
      </c>
      <c r="N752" s="12">
        <v>25.635999999999999</v>
      </c>
      <c r="O752" s="11">
        <v>32.725906650748556</v>
      </c>
      <c r="P752" s="31">
        <v>-0.37936747999999998</v>
      </c>
      <c r="Q752" s="31">
        <v>-2.4603681999999996</v>
      </c>
      <c r="R752" s="1" t="s">
        <v>441</v>
      </c>
      <c r="T752" s="71" t="s">
        <v>626</v>
      </c>
    </row>
    <row r="753" spans="1:20" ht="12.75" customHeight="1">
      <c r="A753" s="1" t="s">
        <v>439</v>
      </c>
      <c r="B753" s="1" t="s">
        <v>229</v>
      </c>
      <c r="C753" s="1" t="s">
        <v>505</v>
      </c>
      <c r="D753" s="5">
        <v>43345.354375000003</v>
      </c>
      <c r="E753" s="1">
        <v>2018</v>
      </c>
      <c r="F753" s="1">
        <v>9</v>
      </c>
      <c r="G753" s="4">
        <v>2</v>
      </c>
      <c r="H753" s="8">
        <v>43345.729375000003</v>
      </c>
      <c r="I753" s="11">
        <v>130.36699999999999</v>
      </c>
      <c r="J753" s="11">
        <v>34.506</v>
      </c>
      <c r="K753" s="27">
        <v>50</v>
      </c>
      <c r="L753" s="27">
        <v>50</v>
      </c>
      <c r="M753" s="9">
        <v>0</v>
      </c>
      <c r="N753" s="12">
        <v>17.600999999999999</v>
      </c>
      <c r="O753" s="11">
        <v>32.732648380105395</v>
      </c>
      <c r="P753" s="31">
        <v>-0.30738439999999967</v>
      </c>
      <c r="Q753" s="31">
        <v>-1.9675274999999992</v>
      </c>
      <c r="R753" s="1" t="s">
        <v>441</v>
      </c>
      <c r="T753" s="71" t="s">
        <v>626</v>
      </c>
    </row>
    <row r="754" spans="1:20" ht="12.75" customHeight="1">
      <c r="K754" s="27"/>
      <c r="L754" s="27"/>
      <c r="P754" s="31"/>
      <c r="Q754" s="31"/>
      <c r="T754" s="71"/>
    </row>
    <row r="755" spans="1:20" ht="12.75" customHeight="1">
      <c r="A755" s="1" t="s">
        <v>439</v>
      </c>
      <c r="B755" s="1" t="s">
        <v>123</v>
      </c>
      <c r="C755" s="1" t="s">
        <v>505</v>
      </c>
      <c r="D755" s="5">
        <v>43345.502766203703</v>
      </c>
      <c r="E755" s="1">
        <v>2018</v>
      </c>
      <c r="F755" s="1">
        <v>9</v>
      </c>
      <c r="G755" s="4">
        <v>2</v>
      </c>
      <c r="H755" s="8">
        <v>43345.877766203703</v>
      </c>
      <c r="I755" s="11">
        <v>130.548</v>
      </c>
      <c r="J755" s="11">
        <v>34.618000000000002</v>
      </c>
      <c r="K755" s="27">
        <v>0</v>
      </c>
      <c r="L755" s="27">
        <v>0</v>
      </c>
      <c r="M755" s="27">
        <v>0</v>
      </c>
      <c r="N755" s="32">
        <v>26.6</v>
      </c>
      <c r="O755" s="11">
        <v>32.466068763764994</v>
      </c>
      <c r="P755" s="31">
        <v>-0.40958260000000002</v>
      </c>
      <c r="Q755" s="31">
        <v>-2.8429120833333323</v>
      </c>
      <c r="R755" s="1" t="s">
        <v>441</v>
      </c>
      <c r="T755" s="71" t="s">
        <v>626</v>
      </c>
    </row>
    <row r="756" spans="1:20" ht="12.75" customHeight="1">
      <c r="A756" s="1" t="s">
        <v>439</v>
      </c>
      <c r="B756" s="1" t="s">
        <v>123</v>
      </c>
      <c r="C756" s="1" t="s">
        <v>505</v>
      </c>
      <c r="D756" s="5">
        <v>43345.502766203703</v>
      </c>
      <c r="E756" s="1">
        <v>2018</v>
      </c>
      <c r="F756" s="1">
        <v>9</v>
      </c>
      <c r="G756" s="4">
        <v>2</v>
      </c>
      <c r="H756" s="8">
        <v>43345.877766203703</v>
      </c>
      <c r="I756" s="11">
        <v>130.548</v>
      </c>
      <c r="J756" s="11">
        <v>34.618000000000002</v>
      </c>
      <c r="K756" s="27">
        <v>20</v>
      </c>
      <c r="L756" s="27">
        <v>20</v>
      </c>
      <c r="M756" s="9">
        <v>0</v>
      </c>
      <c r="N756" s="12">
        <v>25.882000000000001</v>
      </c>
      <c r="O756" s="11">
        <v>32.379134957670061</v>
      </c>
      <c r="P756" s="31">
        <v>-0.43555939999999982</v>
      </c>
      <c r="Q756" s="31">
        <v>-2.7854500999999994</v>
      </c>
      <c r="R756" s="1" t="s">
        <v>441</v>
      </c>
      <c r="T756" s="71" t="s">
        <v>626</v>
      </c>
    </row>
    <row r="757" spans="1:20" ht="12.75" customHeight="1">
      <c r="A757" s="1" t="s">
        <v>439</v>
      </c>
      <c r="B757" s="1" t="s">
        <v>123</v>
      </c>
      <c r="C757" s="1" t="s">
        <v>505</v>
      </c>
      <c r="D757" s="5">
        <v>43345.502766203703</v>
      </c>
      <c r="E757" s="1">
        <v>2018</v>
      </c>
      <c r="F757" s="1">
        <v>9</v>
      </c>
      <c r="G757" s="4">
        <v>2</v>
      </c>
      <c r="H757" s="8">
        <v>43345.877766203703</v>
      </c>
      <c r="I757" s="11">
        <v>130.548</v>
      </c>
      <c r="J757" s="11">
        <v>34.618000000000002</v>
      </c>
      <c r="K757" s="27">
        <v>50</v>
      </c>
      <c r="L757" s="27">
        <v>50</v>
      </c>
      <c r="M757" s="9">
        <v>0</v>
      </c>
      <c r="N757" s="12">
        <v>21.477</v>
      </c>
      <c r="O757" s="11">
        <v>34.186705390701313</v>
      </c>
      <c r="P757" s="31">
        <v>1.8897880000000367E-2</v>
      </c>
      <c r="Q757" s="31">
        <v>0.25330760000000119</v>
      </c>
      <c r="R757" s="1" t="s">
        <v>441</v>
      </c>
      <c r="T757" s="71" t="s">
        <v>626</v>
      </c>
    </row>
    <row r="758" spans="1:20" ht="12.75" customHeight="1">
      <c r="K758" s="27"/>
      <c r="L758" s="27"/>
      <c r="P758" s="31"/>
      <c r="Q758" s="31"/>
      <c r="T758" s="71"/>
    </row>
    <row r="759" spans="1:20" ht="12.75" customHeight="1">
      <c r="A759" s="1" t="s">
        <v>439</v>
      </c>
      <c r="B759" s="1" t="s">
        <v>127</v>
      </c>
      <c r="C759" s="1" t="s">
        <v>505</v>
      </c>
      <c r="D759" s="5">
        <v>43349.345023148147</v>
      </c>
      <c r="E759" s="1">
        <v>2018</v>
      </c>
      <c r="F759" s="1">
        <v>9</v>
      </c>
      <c r="G759" s="4">
        <v>6</v>
      </c>
      <c r="H759" s="8">
        <v>43349.720023148147</v>
      </c>
      <c r="I759" s="11">
        <v>129.97499999999999</v>
      </c>
      <c r="J759" s="11">
        <v>34.502000000000002</v>
      </c>
      <c r="K759" s="27">
        <v>0</v>
      </c>
      <c r="L759" s="27">
        <v>0</v>
      </c>
      <c r="M759" s="27">
        <v>0</v>
      </c>
      <c r="N759" s="32">
        <v>26.5</v>
      </c>
      <c r="O759" s="11">
        <v>33.036414659271124</v>
      </c>
      <c r="P759" s="31">
        <v>-0.30533359999999998</v>
      </c>
      <c r="Q759" s="31">
        <v>-1.9862329999999995</v>
      </c>
      <c r="R759" s="1" t="s">
        <v>441</v>
      </c>
      <c r="T759" s="71" t="s">
        <v>626</v>
      </c>
    </row>
    <row r="760" spans="1:20" ht="12.75" customHeight="1">
      <c r="A760" s="1" t="s">
        <v>439</v>
      </c>
      <c r="B760" s="1" t="s">
        <v>127</v>
      </c>
      <c r="C760" s="1" t="s">
        <v>505</v>
      </c>
      <c r="D760" s="5">
        <v>43349.345023148147</v>
      </c>
      <c r="E760" s="1">
        <v>2018</v>
      </c>
      <c r="F760" s="1">
        <v>9</v>
      </c>
      <c r="G760" s="4">
        <v>6</v>
      </c>
      <c r="H760" s="8">
        <v>43349.720023148147</v>
      </c>
      <c r="I760" s="11">
        <v>129.97499999999999</v>
      </c>
      <c r="J760" s="11">
        <v>34.502000000000002</v>
      </c>
      <c r="K760" s="27">
        <v>20</v>
      </c>
      <c r="L760" s="27">
        <v>20</v>
      </c>
      <c r="M760" s="9">
        <v>0</v>
      </c>
      <c r="N760" s="12">
        <v>27.245999999999999</v>
      </c>
      <c r="O760" s="11">
        <v>33.985414049068488</v>
      </c>
      <c r="P760" s="31">
        <v>-0.11789048000000024</v>
      </c>
      <c r="Q760" s="31">
        <v>-0.33542339999999982</v>
      </c>
      <c r="R760" s="1" t="s">
        <v>441</v>
      </c>
      <c r="T760" s="71" t="s">
        <v>626</v>
      </c>
    </row>
    <row r="761" spans="1:20" ht="12.75" customHeight="1">
      <c r="A761" s="1" t="s">
        <v>439</v>
      </c>
      <c r="B761" s="1" t="s">
        <v>127</v>
      </c>
      <c r="C761" s="1" t="s">
        <v>505</v>
      </c>
      <c r="D761" s="5">
        <v>43349.345023148147</v>
      </c>
      <c r="E761" s="1">
        <v>2018</v>
      </c>
      <c r="F761" s="1">
        <v>9</v>
      </c>
      <c r="G761" s="4">
        <v>6</v>
      </c>
      <c r="H761" s="8">
        <v>43349.720023148147</v>
      </c>
      <c r="I761" s="11">
        <v>129.97499999999999</v>
      </c>
      <c r="J761" s="11">
        <v>34.502000000000002</v>
      </c>
      <c r="K761" s="27">
        <v>50</v>
      </c>
      <c r="L761" s="27">
        <v>50</v>
      </c>
      <c r="M761" s="9">
        <v>0</v>
      </c>
      <c r="N761" s="12">
        <v>17.759</v>
      </c>
      <c r="O761" s="11">
        <v>33.379992002784775</v>
      </c>
      <c r="P761" s="31">
        <v>-0.12424795999999994</v>
      </c>
      <c r="Q761" s="31">
        <v>-0.90092019999999984</v>
      </c>
      <c r="R761" s="1" t="s">
        <v>441</v>
      </c>
      <c r="T761" s="71" t="s">
        <v>626</v>
      </c>
    </row>
    <row r="762" spans="1:20" ht="12.75" customHeight="1">
      <c r="K762" s="27"/>
      <c r="L762" s="27"/>
      <c r="P762" s="31"/>
      <c r="Q762" s="31"/>
      <c r="T762" s="71"/>
    </row>
    <row r="763" spans="1:20" ht="12.75" customHeight="1">
      <c r="A763" s="1" t="s">
        <v>439</v>
      </c>
      <c r="B763" s="1" t="s">
        <v>128</v>
      </c>
      <c r="C763" s="1" t="s">
        <v>505</v>
      </c>
      <c r="D763" s="5">
        <v>43349.51017361111</v>
      </c>
      <c r="E763" s="1">
        <v>2018</v>
      </c>
      <c r="F763" s="1">
        <v>9</v>
      </c>
      <c r="G763" s="4">
        <v>6</v>
      </c>
      <c r="H763" s="8">
        <v>43349.88517361111</v>
      </c>
      <c r="I763" s="11">
        <v>130.042</v>
      </c>
      <c r="J763" s="11">
        <v>34.627000000000002</v>
      </c>
      <c r="K763" s="27">
        <v>0</v>
      </c>
      <c r="L763" s="27">
        <v>0</v>
      </c>
      <c r="M763" s="27">
        <v>0</v>
      </c>
      <c r="N763" s="32">
        <v>26.4</v>
      </c>
      <c r="O763" s="11">
        <v>32.973031698398664</v>
      </c>
      <c r="P763" s="31">
        <v>-0.30389803999999976</v>
      </c>
      <c r="Q763" s="31">
        <v>-2.0901961999999994</v>
      </c>
      <c r="R763" s="1" t="s">
        <v>441</v>
      </c>
      <c r="T763" s="71" t="s">
        <v>626</v>
      </c>
    </row>
    <row r="764" spans="1:20" ht="12.75" customHeight="1">
      <c r="A764" s="1" t="s">
        <v>439</v>
      </c>
      <c r="B764" s="1" t="s">
        <v>128</v>
      </c>
      <c r="C764" s="1" t="s">
        <v>505</v>
      </c>
      <c r="D764" s="5">
        <v>43349.51017361111</v>
      </c>
      <c r="E764" s="1">
        <v>2018</v>
      </c>
      <c r="F764" s="1">
        <v>9</v>
      </c>
      <c r="G764" s="4">
        <v>6</v>
      </c>
      <c r="H764" s="8">
        <v>43349.88517361111</v>
      </c>
      <c r="I764" s="11">
        <v>130.042</v>
      </c>
      <c r="J764" s="11">
        <v>34.627000000000002</v>
      </c>
      <c r="K764" s="27">
        <v>20</v>
      </c>
      <c r="L764" s="27">
        <v>20</v>
      </c>
      <c r="M764" s="9">
        <v>0</v>
      </c>
      <c r="N764" s="12">
        <v>26.49</v>
      </c>
      <c r="O764" s="11">
        <v>32.968219454477151</v>
      </c>
      <c r="P764" s="31">
        <v>-0.30881995999999989</v>
      </c>
      <c r="Q764" s="31">
        <v>-2.0754286999999989</v>
      </c>
      <c r="R764" s="1" t="s">
        <v>441</v>
      </c>
      <c r="T764" s="71" t="s">
        <v>626</v>
      </c>
    </row>
    <row r="765" spans="1:20" ht="12.75" customHeight="1">
      <c r="A765" s="1" t="s">
        <v>439</v>
      </c>
      <c r="B765" s="1" t="s">
        <v>128</v>
      </c>
      <c r="C765" s="1" t="s">
        <v>505</v>
      </c>
      <c r="D765" s="5">
        <v>43349.51017361111</v>
      </c>
      <c r="E765" s="1">
        <v>2018</v>
      </c>
      <c r="F765" s="1">
        <v>9</v>
      </c>
      <c r="G765" s="4">
        <v>6</v>
      </c>
      <c r="H765" s="8">
        <v>43349.88517361111</v>
      </c>
      <c r="I765" s="11">
        <v>130.042</v>
      </c>
      <c r="J765" s="11">
        <v>34.627000000000002</v>
      </c>
      <c r="K765" s="27">
        <v>50</v>
      </c>
      <c r="L765" s="27">
        <v>50</v>
      </c>
      <c r="M765" s="9">
        <v>0</v>
      </c>
      <c r="N765" s="12">
        <v>18.526</v>
      </c>
      <c r="O765" s="11">
        <v>34.201310759832865</v>
      </c>
      <c r="P765" s="31">
        <v>4.3177318823529376E-2</v>
      </c>
      <c r="Q765" s="31">
        <v>0.46746992941176657</v>
      </c>
      <c r="R765" s="1" t="s">
        <v>441</v>
      </c>
      <c r="T765" s="71" t="s">
        <v>626</v>
      </c>
    </row>
    <row r="766" spans="1:20" ht="12.75" customHeight="1">
      <c r="K766" s="27"/>
      <c r="L766" s="27"/>
      <c r="P766" s="31"/>
      <c r="Q766" s="31"/>
      <c r="T766" s="71"/>
    </row>
    <row r="767" spans="1:20" ht="12.75" customHeight="1">
      <c r="A767" s="1" t="s">
        <v>439</v>
      </c>
      <c r="B767" s="1" t="s">
        <v>232</v>
      </c>
      <c r="C767" s="1" t="s">
        <v>505</v>
      </c>
      <c r="D767" s="5">
        <v>43350.377766203703</v>
      </c>
      <c r="E767" s="1">
        <v>2018</v>
      </c>
      <c r="F767" s="1">
        <v>9</v>
      </c>
      <c r="G767" s="4">
        <v>7</v>
      </c>
      <c r="H767" s="8">
        <v>43350.752766203703</v>
      </c>
      <c r="I767" s="11">
        <v>130.077</v>
      </c>
      <c r="J767" s="11">
        <v>34.167999999999999</v>
      </c>
      <c r="K767" s="27">
        <v>0</v>
      </c>
      <c r="L767" s="27">
        <v>0</v>
      </c>
      <c r="M767" s="27">
        <v>0</v>
      </c>
      <c r="N767" s="32">
        <v>26.66</v>
      </c>
      <c r="O767" s="11">
        <v>33.715240925836817</v>
      </c>
      <c r="P767" s="31">
        <v>-0.13733357941176516</v>
      </c>
      <c r="Q767" s="31">
        <v>-0.73534616470588254</v>
      </c>
      <c r="R767" s="1" t="s">
        <v>441</v>
      </c>
      <c r="T767" s="71" t="s">
        <v>626</v>
      </c>
    </row>
    <row r="768" spans="1:20" ht="12.75" customHeight="1">
      <c r="A768" s="1" t="s">
        <v>439</v>
      </c>
      <c r="B768" s="1" t="s">
        <v>232</v>
      </c>
      <c r="C768" s="1" t="s">
        <v>505</v>
      </c>
      <c r="D768" s="5">
        <v>43350.377766203703</v>
      </c>
      <c r="E768" s="1">
        <v>2018</v>
      </c>
      <c r="F768" s="1">
        <v>9</v>
      </c>
      <c r="G768" s="4">
        <v>7</v>
      </c>
      <c r="H768" s="8">
        <v>43350.752766203703</v>
      </c>
      <c r="I768" s="11">
        <v>130.077</v>
      </c>
      <c r="J768" s="11">
        <v>34.167999999999999</v>
      </c>
      <c r="K768" s="27">
        <v>20</v>
      </c>
      <c r="L768" s="27">
        <v>20</v>
      </c>
      <c r="M768" s="9">
        <v>0</v>
      </c>
      <c r="N768" s="12">
        <v>27.061</v>
      </c>
      <c r="O768" s="11">
        <v>33.862345257496202</v>
      </c>
      <c r="P768" s="31">
        <v>-4.3544817647059197E-2</v>
      </c>
      <c r="Q768" s="31">
        <v>-0.39362145882353161</v>
      </c>
      <c r="R768" s="1" t="s">
        <v>441</v>
      </c>
      <c r="T768" s="71" t="s">
        <v>626</v>
      </c>
    </row>
    <row r="769" spans="1:20" ht="12.75" customHeight="1">
      <c r="A769" s="1" t="s">
        <v>439</v>
      </c>
      <c r="B769" s="1" t="s">
        <v>232</v>
      </c>
      <c r="C769" s="1" t="s">
        <v>505</v>
      </c>
      <c r="D769" s="5">
        <v>43350.377766203703</v>
      </c>
      <c r="E769" s="1">
        <v>2018</v>
      </c>
      <c r="F769" s="1">
        <v>9</v>
      </c>
      <c r="G769" s="4">
        <v>7</v>
      </c>
      <c r="H769" s="8">
        <v>43350.752766203703</v>
      </c>
      <c r="I769" s="11">
        <v>130.077</v>
      </c>
      <c r="J769" s="11">
        <v>34.167999999999999</v>
      </c>
      <c r="K769" s="27">
        <v>50</v>
      </c>
      <c r="L769" s="27">
        <v>50</v>
      </c>
      <c r="M769" s="9">
        <v>0</v>
      </c>
      <c r="N769" s="12">
        <v>24.352</v>
      </c>
      <c r="O769" s="11">
        <v>33.60961405728937</v>
      </c>
      <c r="P769" s="31">
        <v>-4.682744588235277E-2</v>
      </c>
      <c r="Q769" s="31">
        <v>-0.47347659294117683</v>
      </c>
      <c r="R769" s="1" t="s">
        <v>441</v>
      </c>
      <c r="T769" s="71" t="s">
        <v>626</v>
      </c>
    </row>
    <row r="770" spans="1:20" ht="12.75" customHeight="1">
      <c r="K770" s="27"/>
      <c r="L770" s="27"/>
      <c r="P770" s="31"/>
      <c r="Q770" s="31"/>
      <c r="T770" s="71"/>
    </row>
    <row r="771" spans="1:20" ht="12.75" customHeight="1">
      <c r="A771" s="1" t="s">
        <v>439</v>
      </c>
      <c r="B771" s="1" t="s">
        <v>234</v>
      </c>
      <c r="C771" s="1" t="s">
        <v>505</v>
      </c>
      <c r="D771" s="5">
        <v>43350.493692129632</v>
      </c>
      <c r="E771" s="1">
        <v>2018</v>
      </c>
      <c r="F771" s="1">
        <v>9</v>
      </c>
      <c r="G771" s="4">
        <v>7</v>
      </c>
      <c r="H771" s="8">
        <v>43350.868692129632</v>
      </c>
      <c r="I771" s="11">
        <v>130.244</v>
      </c>
      <c r="J771" s="11">
        <v>34.296999999999997</v>
      </c>
      <c r="K771" s="27">
        <v>0</v>
      </c>
      <c r="L771" s="27">
        <v>0</v>
      </c>
      <c r="M771" s="27">
        <v>0</v>
      </c>
      <c r="N771" s="32">
        <v>27.1</v>
      </c>
      <c r="O771" s="11">
        <v>33.913638170054178</v>
      </c>
      <c r="P771" s="31">
        <v>-4.1982894117646996E-2</v>
      </c>
      <c r="Q771" s="31">
        <v>-0.39617076705882504</v>
      </c>
      <c r="R771" s="1" t="s">
        <v>441</v>
      </c>
      <c r="T771" s="71" t="s">
        <v>626</v>
      </c>
    </row>
    <row r="772" spans="1:20" ht="12.75" customHeight="1">
      <c r="A772" s="1" t="s">
        <v>439</v>
      </c>
      <c r="B772" s="1" t="s">
        <v>234</v>
      </c>
      <c r="C772" s="1" t="s">
        <v>505</v>
      </c>
      <c r="D772" s="5">
        <v>43350.493692129632</v>
      </c>
      <c r="E772" s="1">
        <v>2018</v>
      </c>
      <c r="F772" s="1">
        <v>9</v>
      </c>
      <c r="G772" s="4">
        <v>7</v>
      </c>
      <c r="H772" s="8">
        <v>43350.868692129632</v>
      </c>
      <c r="I772" s="11">
        <v>130.244</v>
      </c>
      <c r="J772" s="11">
        <v>34.296999999999997</v>
      </c>
      <c r="K772" s="27">
        <v>20</v>
      </c>
      <c r="L772" s="27">
        <v>20</v>
      </c>
      <c r="M772" s="9">
        <v>0</v>
      </c>
      <c r="N772" s="12">
        <v>27.233000000000001</v>
      </c>
      <c r="O772" s="11">
        <v>33.881457450862079</v>
      </c>
      <c r="P772" s="31">
        <v>3.4813117647058966E-2</v>
      </c>
      <c r="Q772" s="31">
        <v>-8.6591874509803546E-2</v>
      </c>
      <c r="R772" s="1" t="s">
        <v>441</v>
      </c>
      <c r="T772" s="71" t="s">
        <v>626</v>
      </c>
    </row>
    <row r="773" spans="1:20" ht="12.75" customHeight="1">
      <c r="A773" s="1" t="s">
        <v>439</v>
      </c>
      <c r="B773" s="1" t="s">
        <v>234</v>
      </c>
      <c r="C773" s="1" t="s">
        <v>505</v>
      </c>
      <c r="D773" s="5">
        <v>43350.493692129632</v>
      </c>
      <c r="E773" s="1">
        <v>2018</v>
      </c>
      <c r="F773" s="1">
        <v>9</v>
      </c>
      <c r="G773" s="4">
        <v>7</v>
      </c>
      <c r="H773" s="8">
        <v>43350.868692129632</v>
      </c>
      <c r="I773" s="11">
        <v>130.244</v>
      </c>
      <c r="J773" s="11">
        <v>34.296999999999997</v>
      </c>
      <c r="K773" s="27">
        <v>50</v>
      </c>
      <c r="L773" s="27">
        <v>50</v>
      </c>
      <c r="M773" s="9">
        <v>0</v>
      </c>
      <c r="N773" s="12">
        <v>23.350999999999999</v>
      </c>
      <c r="O773" s="11">
        <v>33.839950343799032</v>
      </c>
      <c r="P773" s="31">
        <v>2.3364189411764436E-2</v>
      </c>
      <c r="Q773" s="31">
        <v>-0.17887495529411801</v>
      </c>
      <c r="R773" s="1" t="s">
        <v>441</v>
      </c>
      <c r="T773" s="71" t="s">
        <v>626</v>
      </c>
    </row>
    <row r="774" spans="1:20" ht="12.75" customHeight="1">
      <c r="K774" s="27"/>
      <c r="L774" s="27"/>
      <c r="P774" s="31"/>
      <c r="Q774" s="31"/>
      <c r="T774" s="71"/>
    </row>
    <row r="775" spans="1:20" ht="12.75" customHeight="1">
      <c r="A775" s="1" t="s">
        <v>439</v>
      </c>
      <c r="B775" s="1" t="s">
        <v>134</v>
      </c>
      <c r="C775" s="1" t="s">
        <v>505</v>
      </c>
      <c r="D775" s="5">
        <v>43351.349247685182</v>
      </c>
      <c r="E775" s="1">
        <v>2018</v>
      </c>
      <c r="F775" s="1">
        <v>9</v>
      </c>
      <c r="G775" s="4">
        <v>8</v>
      </c>
      <c r="H775" s="8">
        <v>43351.724247685182</v>
      </c>
      <c r="I775" s="11">
        <v>129.81399999999999</v>
      </c>
      <c r="J775" s="11">
        <v>34</v>
      </c>
      <c r="K775" s="27">
        <v>0</v>
      </c>
      <c r="L775" s="27">
        <v>0</v>
      </c>
      <c r="M775" s="27">
        <v>0</v>
      </c>
      <c r="N775" s="32">
        <v>26.9</v>
      </c>
      <c r="O775" s="11">
        <v>33.896263566270797</v>
      </c>
      <c r="P775" s="31">
        <v>-0.10543927352941163</v>
      </c>
      <c r="Q775" s="31">
        <v>-0.45848194509803619</v>
      </c>
      <c r="R775" s="1" t="s">
        <v>441</v>
      </c>
      <c r="T775" s="71" t="s">
        <v>626</v>
      </c>
    </row>
    <row r="776" spans="1:20" ht="12.75" customHeight="1">
      <c r="A776" s="1" t="s">
        <v>439</v>
      </c>
      <c r="B776" s="1" t="s">
        <v>134</v>
      </c>
      <c r="C776" s="1" t="s">
        <v>505</v>
      </c>
      <c r="D776" s="5">
        <v>43351.349247685182</v>
      </c>
      <c r="E776" s="1">
        <v>2018</v>
      </c>
      <c r="F776" s="1">
        <v>9</v>
      </c>
      <c r="G776" s="4">
        <v>8</v>
      </c>
      <c r="H776" s="8">
        <v>43351.724247685182</v>
      </c>
      <c r="I776" s="11">
        <v>129.81399999999999</v>
      </c>
      <c r="J776" s="11">
        <v>34</v>
      </c>
      <c r="K776" s="27">
        <v>20</v>
      </c>
      <c r="L776" s="27">
        <v>20</v>
      </c>
      <c r="M776" s="9">
        <v>0</v>
      </c>
      <c r="N776" s="12">
        <v>27.087</v>
      </c>
      <c r="O776" s="11">
        <v>33.862714999377076</v>
      </c>
      <c r="P776" s="31">
        <v>-9.4536011764706274E-2</v>
      </c>
      <c r="Q776" s="31">
        <v>-0.39533590588235334</v>
      </c>
      <c r="R776" s="1" t="s">
        <v>441</v>
      </c>
      <c r="T776" s="71" t="s">
        <v>626</v>
      </c>
    </row>
    <row r="777" spans="1:20" ht="12.75" customHeight="1">
      <c r="A777" s="1" t="s">
        <v>439</v>
      </c>
      <c r="B777" s="1" t="s">
        <v>134</v>
      </c>
      <c r="C777" s="1" t="s">
        <v>505</v>
      </c>
      <c r="D777" s="5">
        <v>43351.349247685182</v>
      </c>
      <c r="E777" s="1">
        <v>2018</v>
      </c>
      <c r="F777" s="1">
        <v>9</v>
      </c>
      <c r="G777" s="4">
        <v>8</v>
      </c>
      <c r="H777" s="8">
        <v>43351.724247685182</v>
      </c>
      <c r="I777" s="11">
        <v>129.81399999999999</v>
      </c>
      <c r="J777" s="11">
        <v>34</v>
      </c>
      <c r="K777" s="27">
        <v>50</v>
      </c>
      <c r="L777" s="27">
        <v>50</v>
      </c>
      <c r="M777" s="9">
        <v>0</v>
      </c>
      <c r="N777" s="12">
        <v>25.553999999999998</v>
      </c>
      <c r="O777" s="11">
        <v>33.863625504236381</v>
      </c>
      <c r="P777" s="31">
        <v>-4.656166000000006E-2</v>
      </c>
      <c r="Q777" s="31">
        <v>-0.32966015999999954</v>
      </c>
      <c r="R777" s="1" t="s">
        <v>441</v>
      </c>
      <c r="T777" s="71" t="s">
        <v>626</v>
      </c>
    </row>
    <row r="778" spans="1:20" ht="12.75" customHeight="1">
      <c r="K778" s="27"/>
      <c r="L778" s="27"/>
      <c r="P778" s="31"/>
      <c r="Q778" s="31"/>
      <c r="T778" s="71"/>
    </row>
    <row r="779" spans="1:20" ht="12.75" customHeight="1">
      <c r="A779" s="1" t="s">
        <v>439</v>
      </c>
      <c r="B779" s="1" t="s">
        <v>236</v>
      </c>
      <c r="C779" s="1" t="s">
        <v>505</v>
      </c>
      <c r="D779" s="5">
        <v>43351.498356481483</v>
      </c>
      <c r="E779" s="1">
        <v>2018</v>
      </c>
      <c r="F779" s="1">
        <v>9</v>
      </c>
      <c r="G779" s="4">
        <v>8</v>
      </c>
      <c r="H779" s="8">
        <v>43351.873356481483</v>
      </c>
      <c r="I779" s="11">
        <v>129.69</v>
      </c>
      <c r="J779" s="11">
        <v>34.165999999999997</v>
      </c>
      <c r="K779" s="27">
        <v>0</v>
      </c>
      <c r="L779" s="27">
        <v>0</v>
      </c>
      <c r="M779" s="27">
        <v>0</v>
      </c>
      <c r="N779" s="32">
        <v>24.8</v>
      </c>
      <c r="O779" s="11">
        <v>32.814149125372744</v>
      </c>
      <c r="P779" s="31">
        <v>-0.33527358823529441</v>
      </c>
      <c r="Q779" s="31">
        <v>-2.0465734274509799</v>
      </c>
      <c r="R779" s="1" t="s">
        <v>441</v>
      </c>
      <c r="T779" s="71" t="s">
        <v>626</v>
      </c>
    </row>
    <row r="780" spans="1:20" ht="12.75" customHeight="1">
      <c r="A780" s="1" t="s">
        <v>439</v>
      </c>
      <c r="B780" s="1" t="s">
        <v>236</v>
      </c>
      <c r="C780" s="1" t="s">
        <v>505</v>
      </c>
      <c r="D780" s="5">
        <v>43351.498356481483</v>
      </c>
      <c r="E780" s="1">
        <v>2018</v>
      </c>
      <c r="F780" s="1">
        <v>9</v>
      </c>
      <c r="G780" s="4">
        <v>8</v>
      </c>
      <c r="H780" s="8">
        <v>43351.873356481483</v>
      </c>
      <c r="I780" s="11">
        <v>129.69</v>
      </c>
      <c r="J780" s="11">
        <v>34.165999999999997</v>
      </c>
      <c r="K780" s="27">
        <v>20</v>
      </c>
      <c r="L780" s="27">
        <v>20</v>
      </c>
      <c r="M780" s="9">
        <v>0</v>
      </c>
      <c r="N780" s="12">
        <v>23.75</v>
      </c>
      <c r="O780" s="11">
        <v>33.133632946489115</v>
      </c>
      <c r="P780" s="31">
        <v>-0.17160183647058869</v>
      </c>
      <c r="Q780" s="31">
        <v>-1.4094139482352936</v>
      </c>
      <c r="R780" s="1" t="s">
        <v>441</v>
      </c>
      <c r="T780" s="71" t="s">
        <v>626</v>
      </c>
    </row>
    <row r="781" spans="1:20" ht="12.75" customHeight="1">
      <c r="A781" s="1" t="s">
        <v>439</v>
      </c>
      <c r="B781" s="1" t="s">
        <v>236</v>
      </c>
      <c r="C781" s="1" t="s">
        <v>505</v>
      </c>
      <c r="D781" s="5">
        <v>43351.498356481483</v>
      </c>
      <c r="E781" s="1">
        <v>2018</v>
      </c>
      <c r="F781" s="1">
        <v>9</v>
      </c>
      <c r="G781" s="4">
        <v>8</v>
      </c>
      <c r="H781" s="8">
        <v>43351.873356481483</v>
      </c>
      <c r="I781" s="11">
        <v>129.69</v>
      </c>
      <c r="J781" s="11">
        <v>34.165999999999997</v>
      </c>
      <c r="K781" s="27">
        <v>50</v>
      </c>
      <c r="L781" s="27">
        <v>50</v>
      </c>
      <c r="M781" s="9">
        <v>0</v>
      </c>
      <c r="N781" s="12">
        <v>20.68</v>
      </c>
      <c r="O781" s="11">
        <v>33.688684926320761</v>
      </c>
      <c r="P781" s="31">
        <v>-9.0254447058826237E-3</v>
      </c>
      <c r="Q781" s="31">
        <v>-0.34335420235294123</v>
      </c>
      <c r="R781" s="1" t="s">
        <v>441</v>
      </c>
      <c r="T781" s="71" t="s">
        <v>626</v>
      </c>
    </row>
    <row r="782" spans="1:20" ht="12.75" customHeight="1">
      <c r="K782" s="27"/>
      <c r="L782" s="27"/>
      <c r="P782" s="31"/>
      <c r="Q782" s="31"/>
      <c r="T782" s="71"/>
    </row>
    <row r="783" spans="1:20" ht="12.75" customHeight="1">
      <c r="A783" s="1" t="s">
        <v>439</v>
      </c>
      <c r="B783" s="1" t="s">
        <v>136</v>
      </c>
      <c r="C783" s="1" t="s">
        <v>505</v>
      </c>
      <c r="D783" s="5">
        <v>43352.417222222219</v>
      </c>
      <c r="E783" s="1">
        <v>2018</v>
      </c>
      <c r="F783" s="1">
        <v>9</v>
      </c>
      <c r="G783" s="4">
        <v>9</v>
      </c>
      <c r="H783" s="8">
        <v>43352.792222222219</v>
      </c>
      <c r="I783" s="11">
        <v>128.35</v>
      </c>
      <c r="J783" s="11">
        <v>33.383000000000003</v>
      </c>
      <c r="K783" s="27">
        <v>0</v>
      </c>
      <c r="L783" s="27">
        <v>0</v>
      </c>
      <c r="M783" s="27">
        <v>0</v>
      </c>
      <c r="N783" s="32">
        <v>27</v>
      </c>
      <c r="O783" s="11">
        <v>33.862963404051783</v>
      </c>
      <c r="P783" s="31">
        <v>-4.0875452941176782E-2</v>
      </c>
      <c r="Q783" s="31">
        <v>-0.34588197647058649</v>
      </c>
      <c r="R783" s="1" t="s">
        <v>441</v>
      </c>
      <c r="T783" s="71" t="s">
        <v>626</v>
      </c>
    </row>
    <row r="784" spans="1:20" ht="12.75" customHeight="1">
      <c r="A784" s="1" t="s">
        <v>439</v>
      </c>
      <c r="B784" s="1" t="s">
        <v>136</v>
      </c>
      <c r="C784" s="1" t="s">
        <v>505</v>
      </c>
      <c r="D784" s="5">
        <v>43352.417222222219</v>
      </c>
      <c r="E784" s="1">
        <v>2018</v>
      </c>
      <c r="F784" s="1">
        <v>9</v>
      </c>
      <c r="G784" s="4">
        <v>9</v>
      </c>
      <c r="H784" s="8">
        <v>43352.792222222219</v>
      </c>
      <c r="I784" s="11">
        <v>128.35</v>
      </c>
      <c r="J784" s="11">
        <v>33.383000000000003</v>
      </c>
      <c r="K784" s="27">
        <v>20</v>
      </c>
      <c r="L784" s="27">
        <v>20</v>
      </c>
      <c r="M784" s="9">
        <v>0</v>
      </c>
      <c r="N784" s="12">
        <v>27.221</v>
      </c>
      <c r="O784" s="11">
        <v>33.876428730617796</v>
      </c>
      <c r="P784" s="31">
        <v>-5.1502861176470738E-2</v>
      </c>
      <c r="Q784" s="31">
        <v>-0.48580239058823693</v>
      </c>
      <c r="R784" s="1" t="s">
        <v>441</v>
      </c>
      <c r="T784" s="71" t="s">
        <v>626</v>
      </c>
    </row>
    <row r="785" spans="1:20" ht="12.75" customHeight="1">
      <c r="A785" s="1" t="s">
        <v>439</v>
      </c>
      <c r="B785" s="1" t="s">
        <v>136</v>
      </c>
      <c r="C785" s="1" t="s">
        <v>505</v>
      </c>
      <c r="D785" s="5">
        <v>43352.417222222219</v>
      </c>
      <c r="E785" s="1">
        <v>2018</v>
      </c>
      <c r="F785" s="1">
        <v>9</v>
      </c>
      <c r="G785" s="4">
        <v>9</v>
      </c>
      <c r="H785" s="8">
        <v>43352.792222222219</v>
      </c>
      <c r="I785" s="11">
        <v>128.35</v>
      </c>
      <c r="J785" s="11">
        <v>33.383000000000003</v>
      </c>
      <c r="K785" s="27">
        <v>50</v>
      </c>
      <c r="L785" s="27">
        <v>50</v>
      </c>
      <c r="M785" s="9">
        <v>0</v>
      </c>
      <c r="N785" s="12">
        <v>25.776</v>
      </c>
      <c r="O785" s="11">
        <v>34.141383129880197</v>
      </c>
      <c r="P785" s="31">
        <v>2.7356969411765242E-2</v>
      </c>
      <c r="Q785" s="31">
        <v>7.8536752941177568E-2</v>
      </c>
      <c r="R785" s="1" t="s">
        <v>441</v>
      </c>
      <c r="T785" s="71" t="s">
        <v>626</v>
      </c>
    </row>
    <row r="786" spans="1:20" ht="12.75" customHeight="1">
      <c r="K786" s="27"/>
      <c r="L786" s="27"/>
      <c r="P786" s="31"/>
      <c r="Q786" s="31"/>
      <c r="T786" s="71"/>
    </row>
    <row r="787" spans="1:20" ht="12.75" customHeight="1">
      <c r="A787" s="1" t="s">
        <v>439</v>
      </c>
      <c r="B787" s="1" t="s">
        <v>238</v>
      </c>
      <c r="C787" s="1" t="s">
        <v>505</v>
      </c>
      <c r="D787" s="5">
        <v>43352.527372685188</v>
      </c>
      <c r="E787" s="1">
        <v>2018</v>
      </c>
      <c r="F787" s="1">
        <v>9</v>
      </c>
      <c r="G787" s="4">
        <v>9</v>
      </c>
      <c r="H787" s="8">
        <v>43352.902372685188</v>
      </c>
      <c r="I787" s="11">
        <v>128.35499999999999</v>
      </c>
      <c r="J787" s="11">
        <v>33.215000000000003</v>
      </c>
      <c r="K787" s="27">
        <v>0</v>
      </c>
      <c r="L787" s="27">
        <v>0</v>
      </c>
      <c r="M787" s="27">
        <v>0</v>
      </c>
      <c r="N787" s="32">
        <v>27.1</v>
      </c>
      <c r="O787" s="11">
        <v>33.985031101809412</v>
      </c>
      <c r="P787" s="31">
        <v>-2.9344444705881489E-2</v>
      </c>
      <c r="Q787" s="31">
        <v>-0.34305317647058864</v>
      </c>
      <c r="R787" s="1" t="s">
        <v>441</v>
      </c>
      <c r="T787" s="71" t="s">
        <v>626</v>
      </c>
    </row>
    <row r="788" spans="1:20" ht="12.75" customHeight="1">
      <c r="A788" s="1" t="s">
        <v>439</v>
      </c>
      <c r="B788" s="1" t="s">
        <v>238</v>
      </c>
      <c r="C788" s="1" t="s">
        <v>505</v>
      </c>
      <c r="D788" s="5">
        <v>43352.527372685188</v>
      </c>
      <c r="E788" s="1">
        <v>2018</v>
      </c>
      <c r="F788" s="1">
        <v>9</v>
      </c>
      <c r="G788" s="4">
        <v>9</v>
      </c>
      <c r="H788" s="8">
        <v>43352.902372685188</v>
      </c>
      <c r="I788" s="11">
        <v>128.35499999999999</v>
      </c>
      <c r="J788" s="11">
        <v>33.215000000000003</v>
      </c>
      <c r="K788" s="27">
        <v>20</v>
      </c>
      <c r="L788" s="27">
        <v>20</v>
      </c>
      <c r="M788" s="9">
        <v>0</v>
      </c>
      <c r="N788" s="12">
        <v>27.491</v>
      </c>
      <c r="O788" s="11">
        <v>33.96187413129185</v>
      </c>
      <c r="P788" s="31">
        <v>-1.8639998823529513E-2</v>
      </c>
      <c r="Q788" s="31">
        <v>-0.41917550588235386</v>
      </c>
      <c r="R788" s="1" t="s">
        <v>441</v>
      </c>
      <c r="T788" s="71" t="s">
        <v>626</v>
      </c>
    </row>
    <row r="789" spans="1:20" ht="12.75" customHeight="1">
      <c r="A789" s="1" t="s">
        <v>439</v>
      </c>
      <c r="B789" s="1" t="s">
        <v>238</v>
      </c>
      <c r="C789" s="1" t="s">
        <v>505</v>
      </c>
      <c r="D789" s="5">
        <v>43352.527372685188</v>
      </c>
      <c r="E789" s="1">
        <v>2018</v>
      </c>
      <c r="F789" s="1">
        <v>9</v>
      </c>
      <c r="G789" s="4">
        <v>9</v>
      </c>
      <c r="H789" s="8">
        <v>43352.902372685188</v>
      </c>
      <c r="I789" s="11">
        <v>128.35499999999999</v>
      </c>
      <c r="J789" s="11">
        <v>33.215000000000003</v>
      </c>
      <c r="K789" s="27">
        <v>50</v>
      </c>
      <c r="L789" s="27">
        <v>50</v>
      </c>
      <c r="M789" s="9">
        <v>0</v>
      </c>
      <c r="N789" s="12">
        <v>25.963000000000001</v>
      </c>
      <c r="O789" s="11">
        <v>34.167325539038792</v>
      </c>
      <c r="P789" s="31">
        <v>2.7083107058823774E-2</v>
      </c>
      <c r="Q789" s="31">
        <v>0.10863216470588455</v>
      </c>
      <c r="R789" s="1" t="s">
        <v>441</v>
      </c>
      <c r="T789" s="71" t="s">
        <v>626</v>
      </c>
    </row>
    <row r="790" spans="1:20" ht="12.75" customHeight="1">
      <c r="K790" s="27"/>
      <c r="L790" s="27"/>
      <c r="P790" s="31"/>
      <c r="Q790" s="31"/>
      <c r="T790" s="71"/>
    </row>
    <row r="791" spans="1:20" ht="12.75" customHeight="1">
      <c r="A791" s="1" t="s">
        <v>439</v>
      </c>
      <c r="B791" s="1" t="s">
        <v>239</v>
      </c>
      <c r="C791" s="1" t="s">
        <v>505</v>
      </c>
      <c r="D791" s="5">
        <v>43358.365127314813</v>
      </c>
      <c r="E791" s="1">
        <v>2018</v>
      </c>
      <c r="F791" s="1">
        <v>9</v>
      </c>
      <c r="G791" s="4">
        <v>15</v>
      </c>
      <c r="H791" s="8">
        <v>43358.740127314813</v>
      </c>
      <c r="I791" s="11">
        <v>128.70599999999999</v>
      </c>
      <c r="J791" s="11">
        <v>33.460999999999999</v>
      </c>
      <c r="K791" s="27">
        <v>0</v>
      </c>
      <c r="L791" s="27">
        <v>0</v>
      </c>
      <c r="M791" s="27">
        <v>0</v>
      </c>
      <c r="N791" s="32">
        <v>27</v>
      </c>
      <c r="O791" s="11">
        <v>34.071237838110676</v>
      </c>
      <c r="P791" s="31">
        <v>-7.5545270588235347E-3</v>
      </c>
      <c r="Q791" s="31">
        <v>-0.21377576470588089</v>
      </c>
      <c r="R791" s="1" t="s">
        <v>441</v>
      </c>
      <c r="T791" s="71" t="s">
        <v>626</v>
      </c>
    </row>
    <row r="792" spans="1:20" ht="12.75" customHeight="1">
      <c r="A792" s="1" t="s">
        <v>439</v>
      </c>
      <c r="B792" s="1" t="s">
        <v>239</v>
      </c>
      <c r="C792" s="1" t="s">
        <v>505</v>
      </c>
      <c r="D792" s="5">
        <v>43358.365127314813</v>
      </c>
      <c r="E792" s="1">
        <v>2018</v>
      </c>
      <c r="F792" s="1">
        <v>9</v>
      </c>
      <c r="G792" s="4">
        <v>15</v>
      </c>
      <c r="H792" s="8">
        <v>43358.740127314813</v>
      </c>
      <c r="I792" s="11">
        <v>128.70599999999999</v>
      </c>
      <c r="J792" s="11">
        <v>33.460999999999999</v>
      </c>
      <c r="K792" s="27">
        <v>20</v>
      </c>
      <c r="L792" s="27">
        <v>20</v>
      </c>
      <c r="M792" s="9">
        <v>0</v>
      </c>
      <c r="N792" s="12">
        <v>26.902999999999999</v>
      </c>
      <c r="O792" s="11">
        <v>34.043891542184575</v>
      </c>
      <c r="P792" s="31">
        <v>-2.0128381176470089E-2</v>
      </c>
      <c r="Q792" s="31">
        <v>-0.23529889411764771</v>
      </c>
      <c r="R792" s="1" t="s">
        <v>441</v>
      </c>
      <c r="T792" s="71" t="s">
        <v>626</v>
      </c>
    </row>
    <row r="793" spans="1:20" ht="12.75" customHeight="1">
      <c r="A793" s="1" t="s">
        <v>439</v>
      </c>
      <c r="B793" s="1" t="s">
        <v>239</v>
      </c>
      <c r="C793" s="1" t="s">
        <v>505</v>
      </c>
      <c r="D793" s="5">
        <v>43358.365127314813</v>
      </c>
      <c r="E793" s="1">
        <v>2018</v>
      </c>
      <c r="F793" s="1">
        <v>9</v>
      </c>
      <c r="G793" s="4">
        <v>15</v>
      </c>
      <c r="H793" s="8">
        <v>43358.740127314813</v>
      </c>
      <c r="I793" s="11">
        <v>128.70599999999999</v>
      </c>
      <c r="J793" s="11">
        <v>33.460999999999999</v>
      </c>
      <c r="K793" s="27">
        <v>50</v>
      </c>
      <c r="L793" s="27">
        <v>50</v>
      </c>
      <c r="M793" s="9">
        <v>0</v>
      </c>
      <c r="N793" s="12">
        <v>26.388999999999999</v>
      </c>
      <c r="O793" s="11">
        <v>34.061026003222452</v>
      </c>
      <c r="P793" s="31">
        <v>-5.1745529411784119E-4</v>
      </c>
      <c r="Q793" s="31">
        <v>-8.9292823529412146E-2</v>
      </c>
      <c r="R793" s="1" t="s">
        <v>441</v>
      </c>
      <c r="T793" s="71" t="s">
        <v>626</v>
      </c>
    </row>
    <row r="794" spans="1:20" ht="12.75" customHeight="1">
      <c r="K794" s="27"/>
      <c r="L794" s="27"/>
      <c r="P794" s="31"/>
      <c r="Q794" s="31"/>
      <c r="T794" s="71"/>
    </row>
    <row r="795" spans="1:20" ht="12.75" customHeight="1">
      <c r="A795" s="1" t="s">
        <v>439</v>
      </c>
      <c r="B795" s="1" t="s">
        <v>240</v>
      </c>
      <c r="C795" s="1" t="s">
        <v>505</v>
      </c>
      <c r="D795" s="5">
        <v>43358.483657407407</v>
      </c>
      <c r="E795" s="1">
        <v>2018</v>
      </c>
      <c r="F795" s="1">
        <v>9</v>
      </c>
      <c r="G795" s="4">
        <v>15</v>
      </c>
      <c r="H795" s="8">
        <v>43358.858657407407</v>
      </c>
      <c r="I795" s="11">
        <v>128.70599999999999</v>
      </c>
      <c r="J795" s="11">
        <v>33.631</v>
      </c>
      <c r="K795" s="27">
        <v>0</v>
      </c>
      <c r="L795" s="27">
        <v>0</v>
      </c>
      <c r="M795" s="27">
        <v>0</v>
      </c>
      <c r="N795" s="32">
        <v>26.6</v>
      </c>
      <c r="O795" s="11">
        <v>34.045959657400658</v>
      </c>
      <c r="P795" s="31">
        <v>-0.10263239176470607</v>
      </c>
      <c r="Q795" s="31">
        <v>-0.21761134117646996</v>
      </c>
      <c r="R795" s="1" t="s">
        <v>441</v>
      </c>
      <c r="T795" s="71" t="s">
        <v>626</v>
      </c>
    </row>
    <row r="796" spans="1:20" ht="12.75" customHeight="1">
      <c r="A796" s="1" t="s">
        <v>439</v>
      </c>
      <c r="B796" s="1" t="s">
        <v>240</v>
      </c>
      <c r="C796" s="1" t="s">
        <v>505</v>
      </c>
      <c r="D796" s="5">
        <v>43358.483657407407</v>
      </c>
      <c r="E796" s="1">
        <v>2018</v>
      </c>
      <c r="F796" s="1">
        <v>9</v>
      </c>
      <c r="G796" s="4">
        <v>15</v>
      </c>
      <c r="H796" s="8">
        <v>43358.858657407407</v>
      </c>
      <c r="I796" s="11">
        <v>128.70599999999999</v>
      </c>
      <c r="J796" s="11">
        <v>33.631</v>
      </c>
      <c r="K796" s="27">
        <v>20</v>
      </c>
      <c r="L796" s="27">
        <v>20</v>
      </c>
      <c r="M796" s="9">
        <v>0</v>
      </c>
      <c r="N796" s="12">
        <v>26.762</v>
      </c>
      <c r="O796" s="11">
        <v>34.017898170269525</v>
      </c>
      <c r="P796" s="31">
        <v>-7.7151285882352871E-2</v>
      </c>
      <c r="Q796" s="31">
        <v>-0.36247367058823521</v>
      </c>
      <c r="R796" s="1" t="s">
        <v>441</v>
      </c>
      <c r="T796" s="71" t="s">
        <v>626</v>
      </c>
    </row>
    <row r="797" spans="1:20" ht="12.75" customHeight="1">
      <c r="A797" s="1" t="s">
        <v>439</v>
      </c>
      <c r="B797" s="1" t="s">
        <v>240</v>
      </c>
      <c r="C797" s="1" t="s">
        <v>505</v>
      </c>
      <c r="D797" s="5">
        <v>43358.483657407407</v>
      </c>
      <c r="E797" s="1">
        <v>2018</v>
      </c>
      <c r="F797" s="1">
        <v>9</v>
      </c>
      <c r="G797" s="4">
        <v>15</v>
      </c>
      <c r="H797" s="8">
        <v>43358.858657407407</v>
      </c>
      <c r="I797" s="11">
        <v>128.70599999999999</v>
      </c>
      <c r="J797" s="11">
        <v>33.631</v>
      </c>
      <c r="K797" s="27">
        <v>50</v>
      </c>
      <c r="L797" s="27">
        <v>50</v>
      </c>
      <c r="M797" s="9">
        <v>0</v>
      </c>
      <c r="N797" s="12">
        <v>26.308</v>
      </c>
      <c r="O797" s="11">
        <v>34.184251544861077</v>
      </c>
      <c r="P797" s="31">
        <v>1.1889700000000225E-2</v>
      </c>
      <c r="Q797" s="31">
        <v>0.11898360000000174</v>
      </c>
      <c r="R797" s="1" t="s">
        <v>441</v>
      </c>
      <c r="T797" s="71" t="s">
        <v>626</v>
      </c>
    </row>
    <row r="798" spans="1:20" ht="12.75" customHeight="1">
      <c r="K798" s="27"/>
      <c r="L798" s="27"/>
      <c r="P798" s="31"/>
      <c r="Q798" s="31"/>
      <c r="T798" s="71"/>
    </row>
    <row r="799" spans="1:20" ht="12.75" customHeight="1">
      <c r="A799" s="1" t="s">
        <v>439</v>
      </c>
      <c r="B799" s="1" t="s">
        <v>241</v>
      </c>
      <c r="C799" s="1" t="s">
        <v>505</v>
      </c>
      <c r="D799" s="5">
        <v>43359.367280092592</v>
      </c>
      <c r="E799" s="1">
        <v>2018</v>
      </c>
      <c r="F799" s="1">
        <v>9</v>
      </c>
      <c r="G799" s="4">
        <v>16</v>
      </c>
      <c r="H799" s="8">
        <v>43359.742280092592</v>
      </c>
      <c r="I799" s="11">
        <v>128.25</v>
      </c>
      <c r="J799" s="11">
        <v>32.883000000000003</v>
      </c>
      <c r="K799" s="27">
        <v>0</v>
      </c>
      <c r="L799" s="27">
        <v>0</v>
      </c>
      <c r="M799" s="27">
        <v>0</v>
      </c>
      <c r="N799" s="32">
        <v>27.4</v>
      </c>
      <c r="O799" s="11">
        <v>33.86768205800945</v>
      </c>
      <c r="P799" s="31">
        <v>-2.8010854117646922E-2</v>
      </c>
      <c r="Q799" s="31">
        <v>-0.41435792941176253</v>
      </c>
      <c r="R799" s="1" t="s">
        <v>441</v>
      </c>
      <c r="T799" s="71" t="s">
        <v>626</v>
      </c>
    </row>
    <row r="800" spans="1:20" ht="12.75" customHeight="1">
      <c r="A800" s="1" t="s">
        <v>439</v>
      </c>
      <c r="B800" s="1" t="s">
        <v>241</v>
      </c>
      <c r="C800" s="1" t="s">
        <v>505</v>
      </c>
      <c r="D800" s="5">
        <v>43359.367280092592</v>
      </c>
      <c r="E800" s="1">
        <v>2018</v>
      </c>
      <c r="F800" s="1">
        <v>9</v>
      </c>
      <c r="G800" s="4">
        <v>16</v>
      </c>
      <c r="H800" s="8">
        <v>43359.742280092592</v>
      </c>
      <c r="I800" s="11">
        <v>128.25</v>
      </c>
      <c r="J800" s="11">
        <v>32.883000000000003</v>
      </c>
      <c r="K800" s="27">
        <v>20</v>
      </c>
      <c r="L800" s="27">
        <v>20</v>
      </c>
      <c r="M800" s="9">
        <v>0</v>
      </c>
      <c r="N800" s="12">
        <v>26.649000000000001</v>
      </c>
      <c r="O800" s="11">
        <v>33.925727818019148</v>
      </c>
      <c r="P800" s="31">
        <v>-7.1374470588235095E-2</v>
      </c>
      <c r="Q800" s="31">
        <v>-0.41374408352941217</v>
      </c>
      <c r="R800" s="1" t="s">
        <v>441</v>
      </c>
      <c r="T800" s="71" t="s">
        <v>626</v>
      </c>
    </row>
    <row r="801" spans="1:20" ht="12.75" customHeight="1">
      <c r="A801" s="1" t="s">
        <v>439</v>
      </c>
      <c r="B801" s="1" t="s">
        <v>241</v>
      </c>
      <c r="C801" s="1" t="s">
        <v>505</v>
      </c>
      <c r="D801" s="5">
        <v>43359.367280092592</v>
      </c>
      <c r="E801" s="1">
        <v>2018</v>
      </c>
      <c r="F801" s="1">
        <v>9</v>
      </c>
      <c r="G801" s="4">
        <v>16</v>
      </c>
      <c r="H801" s="8">
        <v>43359.742280092592</v>
      </c>
      <c r="I801" s="11">
        <v>128.25</v>
      </c>
      <c r="J801" s="11">
        <v>32.883000000000003</v>
      </c>
      <c r="K801" s="27">
        <v>50</v>
      </c>
      <c r="L801" s="27">
        <v>50</v>
      </c>
      <c r="M801" s="9">
        <v>0</v>
      </c>
      <c r="N801" s="12">
        <v>26.529</v>
      </c>
      <c r="O801" s="11">
        <v>34.0529184146611</v>
      </c>
      <c r="P801" s="31">
        <v>-5.2269368235294156E-2</v>
      </c>
      <c r="Q801" s="31">
        <v>-0.31871906941176675</v>
      </c>
      <c r="R801" s="1" t="s">
        <v>441</v>
      </c>
      <c r="T801" s="71" t="s">
        <v>626</v>
      </c>
    </row>
    <row r="802" spans="1:20" ht="12.75" customHeight="1">
      <c r="K802" s="27"/>
      <c r="L802" s="27"/>
      <c r="P802" s="31"/>
      <c r="Q802" s="31"/>
      <c r="T802" s="71"/>
    </row>
    <row r="803" spans="1:20" ht="12.75" customHeight="1">
      <c r="A803" s="1" t="s">
        <v>439</v>
      </c>
      <c r="B803" s="1" t="s">
        <v>443</v>
      </c>
      <c r="C803" s="1" t="s">
        <v>505</v>
      </c>
      <c r="D803" s="5">
        <v>43359.474641203706</v>
      </c>
      <c r="E803" s="1">
        <v>2018</v>
      </c>
      <c r="F803" s="1">
        <v>9</v>
      </c>
      <c r="G803" s="4">
        <v>16</v>
      </c>
      <c r="H803" s="8">
        <v>43359.849641203706</v>
      </c>
      <c r="I803" s="11">
        <v>128.249</v>
      </c>
      <c r="J803" s="11">
        <v>32.716999999999999</v>
      </c>
      <c r="K803" s="27">
        <v>0</v>
      </c>
      <c r="L803" s="27">
        <v>0</v>
      </c>
      <c r="M803" s="27">
        <v>0</v>
      </c>
      <c r="N803" s="32">
        <v>27</v>
      </c>
      <c r="O803" s="11">
        <v>34.055238751598303</v>
      </c>
      <c r="P803" s="31">
        <v>4.5598583529411485E-2</v>
      </c>
      <c r="Q803" s="31">
        <v>-0.15604571764705888</v>
      </c>
      <c r="R803" s="1" t="s">
        <v>441</v>
      </c>
      <c r="T803" s="71" t="s">
        <v>626</v>
      </c>
    </row>
    <row r="804" spans="1:20" ht="12.75" customHeight="1">
      <c r="A804" s="1" t="s">
        <v>439</v>
      </c>
      <c r="B804" s="1" t="s">
        <v>443</v>
      </c>
      <c r="C804" s="1" t="s">
        <v>505</v>
      </c>
      <c r="D804" s="5">
        <v>43359.474641203706</v>
      </c>
      <c r="E804" s="1">
        <v>2018</v>
      </c>
      <c r="F804" s="1">
        <v>9</v>
      </c>
      <c r="G804" s="4">
        <v>16</v>
      </c>
      <c r="H804" s="8">
        <v>43359.849641203706</v>
      </c>
      <c r="I804" s="11">
        <v>128.249</v>
      </c>
      <c r="J804" s="11">
        <v>32.716999999999999</v>
      </c>
      <c r="K804" s="27">
        <v>20</v>
      </c>
      <c r="L804" s="27">
        <v>20</v>
      </c>
      <c r="M804" s="9">
        <v>0</v>
      </c>
      <c r="N804" s="12">
        <v>26.701000000000001</v>
      </c>
      <c r="O804" s="11">
        <v>34.025947887430661</v>
      </c>
      <c r="P804" s="31">
        <v>-2.5677070588234763E-2</v>
      </c>
      <c r="Q804" s="31">
        <v>-0.24905844705882352</v>
      </c>
      <c r="R804" s="1" t="s">
        <v>441</v>
      </c>
      <c r="T804" s="71" t="s">
        <v>626</v>
      </c>
    </row>
    <row r="805" spans="1:20" ht="12.75" customHeight="1">
      <c r="A805" s="1" t="s">
        <v>439</v>
      </c>
      <c r="B805" s="1" t="s">
        <v>443</v>
      </c>
      <c r="C805" s="1" t="s">
        <v>505</v>
      </c>
      <c r="D805" s="5">
        <v>43359.474641203706</v>
      </c>
      <c r="E805" s="1">
        <v>2018</v>
      </c>
      <c r="F805" s="1">
        <v>9</v>
      </c>
      <c r="G805" s="4">
        <v>16</v>
      </c>
      <c r="H805" s="8">
        <v>43359.849641203706</v>
      </c>
      <c r="I805" s="11">
        <v>128.249</v>
      </c>
      <c r="J805" s="11">
        <v>32.716999999999999</v>
      </c>
      <c r="K805" s="27">
        <v>50</v>
      </c>
      <c r="L805" s="27">
        <v>50</v>
      </c>
      <c r="M805" s="9">
        <v>0</v>
      </c>
      <c r="N805" s="12">
        <v>25.157</v>
      </c>
      <c r="O805" s="11">
        <v>34.121809724591898</v>
      </c>
      <c r="P805" s="31">
        <v>5.956239529411711E-2</v>
      </c>
      <c r="Q805" s="31">
        <v>0.26112594588235183</v>
      </c>
      <c r="R805" s="1" t="s">
        <v>441</v>
      </c>
      <c r="T805" s="71" t="s">
        <v>626</v>
      </c>
    </row>
    <row r="806" spans="1:20" ht="12.75" customHeight="1">
      <c r="K806" s="27"/>
      <c r="L806" s="27"/>
      <c r="P806" s="31"/>
      <c r="Q806" s="31"/>
      <c r="T806" s="71"/>
    </row>
    <row r="807" spans="1:20" ht="12.75" customHeight="1">
      <c r="A807" s="1" t="s">
        <v>439</v>
      </c>
      <c r="B807" s="1" t="s">
        <v>243</v>
      </c>
      <c r="C807" s="1" t="s">
        <v>505</v>
      </c>
      <c r="D807" s="5">
        <v>43360.363969907405</v>
      </c>
      <c r="E807" s="1">
        <v>2018</v>
      </c>
      <c r="F807" s="1">
        <v>9</v>
      </c>
      <c r="G807" s="4">
        <v>17</v>
      </c>
      <c r="H807" s="8">
        <v>43360.738969907405</v>
      </c>
      <c r="I807" s="11">
        <v>128.00299999999999</v>
      </c>
      <c r="J807" s="11">
        <v>32.218000000000004</v>
      </c>
      <c r="K807" s="27">
        <v>0</v>
      </c>
      <c r="L807" s="27">
        <v>0</v>
      </c>
      <c r="M807" s="27">
        <v>0</v>
      </c>
      <c r="N807" s="32">
        <v>28.2</v>
      </c>
      <c r="O807" s="11">
        <v>33.949784766685667</v>
      </c>
      <c r="P807" s="31">
        <v>-4.2561637647059225E-2</v>
      </c>
      <c r="Q807" s="31">
        <v>-0.5044135929411766</v>
      </c>
      <c r="R807" s="1" t="s">
        <v>441</v>
      </c>
      <c r="T807" s="71" t="s">
        <v>626</v>
      </c>
    </row>
    <row r="808" spans="1:20" ht="12.75" customHeight="1">
      <c r="A808" s="1" t="s">
        <v>439</v>
      </c>
      <c r="B808" s="1" t="s">
        <v>243</v>
      </c>
      <c r="C808" s="1" t="s">
        <v>505</v>
      </c>
      <c r="D808" s="5">
        <v>43360.363969907405</v>
      </c>
      <c r="E808" s="1">
        <v>2018</v>
      </c>
      <c r="F808" s="1">
        <v>9</v>
      </c>
      <c r="G808" s="4">
        <v>17</v>
      </c>
      <c r="H808" s="8">
        <v>43360.738969907405</v>
      </c>
      <c r="I808" s="11">
        <v>128.00299999999999</v>
      </c>
      <c r="J808" s="11">
        <v>32.218000000000004</v>
      </c>
      <c r="K808" s="27">
        <v>20</v>
      </c>
      <c r="L808" s="27">
        <v>20</v>
      </c>
      <c r="M808" s="9">
        <v>0</v>
      </c>
      <c r="N808" s="12">
        <v>28.276</v>
      </c>
      <c r="O808" s="11">
        <v>34.014199298001472</v>
      </c>
      <c r="P808" s="31">
        <v>-5.81557505882353E-2</v>
      </c>
      <c r="Q808" s="31">
        <v>-0.4626638317647096</v>
      </c>
      <c r="R808" s="1" t="s">
        <v>441</v>
      </c>
      <c r="T808" s="71" t="s">
        <v>626</v>
      </c>
    </row>
    <row r="809" spans="1:20" ht="12.75" customHeight="1">
      <c r="A809" s="1" t="s">
        <v>439</v>
      </c>
      <c r="B809" s="1" t="s">
        <v>243</v>
      </c>
      <c r="C809" s="1" t="s">
        <v>505</v>
      </c>
      <c r="D809" s="5">
        <v>43360.363969907405</v>
      </c>
      <c r="E809" s="1">
        <v>2018</v>
      </c>
      <c r="F809" s="1">
        <v>9</v>
      </c>
      <c r="G809" s="4">
        <v>17</v>
      </c>
      <c r="H809" s="8">
        <v>43360.738969907405</v>
      </c>
      <c r="I809" s="11">
        <v>128.00299999999999</v>
      </c>
      <c r="J809" s="11">
        <v>32.218000000000004</v>
      </c>
      <c r="K809" s="27">
        <v>50</v>
      </c>
      <c r="L809" s="27">
        <v>50</v>
      </c>
      <c r="M809" s="9">
        <v>0</v>
      </c>
      <c r="N809" s="12">
        <v>26.19</v>
      </c>
      <c r="O809" s="11">
        <v>34.177097896284742</v>
      </c>
      <c r="P809" s="31">
        <v>6.4616376470588044E-2</v>
      </c>
      <c r="Q809" s="31">
        <v>0.30889118941176363</v>
      </c>
      <c r="R809" s="1" t="s">
        <v>441</v>
      </c>
      <c r="T809" s="71" t="s">
        <v>626</v>
      </c>
    </row>
    <row r="810" spans="1:20" ht="12.75" customHeight="1">
      <c r="K810" s="27"/>
      <c r="L810" s="27"/>
      <c r="P810" s="31"/>
      <c r="Q810" s="31"/>
      <c r="T810" s="71"/>
    </row>
    <row r="811" spans="1:20" ht="12.75" customHeight="1">
      <c r="A811" s="1" t="s">
        <v>439</v>
      </c>
      <c r="B811" s="1" t="s">
        <v>245</v>
      </c>
      <c r="C811" s="1" t="s">
        <v>505</v>
      </c>
      <c r="D811" s="5">
        <v>43360.572881944441</v>
      </c>
      <c r="E811" s="1">
        <v>2018</v>
      </c>
      <c r="F811" s="1">
        <v>9</v>
      </c>
      <c r="G811" s="4">
        <v>17</v>
      </c>
      <c r="H811" s="8">
        <v>43360.947881944441</v>
      </c>
      <c r="I811" s="11">
        <v>128.05199999999999</v>
      </c>
      <c r="J811" s="11">
        <v>32.052</v>
      </c>
      <c r="K811" s="27">
        <v>0</v>
      </c>
      <c r="L811" s="27">
        <v>0</v>
      </c>
      <c r="M811" s="27">
        <v>0</v>
      </c>
      <c r="N811" s="32">
        <v>28.1</v>
      </c>
      <c r="O811" s="11">
        <v>33.979985904204824</v>
      </c>
      <c r="P811" s="31">
        <v>-1.9977364705887624E-3</v>
      </c>
      <c r="Q811" s="31">
        <v>-0.41416978941176552</v>
      </c>
      <c r="R811" s="1" t="s">
        <v>441</v>
      </c>
      <c r="T811" s="71" t="s">
        <v>626</v>
      </c>
    </row>
    <row r="812" spans="1:20" ht="12.75" customHeight="1">
      <c r="A812" s="1" t="s">
        <v>439</v>
      </c>
      <c r="B812" s="1" t="s">
        <v>245</v>
      </c>
      <c r="C812" s="1" t="s">
        <v>505</v>
      </c>
      <c r="D812" s="5">
        <v>43360.572881944441</v>
      </c>
      <c r="E812" s="1">
        <v>2018</v>
      </c>
      <c r="F812" s="1">
        <v>9</v>
      </c>
      <c r="G812" s="4">
        <v>17</v>
      </c>
      <c r="H812" s="8">
        <v>43360.947881944441</v>
      </c>
      <c r="I812" s="11">
        <v>128.05199999999999</v>
      </c>
      <c r="J812" s="11">
        <v>32.052</v>
      </c>
      <c r="K812" s="27">
        <v>20</v>
      </c>
      <c r="L812" s="27">
        <v>20</v>
      </c>
      <c r="M812" s="9">
        <v>0</v>
      </c>
      <c r="N812" s="12">
        <v>28.052</v>
      </c>
      <c r="O812" s="11">
        <v>33.957756151003402</v>
      </c>
      <c r="P812" s="31">
        <v>-5.3470494117648926E-3</v>
      </c>
      <c r="Q812" s="31">
        <v>-0.34508428823529513</v>
      </c>
      <c r="R812" s="1" t="s">
        <v>441</v>
      </c>
      <c r="T812" s="71" t="s">
        <v>626</v>
      </c>
    </row>
    <row r="813" spans="1:20" ht="12.75" customHeight="1">
      <c r="A813" s="1" t="s">
        <v>439</v>
      </c>
      <c r="B813" s="1" t="s">
        <v>245</v>
      </c>
      <c r="C813" s="1" t="s">
        <v>505</v>
      </c>
      <c r="D813" s="5">
        <v>43360.572881944441</v>
      </c>
      <c r="E813" s="1">
        <v>2018</v>
      </c>
      <c r="F813" s="1">
        <v>9</v>
      </c>
      <c r="G813" s="4">
        <v>17</v>
      </c>
      <c r="H813" s="8">
        <v>43360.947881944441</v>
      </c>
      <c r="I813" s="11">
        <v>128.05199999999999</v>
      </c>
      <c r="J813" s="11">
        <v>32.052</v>
      </c>
      <c r="K813" s="27">
        <v>50</v>
      </c>
      <c r="L813" s="27">
        <v>50</v>
      </c>
      <c r="M813" s="9">
        <v>0</v>
      </c>
      <c r="N813" s="12">
        <v>25.841999999999999</v>
      </c>
      <c r="O813" s="11">
        <v>34.212102127370706</v>
      </c>
      <c r="P813" s="31">
        <v>9.069059764705889E-2</v>
      </c>
      <c r="Q813" s="31">
        <v>0.44200687294117635</v>
      </c>
      <c r="R813" s="1" t="s">
        <v>441</v>
      </c>
      <c r="T813" s="71" t="s">
        <v>626</v>
      </c>
    </row>
    <row r="814" spans="1:20" ht="12.75" customHeight="1">
      <c r="K814" s="27"/>
      <c r="L814" s="27"/>
      <c r="P814" s="31"/>
      <c r="Q814" s="31"/>
      <c r="T814" s="71"/>
    </row>
    <row r="815" spans="1:20" ht="12.75" customHeight="1">
      <c r="A815" s="1" t="s">
        <v>439</v>
      </c>
      <c r="B815" s="1" t="s">
        <v>444</v>
      </c>
      <c r="C815" s="1" t="s">
        <v>505</v>
      </c>
      <c r="D815" s="5">
        <v>43361.350381944445</v>
      </c>
      <c r="E815" s="1">
        <v>2018</v>
      </c>
      <c r="F815" s="1">
        <v>9</v>
      </c>
      <c r="G815" s="4">
        <v>18</v>
      </c>
      <c r="H815" s="8">
        <v>43361.725381944445</v>
      </c>
      <c r="I815" s="11">
        <v>128.417</v>
      </c>
      <c r="J815" s="11">
        <v>31.56</v>
      </c>
      <c r="K815" s="27">
        <v>0</v>
      </c>
      <c r="L815" s="27">
        <v>0</v>
      </c>
      <c r="M815" s="27">
        <v>0</v>
      </c>
      <c r="N815" s="32">
        <v>28.2</v>
      </c>
      <c r="O815" s="11">
        <v>34.107417927651916</v>
      </c>
      <c r="P815" s="31">
        <v>-9.6447341176477686E-3</v>
      </c>
      <c r="Q815" s="31">
        <v>-9.5823522352942447E-2</v>
      </c>
      <c r="R815" s="1" t="s">
        <v>441</v>
      </c>
      <c r="T815" s="71" t="s">
        <v>626</v>
      </c>
    </row>
    <row r="816" spans="1:20" ht="12.75" customHeight="1">
      <c r="A816" s="1" t="s">
        <v>439</v>
      </c>
      <c r="B816" s="1" t="s">
        <v>444</v>
      </c>
      <c r="C816" s="1" t="s">
        <v>505</v>
      </c>
      <c r="D816" s="5">
        <v>43361.350381944445</v>
      </c>
      <c r="E816" s="1">
        <v>2018</v>
      </c>
      <c r="F816" s="1">
        <v>9</v>
      </c>
      <c r="G816" s="4">
        <v>18</v>
      </c>
      <c r="H816" s="8">
        <v>43361.725381944445</v>
      </c>
      <c r="I816" s="11">
        <v>128.417</v>
      </c>
      <c r="J816" s="11">
        <v>31.56</v>
      </c>
      <c r="K816" s="27">
        <v>20</v>
      </c>
      <c r="L816" s="27">
        <v>20</v>
      </c>
      <c r="M816" s="9">
        <v>0</v>
      </c>
      <c r="N816" s="12">
        <v>27.702000000000002</v>
      </c>
      <c r="O816" s="11">
        <v>34.106668213852089</v>
      </c>
      <c r="P816" s="31">
        <v>2.8638272941176268E-2</v>
      </c>
      <c r="Q816" s="31">
        <v>0.10994067882352887</v>
      </c>
      <c r="R816" s="1" t="s">
        <v>441</v>
      </c>
      <c r="T816" s="71" t="s">
        <v>626</v>
      </c>
    </row>
    <row r="817" spans="1:20" ht="12.75" customHeight="1">
      <c r="A817" s="1" t="s">
        <v>439</v>
      </c>
      <c r="B817" s="1" t="s">
        <v>444</v>
      </c>
      <c r="C817" s="1" t="s">
        <v>505</v>
      </c>
      <c r="D817" s="5">
        <v>43361.350381944445</v>
      </c>
      <c r="E817" s="1">
        <v>2018</v>
      </c>
      <c r="F817" s="1">
        <v>9</v>
      </c>
      <c r="G817" s="4">
        <v>18</v>
      </c>
      <c r="H817" s="8">
        <v>43361.725381944445</v>
      </c>
      <c r="I817" s="11">
        <v>128.417</v>
      </c>
      <c r="J817" s="11">
        <v>31.56</v>
      </c>
      <c r="K817" s="27">
        <v>50</v>
      </c>
      <c r="L817" s="27">
        <v>50</v>
      </c>
      <c r="M817" s="9">
        <v>0</v>
      </c>
      <c r="N817" s="12">
        <v>25.577999999999999</v>
      </c>
      <c r="O817" s="11">
        <v>34.166489429630538</v>
      </c>
      <c r="P817" s="31">
        <v>1.0595199999999583E-2</v>
      </c>
      <c r="Q817" s="31">
        <v>0.11432503999999888</v>
      </c>
      <c r="R817" s="1" t="s">
        <v>441</v>
      </c>
      <c r="T817" s="71" t="s">
        <v>626</v>
      </c>
    </row>
    <row r="818" spans="1:20" ht="12.75" customHeight="1">
      <c r="K818" s="27"/>
      <c r="L818" s="27"/>
      <c r="P818" s="31"/>
      <c r="Q818" s="31"/>
      <c r="T818" s="71"/>
    </row>
    <row r="819" spans="1:20" ht="12.75" customHeight="1">
      <c r="A819" s="1" t="s">
        <v>439</v>
      </c>
      <c r="B819" s="1" t="s">
        <v>445</v>
      </c>
      <c r="C819" s="1" t="s">
        <v>505</v>
      </c>
      <c r="D819" s="5">
        <v>43361.475740740738</v>
      </c>
      <c r="E819" s="1">
        <v>2018</v>
      </c>
      <c r="F819" s="1">
        <v>9</v>
      </c>
      <c r="G819" s="4">
        <v>18</v>
      </c>
      <c r="H819" s="8">
        <v>43361.850740740738</v>
      </c>
      <c r="I819" s="11">
        <v>128.5</v>
      </c>
      <c r="J819" s="11">
        <v>31.552</v>
      </c>
      <c r="K819" s="27">
        <v>0</v>
      </c>
      <c r="L819" s="27">
        <v>0</v>
      </c>
      <c r="M819" s="27">
        <v>0</v>
      </c>
      <c r="N819" s="32">
        <v>28</v>
      </c>
      <c r="O819" s="11">
        <v>34.108566056237485</v>
      </c>
      <c r="P819" s="31">
        <v>-5.0915294117626075E-4</v>
      </c>
      <c r="Q819" s="31">
        <v>-6.2414458823530694E-2</v>
      </c>
      <c r="R819" s="1" t="s">
        <v>441</v>
      </c>
      <c r="T819" s="71" t="s">
        <v>626</v>
      </c>
    </row>
    <row r="820" spans="1:20" ht="12.75" customHeight="1">
      <c r="A820" s="1" t="s">
        <v>439</v>
      </c>
      <c r="B820" s="1" t="s">
        <v>445</v>
      </c>
      <c r="C820" s="1" t="s">
        <v>505</v>
      </c>
      <c r="D820" s="5">
        <v>43361.475740740738</v>
      </c>
      <c r="E820" s="1">
        <v>2018</v>
      </c>
      <c r="F820" s="1">
        <v>9</v>
      </c>
      <c r="G820" s="4">
        <v>18</v>
      </c>
      <c r="H820" s="8">
        <v>43361.850740740738</v>
      </c>
      <c r="I820" s="11">
        <v>128.5</v>
      </c>
      <c r="J820" s="11">
        <v>31.552</v>
      </c>
      <c r="K820" s="27">
        <v>20</v>
      </c>
      <c r="L820" s="27">
        <v>20</v>
      </c>
      <c r="M820" s="9">
        <v>0</v>
      </c>
      <c r="N820" s="12">
        <v>27.724</v>
      </c>
      <c r="O820" s="11">
        <v>34.078941418430382</v>
      </c>
      <c r="P820" s="31">
        <v>-1.0797185882353233E-2</v>
      </c>
      <c r="Q820" s="31">
        <v>-0.13040097764706005</v>
      </c>
      <c r="R820" s="1" t="s">
        <v>441</v>
      </c>
      <c r="T820" s="71" t="s">
        <v>626</v>
      </c>
    </row>
    <row r="821" spans="1:20" ht="12.75" customHeight="1">
      <c r="A821" s="1" t="s">
        <v>439</v>
      </c>
      <c r="B821" s="1" t="s">
        <v>445</v>
      </c>
      <c r="C821" s="1" t="s">
        <v>505</v>
      </c>
      <c r="D821" s="5">
        <v>43361.475740740738</v>
      </c>
      <c r="E821" s="1">
        <v>2018</v>
      </c>
      <c r="F821" s="1">
        <v>9</v>
      </c>
      <c r="G821" s="4">
        <v>18</v>
      </c>
      <c r="H821" s="8">
        <v>43361.850740740738</v>
      </c>
      <c r="I821" s="11">
        <v>128.5</v>
      </c>
      <c r="J821" s="11">
        <v>31.552</v>
      </c>
      <c r="K821" s="27">
        <v>50</v>
      </c>
      <c r="L821" s="27">
        <v>50</v>
      </c>
      <c r="M821" s="9">
        <v>0</v>
      </c>
      <c r="N821" s="12">
        <v>26.635999999999999</v>
      </c>
      <c r="O821" s="11">
        <v>34.153457302245251</v>
      </c>
      <c r="P821" s="31">
        <v>1.3910117647064624E-4</v>
      </c>
      <c r="Q821" s="31">
        <v>-0.14469931647058765</v>
      </c>
      <c r="R821" s="1" t="s">
        <v>441</v>
      </c>
      <c r="T821" s="71" t="s">
        <v>626</v>
      </c>
    </row>
    <row r="822" spans="1:20" ht="12.75" customHeight="1">
      <c r="K822" s="27"/>
      <c r="L822" s="27"/>
      <c r="P822" s="31"/>
      <c r="Q822" s="31"/>
      <c r="T822" s="71"/>
    </row>
    <row r="823" spans="1:20" ht="12.75" customHeight="1">
      <c r="A823" s="1" t="s">
        <v>439</v>
      </c>
      <c r="B823" s="1" t="s">
        <v>446</v>
      </c>
      <c r="C823" s="1" t="s">
        <v>505</v>
      </c>
      <c r="D823" s="5">
        <v>43362.367164351854</v>
      </c>
      <c r="E823" s="1">
        <v>2018</v>
      </c>
      <c r="F823" s="1">
        <v>9</v>
      </c>
      <c r="G823" s="4">
        <v>19</v>
      </c>
      <c r="H823" s="8">
        <v>43362.742164351854</v>
      </c>
      <c r="I823" s="11">
        <v>129.64400000000001</v>
      </c>
      <c r="J823" s="11">
        <v>32.167000000000002</v>
      </c>
      <c r="K823" s="27">
        <v>0</v>
      </c>
      <c r="L823" s="27">
        <v>0</v>
      </c>
      <c r="M823" s="27">
        <v>0</v>
      </c>
      <c r="N823" s="32">
        <v>27.3</v>
      </c>
      <c r="O823" s="11">
        <v>33.717323872737737</v>
      </c>
      <c r="P823" s="31">
        <v>-0.1107603717647061</v>
      </c>
      <c r="Q823" s="31">
        <v>-0.78358981529411942</v>
      </c>
      <c r="R823" s="1" t="s">
        <v>441</v>
      </c>
      <c r="T823" s="71" t="s">
        <v>626</v>
      </c>
    </row>
    <row r="824" spans="1:20" ht="12.75" customHeight="1">
      <c r="A824" s="1" t="s">
        <v>439</v>
      </c>
      <c r="B824" s="1" t="s">
        <v>446</v>
      </c>
      <c r="C824" s="1" t="s">
        <v>505</v>
      </c>
      <c r="D824" s="5">
        <v>43362.367164351854</v>
      </c>
      <c r="E824" s="1">
        <v>2018</v>
      </c>
      <c r="F824" s="1">
        <v>9</v>
      </c>
      <c r="G824" s="4">
        <v>19</v>
      </c>
      <c r="H824" s="8">
        <v>43362.742164351854</v>
      </c>
      <c r="I824" s="11">
        <v>129.64400000000001</v>
      </c>
      <c r="J824" s="11">
        <v>32.167000000000002</v>
      </c>
      <c r="K824" s="27">
        <v>20</v>
      </c>
      <c r="L824" s="27">
        <v>20</v>
      </c>
      <c r="M824" s="9">
        <v>0</v>
      </c>
      <c r="N824" s="12">
        <v>27.164000000000001</v>
      </c>
      <c r="O824" s="11">
        <v>33.893183660259318</v>
      </c>
      <c r="P824" s="31">
        <v>4.5628352941169403E-3</v>
      </c>
      <c r="Q824" s="31">
        <v>-0.38470549411764665</v>
      </c>
      <c r="R824" s="1" t="s">
        <v>441</v>
      </c>
      <c r="T824" s="71" t="s">
        <v>626</v>
      </c>
    </row>
    <row r="825" spans="1:20" ht="12.75" customHeight="1">
      <c r="A825" s="1" t="s">
        <v>439</v>
      </c>
      <c r="B825" s="1" t="s">
        <v>446</v>
      </c>
      <c r="C825" s="1" t="s">
        <v>505</v>
      </c>
      <c r="D825" s="5">
        <v>43362.367164351854</v>
      </c>
      <c r="E825" s="1">
        <v>2018</v>
      </c>
      <c r="F825" s="1">
        <v>9</v>
      </c>
      <c r="G825" s="4">
        <v>19</v>
      </c>
      <c r="H825" s="8">
        <v>43362.742164351854</v>
      </c>
      <c r="I825" s="11">
        <v>129.64400000000001</v>
      </c>
      <c r="J825" s="11">
        <v>32.167000000000002</v>
      </c>
      <c r="K825" s="27">
        <v>50</v>
      </c>
      <c r="L825" s="27">
        <v>50</v>
      </c>
      <c r="M825" s="9">
        <v>0</v>
      </c>
      <c r="N825" s="12">
        <v>24.841999999999999</v>
      </c>
      <c r="O825" s="11">
        <v>33.998880914657782</v>
      </c>
      <c r="P825" s="31">
        <v>3.4447764705882733E-3</v>
      </c>
      <c r="Q825" s="31">
        <v>-0.25476552941176323</v>
      </c>
      <c r="R825" s="1" t="s">
        <v>441</v>
      </c>
      <c r="T825" s="71" t="s">
        <v>626</v>
      </c>
    </row>
    <row r="826" spans="1:20" ht="12.75" customHeight="1">
      <c r="K826" s="27"/>
      <c r="L826" s="27"/>
      <c r="P826" s="31"/>
      <c r="Q826" s="31"/>
      <c r="T826" s="71"/>
    </row>
    <row r="827" spans="1:20" ht="12.75" customHeight="1">
      <c r="A827" s="1" t="s">
        <v>439</v>
      </c>
      <c r="B827" s="1" t="s">
        <v>447</v>
      </c>
      <c r="C827" s="1" t="s">
        <v>505</v>
      </c>
      <c r="D827" s="5">
        <v>43362.502546296295</v>
      </c>
      <c r="E827" s="1">
        <v>2018</v>
      </c>
      <c r="F827" s="1">
        <v>9</v>
      </c>
      <c r="G827" s="4">
        <v>19</v>
      </c>
      <c r="H827" s="8">
        <v>43362.877546296295</v>
      </c>
      <c r="I827" s="11">
        <v>129.583</v>
      </c>
      <c r="J827" s="11">
        <v>32.040999999999997</v>
      </c>
      <c r="K827" s="27">
        <v>0</v>
      </c>
      <c r="L827" s="27">
        <v>0</v>
      </c>
      <c r="M827" s="27">
        <v>0</v>
      </c>
      <c r="N827" s="32">
        <v>27.6</v>
      </c>
      <c r="O827" s="11">
        <v>33.960556592145743</v>
      </c>
      <c r="P827" s="31">
        <v>-6.7584388235294224E-2</v>
      </c>
      <c r="Q827" s="31">
        <v>-0.54976723529411764</v>
      </c>
      <c r="R827" s="1" t="s">
        <v>441</v>
      </c>
      <c r="T827" s="71" t="s">
        <v>626</v>
      </c>
    </row>
    <row r="828" spans="1:20" ht="12.75" customHeight="1">
      <c r="A828" s="1" t="s">
        <v>439</v>
      </c>
      <c r="B828" s="1" t="s">
        <v>447</v>
      </c>
      <c r="C828" s="1" t="s">
        <v>505</v>
      </c>
      <c r="D828" s="5">
        <v>43362.502546296295</v>
      </c>
      <c r="E828" s="1">
        <v>2018</v>
      </c>
      <c r="F828" s="1">
        <v>9</v>
      </c>
      <c r="G828" s="4">
        <v>19</v>
      </c>
      <c r="H828" s="8">
        <v>43362.877546296295</v>
      </c>
      <c r="I828" s="11">
        <v>129.583</v>
      </c>
      <c r="J828" s="11">
        <v>32.040999999999997</v>
      </c>
      <c r="K828" s="27">
        <v>20</v>
      </c>
      <c r="L828" s="27">
        <v>20</v>
      </c>
      <c r="M828" s="9">
        <v>0</v>
      </c>
      <c r="N828" s="12">
        <v>27.632999999999999</v>
      </c>
      <c r="O828" s="11">
        <v>34.013841257908702</v>
      </c>
      <c r="P828" s="31">
        <v>-3.6867452941176548E-2</v>
      </c>
      <c r="Q828" s="31">
        <v>-0.41865794117646971</v>
      </c>
      <c r="R828" s="1" t="s">
        <v>441</v>
      </c>
      <c r="T828" s="71" t="s">
        <v>626</v>
      </c>
    </row>
    <row r="829" spans="1:20" ht="12.75" customHeight="1">
      <c r="A829" s="1" t="s">
        <v>439</v>
      </c>
      <c r="B829" s="1" t="s">
        <v>447</v>
      </c>
      <c r="C829" s="1" t="s">
        <v>505</v>
      </c>
      <c r="D829" s="5">
        <v>43362.502546296295</v>
      </c>
      <c r="E829" s="1">
        <v>2018</v>
      </c>
      <c r="F829" s="1">
        <v>9</v>
      </c>
      <c r="G829" s="4">
        <v>19</v>
      </c>
      <c r="H829" s="8">
        <v>43362.877546296295</v>
      </c>
      <c r="I829" s="11">
        <v>129.583</v>
      </c>
      <c r="J829" s="11">
        <v>32.040999999999997</v>
      </c>
      <c r="K829" s="27">
        <v>50</v>
      </c>
      <c r="L829" s="27">
        <v>50</v>
      </c>
      <c r="M829" s="9">
        <v>0</v>
      </c>
      <c r="N829" s="12">
        <v>25.030999999999999</v>
      </c>
      <c r="O829" s="11">
        <v>34.072234072480782</v>
      </c>
      <c r="P829" s="31">
        <v>-1.9404017647059124E-2</v>
      </c>
      <c r="Q829" s="31">
        <v>-2.3568647058821668E-2</v>
      </c>
      <c r="R829" s="1" t="s">
        <v>441</v>
      </c>
      <c r="T829" s="71" t="s">
        <v>626</v>
      </c>
    </row>
    <row r="830" spans="1:20" ht="12.75" customHeight="1">
      <c r="K830" s="27"/>
      <c r="L830" s="27"/>
      <c r="P830" s="31"/>
      <c r="Q830" s="31"/>
      <c r="T830" s="71"/>
    </row>
    <row r="831" spans="1:20" ht="12.75" customHeight="1">
      <c r="A831" s="1" t="s">
        <v>469</v>
      </c>
      <c r="B831" s="1" t="s">
        <v>471</v>
      </c>
      <c r="C831" s="1" t="s">
        <v>511</v>
      </c>
      <c r="D831" s="5">
        <v>43526</v>
      </c>
      <c r="E831" s="1">
        <v>2019</v>
      </c>
      <c r="F831" s="1">
        <v>3</v>
      </c>
      <c r="G831" s="4">
        <v>2</v>
      </c>
      <c r="H831" s="8">
        <v>0.50138888888888888</v>
      </c>
      <c r="I831" s="11">
        <f>126+1509/6000</f>
        <v>126.25149999999999</v>
      </c>
      <c r="J831" s="11">
        <f>27+1505/6000</f>
        <v>27.250833333333333</v>
      </c>
      <c r="K831" s="9">
        <v>0</v>
      </c>
      <c r="L831" s="9">
        <v>0</v>
      </c>
      <c r="M831" s="27">
        <v>0</v>
      </c>
      <c r="N831" s="12">
        <v>25.05</v>
      </c>
      <c r="O831" s="11">
        <v>34.608035293117673</v>
      </c>
      <c r="P831" s="33">
        <v>0.18867267647058883</v>
      </c>
      <c r="Q831" s="33">
        <v>1.2590798294117622</v>
      </c>
      <c r="R831" s="1" t="s">
        <v>280</v>
      </c>
      <c r="S831" s="1">
        <v>1</v>
      </c>
      <c r="T831" s="71" t="s">
        <v>626</v>
      </c>
    </row>
    <row r="832" spans="1:20" ht="12.75" customHeight="1">
      <c r="A832" s="1" t="s">
        <v>469</v>
      </c>
      <c r="B832" s="1" t="s">
        <v>471</v>
      </c>
      <c r="C832" s="1" t="s">
        <v>511</v>
      </c>
      <c r="D832" s="5">
        <v>43526</v>
      </c>
      <c r="E832" s="1">
        <v>2019</v>
      </c>
      <c r="F832" s="1">
        <v>3</v>
      </c>
      <c r="G832" s="4">
        <v>2</v>
      </c>
      <c r="H832" s="8">
        <v>0.50138888888888888</v>
      </c>
      <c r="I832" s="11">
        <f t="shared" ref="I832:I842" si="83">126+1509/6000</f>
        <v>126.25149999999999</v>
      </c>
      <c r="J832" s="11">
        <f t="shared" ref="J832:J842" si="84">27+1505/6000</f>
        <v>27.250833333333333</v>
      </c>
      <c r="K832" s="9">
        <v>9.7629999999999999</v>
      </c>
      <c r="L832" s="9">
        <v>10</v>
      </c>
      <c r="M832" s="9">
        <v>0</v>
      </c>
      <c r="N832" s="12">
        <v>25.046099999999999</v>
      </c>
      <c r="O832" s="11">
        <v>34.578099999999999</v>
      </c>
      <c r="P832" s="33">
        <v>0.20818147058823477</v>
      </c>
      <c r="Q832" s="33">
        <v>1.4284620950980411</v>
      </c>
      <c r="R832" s="1" t="s">
        <v>280</v>
      </c>
      <c r="S832" s="1">
        <v>1</v>
      </c>
      <c r="T832" s="71" t="s">
        <v>626</v>
      </c>
    </row>
    <row r="833" spans="1:20" ht="12.75" customHeight="1">
      <c r="A833" s="1" t="s">
        <v>469</v>
      </c>
      <c r="B833" s="1" t="s">
        <v>471</v>
      </c>
      <c r="C833" s="1" t="s">
        <v>511</v>
      </c>
      <c r="D833" s="5">
        <v>43526</v>
      </c>
      <c r="E833" s="1">
        <v>2019</v>
      </c>
      <c r="F833" s="1">
        <v>3</v>
      </c>
      <c r="G833" s="4">
        <v>2</v>
      </c>
      <c r="H833" s="8">
        <v>0.50138888888888888</v>
      </c>
      <c r="I833" s="11">
        <f t="shared" si="83"/>
        <v>126.25149999999999</v>
      </c>
      <c r="J833" s="11">
        <f t="shared" si="84"/>
        <v>27.250833333333333</v>
      </c>
      <c r="K833" s="9">
        <v>20.045999999999999</v>
      </c>
      <c r="L833" s="9">
        <v>20</v>
      </c>
      <c r="M833" s="9">
        <v>0</v>
      </c>
      <c r="N833" s="12">
        <v>25.038799999999998</v>
      </c>
      <c r="O833" s="11">
        <v>34.576799999999999</v>
      </c>
      <c r="P833" s="33">
        <v>0.12748647941176472</v>
      </c>
      <c r="Q833" s="33">
        <v>1.2866405882352936</v>
      </c>
      <c r="R833" s="1" t="s">
        <v>280</v>
      </c>
      <c r="S833" s="1">
        <v>1</v>
      </c>
      <c r="T833" s="71" t="s">
        <v>626</v>
      </c>
    </row>
    <row r="834" spans="1:20" ht="12.75" customHeight="1">
      <c r="A834" s="1" t="s">
        <v>469</v>
      </c>
      <c r="B834" s="1" t="s">
        <v>471</v>
      </c>
      <c r="C834" s="1" t="s">
        <v>511</v>
      </c>
      <c r="D834" s="5">
        <v>43526</v>
      </c>
      <c r="E834" s="1">
        <v>2019</v>
      </c>
      <c r="F834" s="1">
        <v>3</v>
      </c>
      <c r="G834" s="4">
        <v>2</v>
      </c>
      <c r="H834" s="8">
        <v>0.50138888888888888</v>
      </c>
      <c r="I834" s="11">
        <f t="shared" si="83"/>
        <v>126.25149999999999</v>
      </c>
      <c r="J834" s="11">
        <f t="shared" si="84"/>
        <v>27.250833333333333</v>
      </c>
      <c r="K834" s="9">
        <v>29.995999999999999</v>
      </c>
      <c r="L834" s="9">
        <v>30</v>
      </c>
      <c r="M834" s="9">
        <v>0</v>
      </c>
      <c r="N834" s="12">
        <v>25.035799999999998</v>
      </c>
      <c r="O834" s="11">
        <v>34.577300000000001</v>
      </c>
      <c r="P834" s="33">
        <v>0.17335551529411752</v>
      </c>
      <c r="Q834" s="33">
        <v>1.1719287058823511</v>
      </c>
      <c r="R834" s="1" t="s">
        <v>280</v>
      </c>
      <c r="S834" s="1">
        <v>1</v>
      </c>
      <c r="T834" s="71" t="s">
        <v>626</v>
      </c>
    </row>
    <row r="835" spans="1:20" ht="12.75" customHeight="1">
      <c r="A835" s="1" t="s">
        <v>469</v>
      </c>
      <c r="B835" s="1" t="s">
        <v>471</v>
      </c>
      <c r="C835" s="1" t="s">
        <v>511</v>
      </c>
      <c r="D835" s="5">
        <v>43526</v>
      </c>
      <c r="E835" s="1">
        <v>2019</v>
      </c>
      <c r="F835" s="1">
        <v>3</v>
      </c>
      <c r="G835" s="4">
        <v>2</v>
      </c>
      <c r="H835" s="8">
        <v>0.50138888888888888</v>
      </c>
      <c r="I835" s="11">
        <f t="shared" si="83"/>
        <v>126.25149999999999</v>
      </c>
      <c r="J835" s="11">
        <f t="shared" si="84"/>
        <v>27.250833333333333</v>
      </c>
      <c r="K835" s="9">
        <v>50.02</v>
      </c>
      <c r="L835" s="9">
        <v>50</v>
      </c>
      <c r="M835" s="9">
        <v>0</v>
      </c>
      <c r="N835" s="12">
        <v>24.865600000000001</v>
      </c>
      <c r="O835" s="11">
        <v>34.586799999999997</v>
      </c>
      <c r="P835" s="33">
        <v>0.14289654117647066</v>
      </c>
      <c r="Q835" s="33">
        <v>1.2403668235294116</v>
      </c>
      <c r="R835" s="1" t="s">
        <v>280</v>
      </c>
      <c r="S835" s="1">
        <v>1</v>
      </c>
      <c r="T835" s="71" t="s">
        <v>626</v>
      </c>
    </row>
    <row r="836" spans="1:20" ht="12.75" customHeight="1">
      <c r="A836" s="1" t="s">
        <v>469</v>
      </c>
      <c r="B836" s="1" t="s">
        <v>471</v>
      </c>
      <c r="C836" s="1" t="s">
        <v>511</v>
      </c>
      <c r="D836" s="5">
        <v>43526</v>
      </c>
      <c r="E836" s="1">
        <v>2019</v>
      </c>
      <c r="F836" s="1">
        <v>3</v>
      </c>
      <c r="G836" s="4">
        <v>2</v>
      </c>
      <c r="H836" s="8">
        <v>0.50138888888888888</v>
      </c>
      <c r="I836" s="11">
        <f t="shared" si="83"/>
        <v>126.25149999999999</v>
      </c>
      <c r="J836" s="11">
        <f t="shared" si="84"/>
        <v>27.250833333333333</v>
      </c>
      <c r="K836" s="9">
        <v>74.302000000000007</v>
      </c>
      <c r="L836" s="9">
        <v>75</v>
      </c>
      <c r="M836" s="9">
        <v>0</v>
      </c>
      <c r="N836" s="12">
        <v>24.586300000000001</v>
      </c>
      <c r="O836" s="11">
        <v>34.602499999999999</v>
      </c>
      <c r="P836" s="33">
        <v>0.36280592705882375</v>
      </c>
      <c r="Q836" s="33">
        <v>1.5095769411764728</v>
      </c>
      <c r="R836" s="1" t="s">
        <v>280</v>
      </c>
      <c r="S836" s="1">
        <v>1</v>
      </c>
      <c r="T836" s="71" t="s">
        <v>626</v>
      </c>
    </row>
    <row r="837" spans="1:20" ht="12.75" customHeight="1">
      <c r="A837" s="1" t="s">
        <v>469</v>
      </c>
      <c r="B837" s="1" t="s">
        <v>471</v>
      </c>
      <c r="C837" s="1" t="s">
        <v>511</v>
      </c>
      <c r="D837" s="5">
        <v>43526</v>
      </c>
      <c r="E837" s="1">
        <v>2019</v>
      </c>
      <c r="F837" s="1">
        <v>3</v>
      </c>
      <c r="G837" s="4">
        <v>2</v>
      </c>
      <c r="H837" s="8">
        <v>0.50138888888888888</v>
      </c>
      <c r="I837" s="11">
        <f t="shared" si="83"/>
        <v>126.25149999999999</v>
      </c>
      <c r="J837" s="11">
        <f t="shared" si="84"/>
        <v>27.250833333333333</v>
      </c>
      <c r="K837" s="9">
        <v>99.444000000000003</v>
      </c>
      <c r="L837" s="9">
        <v>100</v>
      </c>
      <c r="M837" s="9">
        <v>0</v>
      </c>
      <c r="N837" s="12">
        <v>23.961500000000001</v>
      </c>
      <c r="O837" s="11">
        <v>34.674799999999998</v>
      </c>
      <c r="P837" s="33">
        <v>0.24576903294117569</v>
      </c>
      <c r="Q837" s="33">
        <v>1.693845058823527</v>
      </c>
      <c r="R837" s="1" t="s">
        <v>280</v>
      </c>
      <c r="S837" s="1">
        <v>1</v>
      </c>
      <c r="T837" s="71" t="s">
        <v>626</v>
      </c>
    </row>
    <row r="838" spans="1:20" ht="12.75" customHeight="1">
      <c r="A838" s="1" t="s">
        <v>469</v>
      </c>
      <c r="B838" s="1" t="s">
        <v>471</v>
      </c>
      <c r="C838" s="1" t="s">
        <v>511</v>
      </c>
      <c r="D838" s="5">
        <v>43526</v>
      </c>
      <c r="E838" s="1">
        <v>2019</v>
      </c>
      <c r="F838" s="1">
        <v>3</v>
      </c>
      <c r="G838" s="4">
        <v>2</v>
      </c>
      <c r="H838" s="8">
        <v>0.50138888888888888</v>
      </c>
      <c r="I838" s="11">
        <f t="shared" si="83"/>
        <v>126.25149999999999</v>
      </c>
      <c r="J838" s="11">
        <f t="shared" si="84"/>
        <v>27.250833333333333</v>
      </c>
      <c r="K838" s="9">
        <v>124.11799999999999</v>
      </c>
      <c r="L838" s="9">
        <v>125</v>
      </c>
      <c r="M838" s="9">
        <v>0</v>
      </c>
      <c r="N838" s="12">
        <v>21.897200000000002</v>
      </c>
      <c r="O838" s="11">
        <v>34.674300000000002</v>
      </c>
      <c r="P838" s="33">
        <v>0.26047209882352895</v>
      </c>
      <c r="Q838" s="33">
        <v>1.5571551764705873</v>
      </c>
      <c r="R838" s="1" t="s">
        <v>280</v>
      </c>
      <c r="S838" s="1">
        <v>1</v>
      </c>
      <c r="T838" s="71" t="s">
        <v>626</v>
      </c>
    </row>
    <row r="839" spans="1:20" ht="12.75" customHeight="1">
      <c r="A839" s="1" t="s">
        <v>469</v>
      </c>
      <c r="B839" s="1" t="s">
        <v>471</v>
      </c>
      <c r="C839" s="1" t="s">
        <v>511</v>
      </c>
      <c r="D839" s="5">
        <v>43526</v>
      </c>
      <c r="E839" s="1">
        <v>2019</v>
      </c>
      <c r="F839" s="1">
        <v>3</v>
      </c>
      <c r="G839" s="4">
        <v>2</v>
      </c>
      <c r="H839" s="8">
        <v>0.50138888888888888</v>
      </c>
      <c r="I839" s="11">
        <f t="shared" si="83"/>
        <v>126.25149999999999</v>
      </c>
      <c r="J839" s="11">
        <f t="shared" si="84"/>
        <v>27.250833333333333</v>
      </c>
      <c r="K839" s="9">
        <v>148.69900000000001</v>
      </c>
      <c r="L839" s="9">
        <v>150</v>
      </c>
      <c r="M839" s="9">
        <v>0</v>
      </c>
      <c r="N839" s="12">
        <v>20.651199999999999</v>
      </c>
      <c r="O839" s="11">
        <v>34.853000000000002</v>
      </c>
      <c r="P839" s="33">
        <v>0.28807860470588231</v>
      </c>
      <c r="Q839" s="33">
        <v>1.9122972941176481</v>
      </c>
      <c r="R839" s="1" t="s">
        <v>280</v>
      </c>
      <c r="S839" s="1">
        <v>1</v>
      </c>
      <c r="T839" s="71" t="s">
        <v>626</v>
      </c>
    </row>
    <row r="840" spans="1:20" ht="12.75" customHeight="1">
      <c r="A840" s="1" t="s">
        <v>469</v>
      </c>
      <c r="B840" s="1" t="s">
        <v>471</v>
      </c>
      <c r="C840" s="1" t="s">
        <v>511</v>
      </c>
      <c r="D840" s="5">
        <v>43526</v>
      </c>
      <c r="E840" s="1">
        <v>2019</v>
      </c>
      <c r="F840" s="1">
        <v>3</v>
      </c>
      <c r="G840" s="4">
        <v>2</v>
      </c>
      <c r="H840" s="8">
        <v>0.50138888888888888</v>
      </c>
      <c r="I840" s="11">
        <f t="shared" si="83"/>
        <v>126.25149999999999</v>
      </c>
      <c r="J840" s="11">
        <f t="shared" si="84"/>
        <v>27.250833333333333</v>
      </c>
      <c r="K840" s="9">
        <v>198.47399999999999</v>
      </c>
      <c r="L840" s="9">
        <v>200</v>
      </c>
      <c r="M840" s="9">
        <v>0</v>
      </c>
      <c r="N840" s="12">
        <v>18.589600000000001</v>
      </c>
      <c r="O840" s="11">
        <v>34.851799999999997</v>
      </c>
      <c r="P840" s="33">
        <v>0.26333068823529393</v>
      </c>
      <c r="Q840" s="33">
        <v>1.8091567647058842</v>
      </c>
      <c r="R840" s="1" t="s">
        <v>280</v>
      </c>
      <c r="S840" s="1">
        <v>1</v>
      </c>
      <c r="T840" s="71" t="s">
        <v>626</v>
      </c>
    </row>
    <row r="841" spans="1:20" ht="12.75" customHeight="1">
      <c r="A841" s="1" t="s">
        <v>469</v>
      </c>
      <c r="B841" s="1" t="s">
        <v>471</v>
      </c>
      <c r="C841" s="1" t="s">
        <v>511</v>
      </c>
      <c r="D841" s="5">
        <v>43526</v>
      </c>
      <c r="E841" s="1">
        <v>2019</v>
      </c>
      <c r="F841" s="1">
        <v>3</v>
      </c>
      <c r="G841" s="4">
        <v>2</v>
      </c>
      <c r="H841" s="8">
        <v>0.50138888888888888</v>
      </c>
      <c r="I841" s="11">
        <f t="shared" si="83"/>
        <v>126.25149999999999</v>
      </c>
      <c r="J841" s="11">
        <f t="shared" si="84"/>
        <v>27.250833333333333</v>
      </c>
      <c r="K841" s="9">
        <v>297.89999999999998</v>
      </c>
      <c r="L841" s="9">
        <v>300</v>
      </c>
      <c r="M841" s="9">
        <v>0</v>
      </c>
      <c r="N841" s="12">
        <v>13.8392</v>
      </c>
      <c r="O841" s="11">
        <v>34.4771</v>
      </c>
      <c r="P841" s="33">
        <v>0.13848929411764699</v>
      </c>
      <c r="Q841" s="33">
        <v>0.76869588235294017</v>
      </c>
      <c r="R841" s="1" t="s">
        <v>280</v>
      </c>
      <c r="S841" s="1">
        <v>1</v>
      </c>
      <c r="T841" s="71" t="s">
        <v>626</v>
      </c>
    </row>
    <row r="842" spans="1:20" ht="12.75" customHeight="1">
      <c r="A842" s="1" t="s">
        <v>469</v>
      </c>
      <c r="B842" s="1" t="s">
        <v>471</v>
      </c>
      <c r="C842" s="1" t="s">
        <v>511</v>
      </c>
      <c r="D842" s="5">
        <v>43526</v>
      </c>
      <c r="E842" s="1">
        <v>2019</v>
      </c>
      <c r="F842" s="1">
        <v>3</v>
      </c>
      <c r="G842" s="4">
        <v>2</v>
      </c>
      <c r="H842" s="8">
        <v>0.50138888888888888</v>
      </c>
      <c r="I842" s="11">
        <f t="shared" si="83"/>
        <v>126.25149999999999</v>
      </c>
      <c r="J842" s="11">
        <f t="shared" si="84"/>
        <v>27.250833333333333</v>
      </c>
      <c r="K842" s="9">
        <v>496.38900000000001</v>
      </c>
      <c r="L842" s="9">
        <v>500</v>
      </c>
      <c r="M842" s="9">
        <v>0</v>
      </c>
      <c r="N842" s="12">
        <v>8.859</v>
      </c>
      <c r="O842" s="11">
        <v>34.292499999999997</v>
      </c>
      <c r="P842" s="33">
        <v>-3.702931999999981E-2</v>
      </c>
      <c r="Q842" s="33">
        <v>-0.63360999999999912</v>
      </c>
      <c r="R842" s="1" t="s">
        <v>280</v>
      </c>
      <c r="S842" s="1">
        <v>1</v>
      </c>
      <c r="T842" s="71" t="s">
        <v>626</v>
      </c>
    </row>
    <row r="843" spans="1:20" ht="12.75" customHeight="1">
      <c r="P843" s="33"/>
      <c r="Q843" s="33"/>
      <c r="T843" s="71"/>
    </row>
    <row r="844" spans="1:20" ht="12.75" customHeight="1">
      <c r="A844" s="1" t="s">
        <v>469</v>
      </c>
      <c r="B844" s="1" t="s">
        <v>472</v>
      </c>
      <c r="C844" s="1" t="s">
        <v>511</v>
      </c>
      <c r="D844" s="5">
        <v>43532</v>
      </c>
      <c r="E844" s="1">
        <f t="shared" ref="E844:E872" si="85">YEAR(D844)</f>
        <v>2019</v>
      </c>
      <c r="F844" s="1">
        <f t="shared" ref="F844:F872" si="86">MONTH(D844)</f>
        <v>3</v>
      </c>
      <c r="G844" s="4">
        <v>6</v>
      </c>
      <c r="H844" s="8">
        <v>0.47986111111111113</v>
      </c>
      <c r="I844" s="11">
        <f>126+15.02/60</f>
        <v>126.25033333333333</v>
      </c>
      <c r="J844" s="11">
        <f>29+45.16/60</f>
        <v>29.752666666666666</v>
      </c>
      <c r="K844" s="9">
        <v>0</v>
      </c>
      <c r="L844" s="9">
        <v>0</v>
      </c>
      <c r="M844" s="27">
        <v>0</v>
      </c>
      <c r="N844" s="12">
        <v>18.170000000000002</v>
      </c>
      <c r="O844" s="11">
        <v>34.575096331246534</v>
      </c>
      <c r="P844" s="33">
        <v>0.18017450588235295</v>
      </c>
      <c r="Q844" s="33">
        <v>1.2568241176470583</v>
      </c>
      <c r="R844" s="1" t="s">
        <v>280</v>
      </c>
      <c r="S844" s="1">
        <v>1</v>
      </c>
      <c r="T844" s="71" t="s">
        <v>626</v>
      </c>
    </row>
    <row r="845" spans="1:20" ht="12.75" customHeight="1">
      <c r="A845" s="1" t="s">
        <v>469</v>
      </c>
      <c r="B845" s="1" t="s">
        <v>472</v>
      </c>
      <c r="C845" s="1" t="s">
        <v>511</v>
      </c>
      <c r="D845" s="5">
        <v>43532</v>
      </c>
      <c r="E845" s="1">
        <f t="shared" si="85"/>
        <v>2019</v>
      </c>
      <c r="F845" s="1">
        <f t="shared" si="86"/>
        <v>3</v>
      </c>
      <c r="G845" s="4">
        <v>6</v>
      </c>
      <c r="H845" s="8">
        <v>0.47986111111111113</v>
      </c>
      <c r="I845" s="11">
        <f t="shared" ref="I845:I850" si="87">126+15.02/60</f>
        <v>126.25033333333333</v>
      </c>
      <c r="J845" s="11">
        <f t="shared" ref="J845:J850" si="88">29+45.16/60</f>
        <v>29.752666666666666</v>
      </c>
      <c r="K845" s="9">
        <v>9.9499999999999993</v>
      </c>
      <c r="L845" s="9">
        <v>10</v>
      </c>
      <c r="M845" s="9">
        <v>0</v>
      </c>
      <c r="N845" s="12">
        <v>18.1236</v>
      </c>
      <c r="O845" s="11">
        <v>34.566400000000002</v>
      </c>
      <c r="P845" s="33">
        <v>0.26563837176470573</v>
      </c>
      <c r="Q845" s="33">
        <v>1.3935722352941191</v>
      </c>
      <c r="R845" s="1" t="s">
        <v>280</v>
      </c>
      <c r="S845" s="1">
        <v>1</v>
      </c>
      <c r="T845" s="71" t="s">
        <v>626</v>
      </c>
    </row>
    <row r="846" spans="1:20" ht="12.75" customHeight="1">
      <c r="A846" s="1" t="s">
        <v>469</v>
      </c>
      <c r="B846" s="1" t="s">
        <v>472</v>
      </c>
      <c r="C846" s="1" t="s">
        <v>511</v>
      </c>
      <c r="D846" s="5">
        <v>43532</v>
      </c>
      <c r="E846" s="1">
        <f t="shared" si="85"/>
        <v>2019</v>
      </c>
      <c r="F846" s="1">
        <f t="shared" si="86"/>
        <v>3</v>
      </c>
      <c r="G846" s="4">
        <v>6</v>
      </c>
      <c r="H846" s="8">
        <v>0.47986111111111113</v>
      </c>
      <c r="I846" s="11">
        <f t="shared" si="87"/>
        <v>126.25033333333333</v>
      </c>
      <c r="J846" s="11">
        <f t="shared" si="88"/>
        <v>29.752666666666666</v>
      </c>
      <c r="K846" s="9">
        <v>20.395</v>
      </c>
      <c r="L846" s="9">
        <v>20</v>
      </c>
      <c r="M846" s="9">
        <v>0</v>
      </c>
      <c r="N846" s="12">
        <v>18.0351</v>
      </c>
      <c r="O846" s="11">
        <v>34.570399999999999</v>
      </c>
      <c r="P846" s="33">
        <v>0.26618927764705891</v>
      </c>
      <c r="Q846" s="33">
        <v>1.5342803529411775</v>
      </c>
      <c r="R846" s="1" t="s">
        <v>280</v>
      </c>
      <c r="S846" s="1">
        <v>1</v>
      </c>
      <c r="T846" s="71" t="s">
        <v>626</v>
      </c>
    </row>
    <row r="847" spans="1:20" ht="12.75" customHeight="1">
      <c r="A847" s="1" t="s">
        <v>469</v>
      </c>
      <c r="B847" s="1" t="s">
        <v>472</v>
      </c>
      <c r="C847" s="1" t="s">
        <v>511</v>
      </c>
      <c r="D847" s="5">
        <v>43532</v>
      </c>
      <c r="E847" s="1">
        <f t="shared" si="85"/>
        <v>2019</v>
      </c>
      <c r="F847" s="1">
        <f t="shared" si="86"/>
        <v>3</v>
      </c>
      <c r="G847" s="4">
        <v>6</v>
      </c>
      <c r="H847" s="8">
        <v>0.47986111111111113</v>
      </c>
      <c r="I847" s="11">
        <f t="shared" si="87"/>
        <v>126.25033333333333</v>
      </c>
      <c r="J847" s="11">
        <f t="shared" si="88"/>
        <v>29.752666666666666</v>
      </c>
      <c r="K847" s="9">
        <v>29.401</v>
      </c>
      <c r="L847" s="9">
        <v>30</v>
      </c>
      <c r="M847" s="9">
        <v>0</v>
      </c>
      <c r="N847" s="12">
        <v>17.976199999999999</v>
      </c>
      <c r="O847" s="11">
        <v>34.5732</v>
      </c>
      <c r="P847" s="33">
        <v>0.24093330352941189</v>
      </c>
      <c r="Q847" s="33">
        <v>1.4150144705882362</v>
      </c>
      <c r="R847" s="1" t="s">
        <v>280</v>
      </c>
      <c r="S847" s="1">
        <v>1</v>
      </c>
      <c r="T847" s="71" t="s">
        <v>626</v>
      </c>
    </row>
    <row r="848" spans="1:20" ht="12.75" customHeight="1">
      <c r="A848" s="1" t="s">
        <v>469</v>
      </c>
      <c r="B848" s="1" t="s">
        <v>472</v>
      </c>
      <c r="C848" s="1" t="s">
        <v>511</v>
      </c>
      <c r="D848" s="5">
        <v>43532</v>
      </c>
      <c r="E848" s="1">
        <f t="shared" si="85"/>
        <v>2019</v>
      </c>
      <c r="F848" s="1">
        <f t="shared" si="86"/>
        <v>3</v>
      </c>
      <c r="G848" s="4">
        <v>6</v>
      </c>
      <c r="H848" s="8">
        <v>0.47986111111111113</v>
      </c>
      <c r="I848" s="11">
        <f t="shared" si="87"/>
        <v>126.25033333333333</v>
      </c>
      <c r="J848" s="11">
        <f t="shared" si="88"/>
        <v>29.752666666666666</v>
      </c>
      <c r="K848" s="9">
        <v>49.771000000000001</v>
      </c>
      <c r="L848" s="9">
        <v>50</v>
      </c>
      <c r="M848" s="9">
        <v>0</v>
      </c>
      <c r="N848" s="12">
        <v>17.264199999999999</v>
      </c>
      <c r="O848" s="11">
        <v>34.490900000000003</v>
      </c>
      <c r="P848" s="33">
        <v>0.26319806274509805</v>
      </c>
      <c r="Q848" s="33">
        <v>1.1252705882352938</v>
      </c>
      <c r="R848" s="1" t="s">
        <v>280</v>
      </c>
      <c r="S848" s="1">
        <v>1</v>
      </c>
      <c r="T848" s="71" t="s">
        <v>626</v>
      </c>
    </row>
    <row r="849" spans="1:20" ht="12.75" customHeight="1">
      <c r="A849" s="1" t="s">
        <v>469</v>
      </c>
      <c r="B849" s="1" t="s">
        <v>472</v>
      </c>
      <c r="C849" s="1" t="s">
        <v>511</v>
      </c>
      <c r="D849" s="5">
        <v>43532</v>
      </c>
      <c r="E849" s="1">
        <f t="shared" si="85"/>
        <v>2019</v>
      </c>
      <c r="F849" s="1">
        <f t="shared" si="86"/>
        <v>3</v>
      </c>
      <c r="G849" s="4">
        <v>6</v>
      </c>
      <c r="H849" s="8">
        <v>0.47986111111111113</v>
      </c>
      <c r="I849" s="11">
        <f t="shared" si="87"/>
        <v>126.25033333333333</v>
      </c>
      <c r="J849" s="11">
        <f t="shared" si="88"/>
        <v>29.752666666666666</v>
      </c>
      <c r="K849" s="9">
        <v>73.47</v>
      </c>
      <c r="L849" s="9">
        <v>75</v>
      </c>
      <c r="M849" s="9">
        <v>0</v>
      </c>
      <c r="N849" s="12">
        <v>17.164000000000001</v>
      </c>
      <c r="O849" s="11">
        <v>34.476700000000001</v>
      </c>
      <c r="P849" s="33">
        <v>0.24880294117647006</v>
      </c>
      <c r="Q849" s="33">
        <v>1.158875655462186</v>
      </c>
      <c r="R849" s="1" t="s">
        <v>280</v>
      </c>
      <c r="S849" s="1">
        <v>1</v>
      </c>
      <c r="T849" s="71" t="s">
        <v>626</v>
      </c>
    </row>
    <row r="850" spans="1:20" ht="12.75" customHeight="1">
      <c r="A850" s="1" t="s">
        <v>469</v>
      </c>
      <c r="B850" s="1" t="s">
        <v>472</v>
      </c>
      <c r="C850" s="1" t="s">
        <v>511</v>
      </c>
      <c r="D850" s="5">
        <v>43532</v>
      </c>
      <c r="E850" s="1">
        <f t="shared" si="85"/>
        <v>2019</v>
      </c>
      <c r="F850" s="1">
        <f t="shared" si="86"/>
        <v>3</v>
      </c>
      <c r="G850" s="4">
        <v>6</v>
      </c>
      <c r="H850" s="8">
        <v>0.47986111111111113</v>
      </c>
      <c r="I850" s="11">
        <f t="shared" si="87"/>
        <v>126.25033333333333</v>
      </c>
      <c r="J850" s="11">
        <f t="shared" si="88"/>
        <v>29.752666666666666</v>
      </c>
      <c r="K850" s="9">
        <v>86.090999999999994</v>
      </c>
      <c r="L850" s="9">
        <v>86</v>
      </c>
      <c r="M850" s="9">
        <v>0</v>
      </c>
      <c r="N850" s="12">
        <v>17.157900000000001</v>
      </c>
      <c r="O850" s="11">
        <v>34.4758</v>
      </c>
      <c r="P850" s="33">
        <v>0.25917352941176475</v>
      </c>
      <c r="Q850" s="33">
        <v>1.1382073294117649</v>
      </c>
      <c r="R850" s="1" t="s">
        <v>280</v>
      </c>
      <c r="S850" s="1">
        <v>1</v>
      </c>
      <c r="T850" s="71" t="s">
        <v>626</v>
      </c>
    </row>
    <row r="851" spans="1:20" ht="12.75" customHeight="1">
      <c r="P851" s="33"/>
      <c r="Q851" s="33"/>
      <c r="T851" s="71"/>
    </row>
    <row r="852" spans="1:20" ht="12.75" customHeight="1">
      <c r="A852" s="1" t="s">
        <v>469</v>
      </c>
      <c r="B852" s="1" t="s">
        <v>473</v>
      </c>
      <c r="C852" s="1" t="s">
        <v>507</v>
      </c>
      <c r="D852" s="5">
        <v>43532</v>
      </c>
      <c r="E852" s="1">
        <f t="shared" si="85"/>
        <v>2019</v>
      </c>
      <c r="F852" s="1">
        <f t="shared" si="86"/>
        <v>3</v>
      </c>
      <c r="G852" s="4">
        <f t="shared" ref="G852:G872" si="89">DAY(D852)</f>
        <v>8</v>
      </c>
      <c r="H852" s="8">
        <v>0.53055555555555556</v>
      </c>
      <c r="I852" s="11">
        <f>127+1477/6000</f>
        <v>127.24616666666667</v>
      </c>
      <c r="J852" s="11">
        <f>31+4164/6000</f>
        <v>31.693999999999999</v>
      </c>
      <c r="K852" s="9">
        <v>0</v>
      </c>
      <c r="L852" s="9">
        <v>0</v>
      </c>
      <c r="M852" s="27">
        <v>0</v>
      </c>
      <c r="N852" s="12">
        <v>18.63</v>
      </c>
      <c r="O852" s="11">
        <v>34.608446400001455</v>
      </c>
      <c r="P852" s="33">
        <v>0.18774911764705848</v>
      </c>
      <c r="Q852" s="33">
        <v>1.3874037976470603</v>
      </c>
      <c r="R852" s="1" t="s">
        <v>280</v>
      </c>
      <c r="S852" s="1">
        <v>1</v>
      </c>
      <c r="T852" s="71" t="s">
        <v>626</v>
      </c>
    </row>
    <row r="853" spans="1:20" ht="12.75" customHeight="1">
      <c r="A853" s="1" t="s">
        <v>469</v>
      </c>
      <c r="B853" s="1" t="s">
        <v>473</v>
      </c>
      <c r="C853" s="1" t="s">
        <v>507</v>
      </c>
      <c r="D853" s="5">
        <v>43532</v>
      </c>
      <c r="E853" s="1">
        <f t="shared" si="85"/>
        <v>2019</v>
      </c>
      <c r="F853" s="1">
        <f t="shared" si="86"/>
        <v>3</v>
      </c>
      <c r="G853" s="4">
        <f t="shared" si="89"/>
        <v>8</v>
      </c>
      <c r="H853" s="8">
        <v>0.53055555555555556</v>
      </c>
      <c r="I853" s="11">
        <f t="shared" ref="I853:I859" si="90">127+1477/6000</f>
        <v>127.24616666666667</v>
      </c>
      <c r="J853" s="11">
        <f t="shared" ref="J853:J859" si="91">31+4164/6000</f>
        <v>31.693999999999999</v>
      </c>
      <c r="K853" s="9">
        <v>10.111000000000001</v>
      </c>
      <c r="L853" s="9">
        <v>10</v>
      </c>
      <c r="M853" s="9">
        <v>0</v>
      </c>
      <c r="N853" s="12">
        <v>18.463200000000001</v>
      </c>
      <c r="O853" s="11">
        <v>34.5946</v>
      </c>
      <c r="P853" s="33">
        <v>0.25890220588235291</v>
      </c>
      <c r="Q853" s="33">
        <v>1.4751915058823535</v>
      </c>
      <c r="R853" s="1" t="s">
        <v>280</v>
      </c>
      <c r="S853" s="1">
        <v>1</v>
      </c>
      <c r="T853" s="71" t="s">
        <v>626</v>
      </c>
    </row>
    <row r="854" spans="1:20" ht="12.75" customHeight="1">
      <c r="A854" s="1" t="s">
        <v>469</v>
      </c>
      <c r="B854" s="1" t="s">
        <v>473</v>
      </c>
      <c r="C854" s="1" t="s">
        <v>507</v>
      </c>
      <c r="D854" s="5">
        <v>43532</v>
      </c>
      <c r="E854" s="1">
        <f t="shared" si="85"/>
        <v>2019</v>
      </c>
      <c r="F854" s="1">
        <f t="shared" si="86"/>
        <v>3</v>
      </c>
      <c r="G854" s="4">
        <f t="shared" si="89"/>
        <v>8</v>
      </c>
      <c r="H854" s="8">
        <v>0.53055555555555556</v>
      </c>
      <c r="I854" s="11">
        <f t="shared" si="90"/>
        <v>127.24616666666667</v>
      </c>
      <c r="J854" s="11">
        <f t="shared" si="91"/>
        <v>31.693999999999999</v>
      </c>
      <c r="K854" s="9">
        <v>19.613</v>
      </c>
      <c r="L854" s="9">
        <v>20</v>
      </c>
      <c r="M854" s="9">
        <v>0</v>
      </c>
      <c r="N854" s="12">
        <v>18.454999999999998</v>
      </c>
      <c r="O854" s="11">
        <v>34.594999999999999</v>
      </c>
      <c r="P854" s="33">
        <v>0.1898352941176471</v>
      </c>
      <c r="Q854" s="33">
        <v>1.4639940941176466</v>
      </c>
      <c r="R854" s="1" t="s">
        <v>280</v>
      </c>
      <c r="S854" s="1">
        <v>1</v>
      </c>
      <c r="T854" s="71" t="s">
        <v>626</v>
      </c>
    </row>
    <row r="855" spans="1:20" ht="12.75" customHeight="1">
      <c r="A855" s="1" t="s">
        <v>469</v>
      </c>
      <c r="B855" s="1" t="s">
        <v>473</v>
      </c>
      <c r="C855" s="1" t="s">
        <v>507</v>
      </c>
      <c r="D855" s="5">
        <v>43532</v>
      </c>
      <c r="E855" s="1">
        <f t="shared" si="85"/>
        <v>2019</v>
      </c>
      <c r="F855" s="1">
        <f t="shared" si="86"/>
        <v>3</v>
      </c>
      <c r="G855" s="4">
        <f t="shared" si="89"/>
        <v>8</v>
      </c>
      <c r="H855" s="8">
        <v>0.53055555555555556</v>
      </c>
      <c r="I855" s="11">
        <f t="shared" si="90"/>
        <v>127.24616666666667</v>
      </c>
      <c r="J855" s="11">
        <f t="shared" si="91"/>
        <v>31.693999999999999</v>
      </c>
      <c r="K855" s="9">
        <v>30.117000000000001</v>
      </c>
      <c r="L855" s="9">
        <v>30</v>
      </c>
      <c r="M855" s="9">
        <v>0</v>
      </c>
      <c r="N855" s="12">
        <v>18.411799999999999</v>
      </c>
      <c r="O855" s="11">
        <v>34.591500000000003</v>
      </c>
      <c r="P855" s="33">
        <v>0.33311421568627431</v>
      </c>
      <c r="Q855" s="33">
        <v>1.804298882352942</v>
      </c>
      <c r="R855" s="1" t="s">
        <v>280</v>
      </c>
      <c r="S855" s="1">
        <v>1</v>
      </c>
      <c r="T855" s="71" t="s">
        <v>626</v>
      </c>
    </row>
    <row r="856" spans="1:20" ht="12.75" customHeight="1">
      <c r="A856" s="1" t="s">
        <v>469</v>
      </c>
      <c r="B856" s="1" t="s">
        <v>473</v>
      </c>
      <c r="C856" s="1" t="s">
        <v>507</v>
      </c>
      <c r="D856" s="5">
        <v>43532</v>
      </c>
      <c r="E856" s="1">
        <f t="shared" si="85"/>
        <v>2019</v>
      </c>
      <c r="F856" s="1">
        <f t="shared" si="86"/>
        <v>3</v>
      </c>
      <c r="G856" s="4">
        <f t="shared" si="89"/>
        <v>8</v>
      </c>
      <c r="H856" s="8">
        <v>0.53055555555555556</v>
      </c>
      <c r="I856" s="11">
        <f t="shared" si="90"/>
        <v>127.24616666666667</v>
      </c>
      <c r="J856" s="11">
        <f t="shared" si="91"/>
        <v>31.693999999999999</v>
      </c>
      <c r="K856" s="9">
        <v>49.954000000000001</v>
      </c>
      <c r="L856" s="9">
        <v>50</v>
      </c>
      <c r="M856" s="9">
        <v>0</v>
      </c>
      <c r="N856" s="12">
        <v>17.301400000000001</v>
      </c>
      <c r="O856" s="11">
        <v>34.547600000000003</v>
      </c>
      <c r="P856" s="33">
        <v>0.23579147058823491</v>
      </c>
      <c r="Q856" s="33">
        <v>1.466739390588236</v>
      </c>
      <c r="R856" s="1" t="s">
        <v>280</v>
      </c>
      <c r="S856" s="1">
        <v>1</v>
      </c>
      <c r="T856" s="71" t="s">
        <v>626</v>
      </c>
    </row>
    <row r="857" spans="1:20" ht="12.75" customHeight="1">
      <c r="A857" s="1" t="s">
        <v>469</v>
      </c>
      <c r="B857" s="1" t="s">
        <v>473</v>
      </c>
      <c r="C857" s="1" t="s">
        <v>507</v>
      </c>
      <c r="D857" s="5">
        <v>43532</v>
      </c>
      <c r="E857" s="1">
        <f t="shared" si="85"/>
        <v>2019</v>
      </c>
      <c r="F857" s="1">
        <f t="shared" si="86"/>
        <v>3</v>
      </c>
      <c r="G857" s="4">
        <f t="shared" si="89"/>
        <v>8</v>
      </c>
      <c r="H857" s="8">
        <v>0.53055555555555556</v>
      </c>
      <c r="I857" s="11">
        <f t="shared" si="90"/>
        <v>127.24616666666667</v>
      </c>
      <c r="J857" s="11">
        <f t="shared" si="91"/>
        <v>31.693999999999999</v>
      </c>
      <c r="K857" s="9">
        <v>74.302000000000007</v>
      </c>
      <c r="L857" s="9">
        <v>75</v>
      </c>
      <c r="M857" s="9">
        <v>0</v>
      </c>
      <c r="N857" s="12">
        <v>16.613499999999998</v>
      </c>
      <c r="O857" s="11">
        <v>34.487699999999997</v>
      </c>
      <c r="P857" s="33">
        <v>0.13008382352941128</v>
      </c>
      <c r="Q857" s="33">
        <v>1.0455043435294105</v>
      </c>
      <c r="R857" s="1" t="s">
        <v>280</v>
      </c>
      <c r="S857" s="1">
        <v>1</v>
      </c>
      <c r="T857" s="71" t="s">
        <v>626</v>
      </c>
    </row>
    <row r="858" spans="1:20" ht="12.75" customHeight="1">
      <c r="A858" s="1" t="s">
        <v>469</v>
      </c>
      <c r="B858" s="1" t="s">
        <v>473</v>
      </c>
      <c r="C858" s="1" t="s">
        <v>507</v>
      </c>
      <c r="D858" s="5">
        <v>43532</v>
      </c>
      <c r="E858" s="1">
        <f t="shared" si="85"/>
        <v>2019</v>
      </c>
      <c r="F858" s="1">
        <f t="shared" si="86"/>
        <v>3</v>
      </c>
      <c r="G858" s="4">
        <f t="shared" si="89"/>
        <v>8</v>
      </c>
      <c r="H858" s="8">
        <v>0.53055555555555556</v>
      </c>
      <c r="I858" s="11">
        <f t="shared" si="90"/>
        <v>127.24616666666667</v>
      </c>
      <c r="J858" s="11">
        <f t="shared" si="91"/>
        <v>31.693999999999999</v>
      </c>
      <c r="K858" s="9">
        <v>100.21299999999999</v>
      </c>
      <c r="L858" s="9">
        <v>100</v>
      </c>
      <c r="M858" s="9">
        <v>0</v>
      </c>
      <c r="N858" s="12">
        <v>15.8241</v>
      </c>
      <c r="O858" s="11">
        <v>34.533900000000003</v>
      </c>
      <c r="P858" s="33">
        <v>0.18273566176470535</v>
      </c>
      <c r="Q858" s="33">
        <v>0.96879821176470671</v>
      </c>
      <c r="R858" s="1" t="s">
        <v>280</v>
      </c>
      <c r="S858" s="1">
        <v>1</v>
      </c>
      <c r="T858" s="71" t="s">
        <v>626</v>
      </c>
    </row>
    <row r="859" spans="1:20" ht="12.75" customHeight="1">
      <c r="A859" s="1" t="s">
        <v>469</v>
      </c>
      <c r="B859" s="1" t="s">
        <v>473</v>
      </c>
      <c r="C859" s="1" t="s">
        <v>507</v>
      </c>
      <c r="D859" s="5">
        <v>43532</v>
      </c>
      <c r="E859" s="1">
        <f t="shared" si="85"/>
        <v>2019</v>
      </c>
      <c r="F859" s="1">
        <f t="shared" si="86"/>
        <v>3</v>
      </c>
      <c r="G859" s="4">
        <f t="shared" si="89"/>
        <v>8</v>
      </c>
      <c r="H859" s="8">
        <v>0.53055555555555556</v>
      </c>
      <c r="I859" s="11">
        <f t="shared" si="90"/>
        <v>127.24616666666667</v>
      </c>
      <c r="J859" s="11">
        <f t="shared" si="91"/>
        <v>31.693999999999999</v>
      </c>
      <c r="K859" s="9">
        <v>119.92100000000001</v>
      </c>
      <c r="L859" s="9">
        <v>120</v>
      </c>
      <c r="M859" s="9">
        <v>0</v>
      </c>
      <c r="N859" s="12">
        <v>15.527900000000001</v>
      </c>
      <c r="O859" s="11">
        <v>34.567300000000003</v>
      </c>
      <c r="P859" s="33">
        <v>8.9837499999999793E-2</v>
      </c>
      <c r="Q859" s="33">
        <v>0.79645460000000057</v>
      </c>
      <c r="R859" s="1" t="s">
        <v>280</v>
      </c>
      <c r="S859" s="1">
        <v>1</v>
      </c>
      <c r="T859" s="71" t="s">
        <v>626</v>
      </c>
    </row>
    <row r="860" spans="1:20" ht="12.75" customHeight="1">
      <c r="P860" s="33"/>
      <c r="Q860" s="33"/>
      <c r="T860" s="71"/>
    </row>
    <row r="861" spans="1:20" ht="12.75" customHeight="1">
      <c r="A861" s="1" t="s">
        <v>469</v>
      </c>
      <c r="B861" s="1">
        <v>95</v>
      </c>
      <c r="C861" s="1" t="s">
        <v>507</v>
      </c>
      <c r="D861" s="5">
        <v>43533</v>
      </c>
      <c r="E861" s="1">
        <f t="shared" si="85"/>
        <v>2019</v>
      </c>
      <c r="F861" s="1">
        <f t="shared" si="86"/>
        <v>3</v>
      </c>
      <c r="G861" s="4">
        <f t="shared" si="89"/>
        <v>9</v>
      </c>
      <c r="H861" s="8">
        <v>0.63194444444444442</v>
      </c>
      <c r="I861" s="11">
        <f>128+44.75/60</f>
        <v>128.74583333333334</v>
      </c>
      <c r="J861" s="11">
        <f>31+44.86/60</f>
        <v>31.747666666666667</v>
      </c>
      <c r="K861" s="9">
        <v>0</v>
      </c>
      <c r="L861" s="9">
        <v>0</v>
      </c>
      <c r="M861" s="27">
        <v>0</v>
      </c>
      <c r="N861" s="12">
        <v>19.510000000000002</v>
      </c>
      <c r="O861" s="11">
        <v>34.667003288194984</v>
      </c>
      <c r="P861" s="33">
        <v>0.19707058823529344</v>
      </c>
      <c r="Q861" s="33">
        <v>1.2347270882352941</v>
      </c>
      <c r="R861" s="1" t="s">
        <v>280</v>
      </c>
      <c r="S861" s="1">
        <v>1</v>
      </c>
      <c r="T861" s="71" t="s">
        <v>626</v>
      </c>
    </row>
    <row r="862" spans="1:20" ht="12.75" customHeight="1">
      <c r="A862" s="1" t="s">
        <v>469</v>
      </c>
      <c r="B862" s="1">
        <v>95</v>
      </c>
      <c r="C862" s="1" t="s">
        <v>507</v>
      </c>
      <c r="D862" s="5">
        <v>43533</v>
      </c>
      <c r="E862" s="1">
        <f t="shared" si="85"/>
        <v>2019</v>
      </c>
      <c r="F862" s="1">
        <f t="shared" si="86"/>
        <v>3</v>
      </c>
      <c r="G862" s="4">
        <f t="shared" si="89"/>
        <v>9</v>
      </c>
      <c r="H862" s="8">
        <v>0.63194444444444442</v>
      </c>
      <c r="I862" s="11">
        <f t="shared" ref="I862:I872" si="92">128+44.75/60</f>
        <v>128.74583333333334</v>
      </c>
      <c r="J862" s="11">
        <f t="shared" ref="J862:J872" si="93">31+44.86/60</f>
        <v>31.747666666666667</v>
      </c>
      <c r="K862" s="9">
        <v>9.35</v>
      </c>
      <c r="L862" s="9">
        <v>10</v>
      </c>
      <c r="M862" s="9">
        <v>0</v>
      </c>
      <c r="N862" s="12">
        <v>19.392499999999998</v>
      </c>
      <c r="O862" s="11">
        <v>34.656300000000002</v>
      </c>
      <c r="P862" s="33">
        <v>0.20088117647058779</v>
      </c>
      <c r="Q862" s="33">
        <v>1.394620336470588</v>
      </c>
      <c r="R862" s="1" t="s">
        <v>280</v>
      </c>
      <c r="S862" s="1">
        <v>1</v>
      </c>
      <c r="T862" s="71" t="s">
        <v>626</v>
      </c>
    </row>
    <row r="863" spans="1:20" ht="12.75" customHeight="1">
      <c r="A863" s="1" t="s">
        <v>469</v>
      </c>
      <c r="B863" s="1">
        <v>95</v>
      </c>
      <c r="C863" s="1" t="s">
        <v>507</v>
      </c>
      <c r="D863" s="5">
        <v>43533</v>
      </c>
      <c r="E863" s="1">
        <f t="shared" si="85"/>
        <v>2019</v>
      </c>
      <c r="F863" s="1">
        <f t="shared" si="86"/>
        <v>3</v>
      </c>
      <c r="G863" s="4">
        <f t="shared" si="89"/>
        <v>9</v>
      </c>
      <c r="H863" s="8">
        <v>0.63194444444444442</v>
      </c>
      <c r="I863" s="11">
        <f t="shared" si="92"/>
        <v>128.74583333333334</v>
      </c>
      <c r="J863" s="11">
        <f t="shared" si="93"/>
        <v>31.747666666666667</v>
      </c>
      <c r="K863" s="9">
        <v>19.390999999999998</v>
      </c>
      <c r="L863" s="9">
        <v>20</v>
      </c>
      <c r="M863" s="9">
        <v>0</v>
      </c>
      <c r="N863" s="12">
        <v>19.400400000000001</v>
      </c>
      <c r="O863" s="11">
        <v>34.655900000000003</v>
      </c>
      <c r="P863" s="33">
        <v>0.1510159313725481</v>
      </c>
      <c r="Q863" s="33">
        <v>1.3027513647058822</v>
      </c>
      <c r="R863" s="1" t="s">
        <v>280</v>
      </c>
      <c r="S863" s="1">
        <v>1</v>
      </c>
      <c r="T863" s="71" t="s">
        <v>626</v>
      </c>
    </row>
    <row r="864" spans="1:20" ht="12.75" customHeight="1">
      <c r="A864" s="1" t="s">
        <v>469</v>
      </c>
      <c r="B864" s="1">
        <v>95</v>
      </c>
      <c r="C864" s="1" t="s">
        <v>507</v>
      </c>
      <c r="D864" s="5">
        <v>43533</v>
      </c>
      <c r="E864" s="1">
        <f t="shared" si="85"/>
        <v>2019</v>
      </c>
      <c r="F864" s="1">
        <f t="shared" si="86"/>
        <v>3</v>
      </c>
      <c r="G864" s="4">
        <f t="shared" si="89"/>
        <v>9</v>
      </c>
      <c r="H864" s="8">
        <v>0.63194444444444442</v>
      </c>
      <c r="I864" s="11">
        <f t="shared" si="92"/>
        <v>128.74583333333334</v>
      </c>
      <c r="J864" s="11">
        <f t="shared" si="93"/>
        <v>31.747666666666667</v>
      </c>
      <c r="K864" s="9">
        <v>29.117999999999999</v>
      </c>
      <c r="L864" s="9">
        <v>30</v>
      </c>
      <c r="M864" s="9">
        <v>0</v>
      </c>
      <c r="N864" s="12">
        <v>19.403300000000002</v>
      </c>
      <c r="O864" s="11">
        <v>34.655200000000001</v>
      </c>
      <c r="P864" s="33">
        <v>0.1980473529411757</v>
      </c>
      <c r="Q864" s="33">
        <v>1.3540432329411765</v>
      </c>
      <c r="R864" s="1" t="s">
        <v>280</v>
      </c>
      <c r="S864" s="1">
        <v>1</v>
      </c>
      <c r="T864" s="71" t="s">
        <v>626</v>
      </c>
    </row>
    <row r="865" spans="1:20" ht="12.75" customHeight="1">
      <c r="A865" s="1" t="s">
        <v>469</v>
      </c>
      <c r="B865" s="1">
        <v>95</v>
      </c>
      <c r="C865" s="1" t="s">
        <v>507</v>
      </c>
      <c r="D865" s="5">
        <v>43533</v>
      </c>
      <c r="E865" s="1">
        <f t="shared" si="85"/>
        <v>2019</v>
      </c>
      <c r="F865" s="1">
        <f t="shared" si="86"/>
        <v>3</v>
      </c>
      <c r="G865" s="4">
        <f t="shared" si="89"/>
        <v>9</v>
      </c>
      <c r="H865" s="8">
        <v>0.63194444444444442</v>
      </c>
      <c r="I865" s="11">
        <f t="shared" si="92"/>
        <v>128.74583333333334</v>
      </c>
      <c r="J865" s="11">
        <f t="shared" si="93"/>
        <v>31.747666666666667</v>
      </c>
      <c r="K865" s="9">
        <v>49.845999999999997</v>
      </c>
      <c r="L865" s="9">
        <v>50</v>
      </c>
      <c r="M865" s="9">
        <v>0</v>
      </c>
      <c r="N865" s="12">
        <v>18.369599999999998</v>
      </c>
      <c r="O865" s="11">
        <v>34.640599999999999</v>
      </c>
      <c r="P865" s="33">
        <v>0.14896794117646994</v>
      </c>
      <c r="Q865" s="33">
        <v>1.190692301176469</v>
      </c>
      <c r="R865" s="1" t="s">
        <v>280</v>
      </c>
      <c r="S865" s="1">
        <v>1</v>
      </c>
      <c r="T865" s="71" t="s">
        <v>626</v>
      </c>
    </row>
    <row r="866" spans="1:20" ht="12.75" customHeight="1">
      <c r="A866" s="1" t="s">
        <v>469</v>
      </c>
      <c r="B866" s="1">
        <v>95</v>
      </c>
      <c r="C866" s="1" t="s">
        <v>507</v>
      </c>
      <c r="D866" s="5">
        <v>43533</v>
      </c>
      <c r="E866" s="1">
        <f t="shared" si="85"/>
        <v>2019</v>
      </c>
      <c r="F866" s="1">
        <f t="shared" si="86"/>
        <v>3</v>
      </c>
      <c r="G866" s="4">
        <f t="shared" si="89"/>
        <v>9</v>
      </c>
      <c r="H866" s="8">
        <v>0.63194444444444442</v>
      </c>
      <c r="I866" s="11">
        <f t="shared" si="92"/>
        <v>128.74583333333334</v>
      </c>
      <c r="J866" s="11">
        <f t="shared" si="93"/>
        <v>31.747666666666667</v>
      </c>
      <c r="K866" s="9">
        <v>74.474999999999994</v>
      </c>
      <c r="L866" s="9">
        <v>75</v>
      </c>
      <c r="M866" s="9">
        <v>0</v>
      </c>
      <c r="N866" s="12">
        <v>18.0166</v>
      </c>
      <c r="O866" s="11">
        <v>34.653799999999997</v>
      </c>
      <c r="P866" s="33">
        <v>0.29333534705882336</v>
      </c>
      <c r="Q866" s="33">
        <v>1.5306370223529395</v>
      </c>
      <c r="R866" s="1" t="s">
        <v>280</v>
      </c>
      <c r="S866" s="1">
        <v>1</v>
      </c>
      <c r="T866" s="71" t="s">
        <v>626</v>
      </c>
    </row>
    <row r="867" spans="1:20" ht="12.75" customHeight="1">
      <c r="A867" s="1" t="s">
        <v>469</v>
      </c>
      <c r="B867" s="1">
        <v>95</v>
      </c>
      <c r="C867" s="1" t="s">
        <v>507</v>
      </c>
      <c r="D867" s="5">
        <v>43533</v>
      </c>
      <c r="E867" s="1">
        <f t="shared" si="85"/>
        <v>2019</v>
      </c>
      <c r="F867" s="1">
        <f t="shared" si="86"/>
        <v>3</v>
      </c>
      <c r="G867" s="4">
        <f t="shared" si="89"/>
        <v>9</v>
      </c>
      <c r="H867" s="8">
        <v>0.63194444444444442</v>
      </c>
      <c r="I867" s="11">
        <f t="shared" si="92"/>
        <v>128.74583333333334</v>
      </c>
      <c r="J867" s="11">
        <f t="shared" si="93"/>
        <v>31.747666666666667</v>
      </c>
      <c r="K867" s="9">
        <v>98.992000000000004</v>
      </c>
      <c r="L867" s="9">
        <v>100</v>
      </c>
      <c r="M867" s="9">
        <v>0</v>
      </c>
      <c r="N867" s="12">
        <v>17.4253</v>
      </c>
      <c r="O867" s="11">
        <v>34.655200000000001</v>
      </c>
      <c r="P867" s="33">
        <v>0.23021989647058749</v>
      </c>
      <c r="Q867" s="33">
        <v>1.4582928188235282</v>
      </c>
      <c r="R867" s="1" t="s">
        <v>280</v>
      </c>
      <c r="S867" s="1">
        <v>1</v>
      </c>
      <c r="T867" s="71" t="s">
        <v>626</v>
      </c>
    </row>
    <row r="868" spans="1:20" ht="12.75" customHeight="1">
      <c r="A868" s="1" t="s">
        <v>469</v>
      </c>
      <c r="B868" s="1">
        <v>95</v>
      </c>
      <c r="C868" s="1" t="s">
        <v>507</v>
      </c>
      <c r="D868" s="5">
        <v>43533</v>
      </c>
      <c r="E868" s="1">
        <f t="shared" si="85"/>
        <v>2019</v>
      </c>
      <c r="F868" s="1">
        <f t="shared" si="86"/>
        <v>3</v>
      </c>
      <c r="G868" s="4">
        <f t="shared" si="89"/>
        <v>9</v>
      </c>
      <c r="H868" s="8">
        <v>0.63194444444444442</v>
      </c>
      <c r="I868" s="11">
        <f t="shared" si="92"/>
        <v>128.74583333333334</v>
      </c>
      <c r="J868" s="11">
        <f t="shared" si="93"/>
        <v>31.747666666666667</v>
      </c>
      <c r="K868" s="9">
        <v>124.691</v>
      </c>
      <c r="L868" s="9">
        <v>125</v>
      </c>
      <c r="M868" s="9">
        <v>0</v>
      </c>
      <c r="N868" s="12">
        <v>16.756799999999998</v>
      </c>
      <c r="O868" s="11">
        <v>34.641199999999998</v>
      </c>
      <c r="P868" s="33">
        <v>0.30465318588235268</v>
      </c>
      <c r="Q868" s="33">
        <v>1.5390642352941164</v>
      </c>
      <c r="R868" s="1" t="s">
        <v>280</v>
      </c>
      <c r="S868" s="1">
        <v>1</v>
      </c>
      <c r="T868" s="71" t="s">
        <v>626</v>
      </c>
    </row>
    <row r="869" spans="1:20" ht="12.75" customHeight="1">
      <c r="A869" s="1" t="s">
        <v>469</v>
      </c>
      <c r="B869" s="1">
        <v>95</v>
      </c>
      <c r="C869" s="1" t="s">
        <v>507</v>
      </c>
      <c r="D869" s="5">
        <v>43533</v>
      </c>
      <c r="E869" s="1">
        <f t="shared" si="85"/>
        <v>2019</v>
      </c>
      <c r="F869" s="1">
        <f t="shared" si="86"/>
        <v>3</v>
      </c>
      <c r="G869" s="4">
        <f t="shared" si="89"/>
        <v>9</v>
      </c>
      <c r="H869" s="8">
        <v>0.63194444444444442</v>
      </c>
      <c r="I869" s="11">
        <f t="shared" si="92"/>
        <v>128.74583333333334</v>
      </c>
      <c r="J869" s="11">
        <f t="shared" si="93"/>
        <v>31.747666666666667</v>
      </c>
      <c r="K869" s="9">
        <v>147.953</v>
      </c>
      <c r="L869" s="9">
        <v>150</v>
      </c>
      <c r="M869" s="9">
        <v>0</v>
      </c>
      <c r="N869" s="12">
        <v>16.173200000000001</v>
      </c>
      <c r="O869" s="11">
        <v>34.606900000000003</v>
      </c>
      <c r="P869" s="33">
        <v>0.22050329529411661</v>
      </c>
      <c r="Q869" s="33">
        <v>1.3658253117647057</v>
      </c>
      <c r="R869" s="1" t="s">
        <v>280</v>
      </c>
      <c r="S869" s="1">
        <v>1</v>
      </c>
      <c r="T869" s="71" t="s">
        <v>626</v>
      </c>
    </row>
    <row r="870" spans="1:20" ht="12.75" customHeight="1">
      <c r="A870" s="1" t="s">
        <v>469</v>
      </c>
      <c r="B870" s="1">
        <v>95</v>
      </c>
      <c r="C870" s="1" t="s">
        <v>507</v>
      </c>
      <c r="D870" s="5">
        <v>43533</v>
      </c>
      <c r="E870" s="1">
        <f t="shared" si="85"/>
        <v>2019</v>
      </c>
      <c r="F870" s="1">
        <f t="shared" si="86"/>
        <v>3</v>
      </c>
      <c r="G870" s="4">
        <f t="shared" si="89"/>
        <v>9</v>
      </c>
      <c r="H870" s="8">
        <v>0.63194444444444442</v>
      </c>
      <c r="I870" s="11">
        <f t="shared" si="92"/>
        <v>128.74583333333334</v>
      </c>
      <c r="J870" s="11">
        <f t="shared" si="93"/>
        <v>31.747666666666667</v>
      </c>
      <c r="K870" s="9">
        <v>197.38300000000001</v>
      </c>
      <c r="L870" s="9">
        <v>200</v>
      </c>
      <c r="M870" s="9">
        <v>0</v>
      </c>
      <c r="N870" s="12">
        <v>14.2576</v>
      </c>
      <c r="O870" s="11">
        <v>34.527799999999999</v>
      </c>
      <c r="P870" s="33">
        <v>0.17223568470588235</v>
      </c>
      <c r="Q870" s="33">
        <v>0.93345248823529303</v>
      </c>
      <c r="R870" s="1" t="s">
        <v>280</v>
      </c>
      <c r="S870" s="1">
        <v>1</v>
      </c>
      <c r="T870" s="71" t="s">
        <v>626</v>
      </c>
    </row>
    <row r="871" spans="1:20" ht="12.75" customHeight="1">
      <c r="A871" s="1" t="s">
        <v>469</v>
      </c>
      <c r="B871" s="1">
        <v>95</v>
      </c>
      <c r="C871" s="1" t="s">
        <v>507</v>
      </c>
      <c r="D871" s="5">
        <v>43533</v>
      </c>
      <c r="E871" s="1">
        <f t="shared" si="85"/>
        <v>2019</v>
      </c>
      <c r="F871" s="1">
        <f t="shared" si="86"/>
        <v>3</v>
      </c>
      <c r="G871" s="4">
        <f t="shared" si="89"/>
        <v>9</v>
      </c>
      <c r="H871" s="8">
        <v>0.63194444444444442</v>
      </c>
      <c r="I871" s="11">
        <f t="shared" si="92"/>
        <v>128.74583333333334</v>
      </c>
      <c r="J871" s="11">
        <f t="shared" si="93"/>
        <v>31.747666666666667</v>
      </c>
      <c r="K871" s="9">
        <v>297.87599999999998</v>
      </c>
      <c r="L871" s="9">
        <v>300</v>
      </c>
      <c r="M871" s="9">
        <v>0</v>
      </c>
      <c r="N871" s="12">
        <v>11.1622</v>
      </c>
      <c r="O871" s="11">
        <v>34.386099999999999</v>
      </c>
      <c r="P871" s="33">
        <v>5.24097341176466E-2</v>
      </c>
      <c r="Q871" s="33">
        <v>0.11050674470588184</v>
      </c>
      <c r="R871" s="1" t="s">
        <v>280</v>
      </c>
      <c r="S871" s="1">
        <v>1</v>
      </c>
      <c r="T871" s="71" t="s">
        <v>626</v>
      </c>
    </row>
    <row r="872" spans="1:20" ht="12.75" customHeight="1">
      <c r="A872" s="1" t="s">
        <v>469</v>
      </c>
      <c r="B872" s="1">
        <v>95</v>
      </c>
      <c r="C872" s="1" t="s">
        <v>507</v>
      </c>
      <c r="D872" s="5">
        <v>43533</v>
      </c>
      <c r="E872" s="1">
        <f t="shared" si="85"/>
        <v>2019</v>
      </c>
      <c r="F872" s="1">
        <f t="shared" si="86"/>
        <v>3</v>
      </c>
      <c r="G872" s="4">
        <f t="shared" si="89"/>
        <v>9</v>
      </c>
      <c r="H872" s="8">
        <v>0.63194444444444442</v>
      </c>
      <c r="I872" s="11">
        <f t="shared" si="92"/>
        <v>128.74583333333334</v>
      </c>
      <c r="J872" s="11">
        <f t="shared" si="93"/>
        <v>31.747666666666667</v>
      </c>
      <c r="K872" s="9">
        <v>495.43299999999999</v>
      </c>
      <c r="L872" s="9">
        <v>500</v>
      </c>
      <c r="M872" s="9">
        <v>0</v>
      </c>
      <c r="N872" s="12">
        <v>7.5490000000000004</v>
      </c>
      <c r="O872" s="11">
        <v>34.3491</v>
      </c>
      <c r="P872" s="33">
        <v>-7.3190376470588348E-2</v>
      </c>
      <c r="Q872" s="33">
        <v>-0.75244217882353048</v>
      </c>
      <c r="R872" s="1" t="s">
        <v>280</v>
      </c>
      <c r="S872" s="1">
        <v>1</v>
      </c>
      <c r="T872" s="71" t="s">
        <v>626</v>
      </c>
    </row>
    <row r="873" spans="1:20" ht="12.75" customHeight="1">
      <c r="P873" s="33"/>
      <c r="Q873" s="33"/>
      <c r="T873" s="71"/>
    </row>
    <row r="874" spans="1:20" ht="12.75" customHeight="1">
      <c r="A874" s="1" t="s">
        <v>474</v>
      </c>
      <c r="B874" s="1">
        <v>49</v>
      </c>
      <c r="C874" s="1" t="s">
        <v>511</v>
      </c>
      <c r="D874" s="5">
        <v>43578.956180555557</v>
      </c>
      <c r="E874" s="1">
        <f t="shared" ref="E874:E915" si="94">YEAR(D874)</f>
        <v>2019</v>
      </c>
      <c r="F874" s="1">
        <f t="shared" ref="F874:F906" si="95">MONTH(D874)</f>
        <v>4</v>
      </c>
      <c r="G874" s="4">
        <f t="shared" ref="G874:G913" si="96">DAY(D874)</f>
        <v>23</v>
      </c>
      <c r="H874" s="8">
        <v>0.9555555555555556</v>
      </c>
      <c r="I874" s="11">
        <v>126.25700000000001</v>
      </c>
      <c r="J874" s="11">
        <v>27.257999999999999</v>
      </c>
      <c r="K874" s="9">
        <v>0</v>
      </c>
      <c r="L874" s="9">
        <v>0</v>
      </c>
      <c r="M874" s="27">
        <v>0</v>
      </c>
      <c r="N874" s="32">
        <v>25.6</v>
      </c>
      <c r="O874" s="11">
        <v>34.667617602150763</v>
      </c>
      <c r="P874" s="33">
        <v>0.23330894117647105</v>
      </c>
      <c r="Q874" s="33">
        <v>1.624690111764707</v>
      </c>
      <c r="R874" s="1" t="s">
        <v>280</v>
      </c>
      <c r="S874" s="1">
        <v>1</v>
      </c>
      <c r="T874" s="71" t="s">
        <v>626</v>
      </c>
    </row>
    <row r="875" spans="1:20" ht="12.75" customHeight="1">
      <c r="A875" s="1" t="s">
        <v>474</v>
      </c>
      <c r="B875" s="1">
        <v>49</v>
      </c>
      <c r="C875" s="1" t="s">
        <v>511</v>
      </c>
      <c r="D875" s="5">
        <v>43578.956180555557</v>
      </c>
      <c r="E875" s="1">
        <f t="shared" si="94"/>
        <v>2019</v>
      </c>
      <c r="F875" s="1">
        <f t="shared" si="95"/>
        <v>4</v>
      </c>
      <c r="G875" s="4">
        <f t="shared" si="96"/>
        <v>23</v>
      </c>
      <c r="H875" s="8">
        <v>0.9555555555555556</v>
      </c>
      <c r="I875" s="11">
        <v>126.25700000000001</v>
      </c>
      <c r="J875" s="11">
        <v>27.257999999999999</v>
      </c>
      <c r="K875" s="9">
        <v>9.3800000000000008</v>
      </c>
      <c r="L875" s="9">
        <v>10</v>
      </c>
      <c r="M875" s="9">
        <v>0</v>
      </c>
      <c r="N875" s="12">
        <v>25.572099999999999</v>
      </c>
      <c r="O875" s="11">
        <v>34.615200000000002</v>
      </c>
      <c r="P875" s="33">
        <v>0.24157809882352943</v>
      </c>
      <c r="Q875" s="33">
        <v>1.6272085882352947</v>
      </c>
      <c r="R875" s="1" t="s">
        <v>280</v>
      </c>
      <c r="S875" s="1">
        <v>1</v>
      </c>
      <c r="T875" s="71" t="s">
        <v>626</v>
      </c>
    </row>
    <row r="876" spans="1:20" ht="12.75" customHeight="1">
      <c r="A876" s="1" t="s">
        <v>474</v>
      </c>
      <c r="B876" s="1">
        <v>49</v>
      </c>
      <c r="C876" s="1" t="s">
        <v>511</v>
      </c>
      <c r="D876" s="5">
        <v>43578.956180555557</v>
      </c>
      <c r="E876" s="1">
        <f t="shared" si="94"/>
        <v>2019</v>
      </c>
      <c r="F876" s="1">
        <f t="shared" si="95"/>
        <v>4</v>
      </c>
      <c r="G876" s="4">
        <f t="shared" si="96"/>
        <v>23</v>
      </c>
      <c r="H876" s="8">
        <v>0.9555555555555556</v>
      </c>
      <c r="I876" s="11">
        <v>126.25700000000001</v>
      </c>
      <c r="J876" s="11">
        <v>27.257999999999999</v>
      </c>
      <c r="K876" s="9">
        <v>19.375</v>
      </c>
      <c r="L876" s="9">
        <v>20</v>
      </c>
      <c r="M876" s="9">
        <v>0</v>
      </c>
      <c r="N876" s="12">
        <v>25.573899999999998</v>
      </c>
      <c r="O876" s="11">
        <v>34.615400000000001</v>
      </c>
      <c r="P876" s="33">
        <v>0.22703453647058813</v>
      </c>
      <c r="Q876" s="33">
        <v>1.645116464705886</v>
      </c>
      <c r="R876" s="1" t="s">
        <v>280</v>
      </c>
      <c r="S876" s="1">
        <v>1</v>
      </c>
      <c r="T876" s="71" t="s">
        <v>626</v>
      </c>
    </row>
    <row r="877" spans="1:20" ht="12.75" customHeight="1">
      <c r="A877" s="1" t="s">
        <v>474</v>
      </c>
      <c r="B877" s="1">
        <v>49</v>
      </c>
      <c r="C877" s="1" t="s">
        <v>511</v>
      </c>
      <c r="D877" s="5">
        <v>43578.956180555557</v>
      </c>
      <c r="E877" s="1">
        <f t="shared" si="94"/>
        <v>2019</v>
      </c>
      <c r="F877" s="1">
        <f t="shared" si="95"/>
        <v>4</v>
      </c>
      <c r="G877" s="4">
        <f t="shared" si="96"/>
        <v>23</v>
      </c>
      <c r="H877" s="8">
        <v>0.9555555555555556</v>
      </c>
      <c r="I877" s="11">
        <v>126.25700000000001</v>
      </c>
      <c r="J877" s="11">
        <v>27.257999999999999</v>
      </c>
      <c r="K877" s="9">
        <v>29.504999999999999</v>
      </c>
      <c r="L877" s="9">
        <v>30</v>
      </c>
      <c r="M877" s="9">
        <v>0</v>
      </c>
      <c r="N877" s="12">
        <v>25.561599999999999</v>
      </c>
      <c r="O877" s="11">
        <v>34.626199999999997</v>
      </c>
      <c r="P877" s="33">
        <v>0.25770537411764671</v>
      </c>
      <c r="Q877" s="33">
        <v>1.5945612411764714</v>
      </c>
      <c r="R877" s="1" t="s">
        <v>280</v>
      </c>
      <c r="S877" s="1">
        <v>1</v>
      </c>
      <c r="T877" s="71" t="s">
        <v>626</v>
      </c>
    </row>
    <row r="878" spans="1:20" ht="12.75" customHeight="1">
      <c r="A878" s="1" t="s">
        <v>474</v>
      </c>
      <c r="B878" s="1">
        <v>49</v>
      </c>
      <c r="C878" s="1" t="s">
        <v>511</v>
      </c>
      <c r="D878" s="5">
        <v>43578.956180555557</v>
      </c>
      <c r="E878" s="1">
        <f t="shared" si="94"/>
        <v>2019</v>
      </c>
      <c r="F878" s="1">
        <f t="shared" si="95"/>
        <v>4</v>
      </c>
      <c r="G878" s="4">
        <f t="shared" si="96"/>
        <v>23</v>
      </c>
      <c r="H878" s="8">
        <v>0.9555555555555556</v>
      </c>
      <c r="I878" s="11">
        <v>126.25700000000001</v>
      </c>
      <c r="J878" s="11">
        <v>27.257999999999999</v>
      </c>
      <c r="K878" s="9">
        <v>49.412999999999997</v>
      </c>
      <c r="L878" s="9">
        <v>50</v>
      </c>
      <c r="M878" s="9">
        <v>0</v>
      </c>
      <c r="N878" s="12">
        <v>25.300799999999999</v>
      </c>
      <c r="O878" s="11">
        <v>34.688600000000001</v>
      </c>
      <c r="P878" s="33">
        <v>0.27392936470588269</v>
      </c>
      <c r="Q878" s="33">
        <v>1.7555696470588238</v>
      </c>
      <c r="R878" s="1" t="s">
        <v>280</v>
      </c>
      <c r="S878" s="1">
        <v>1</v>
      </c>
      <c r="T878" s="71" t="s">
        <v>626</v>
      </c>
    </row>
    <row r="879" spans="1:20" ht="12.75" customHeight="1">
      <c r="A879" s="1" t="s">
        <v>474</v>
      </c>
      <c r="B879" s="1">
        <v>49</v>
      </c>
      <c r="C879" s="1" t="s">
        <v>511</v>
      </c>
      <c r="D879" s="5">
        <v>43578.956180555557</v>
      </c>
      <c r="E879" s="1">
        <f t="shared" si="94"/>
        <v>2019</v>
      </c>
      <c r="F879" s="1">
        <f t="shared" si="95"/>
        <v>4</v>
      </c>
      <c r="G879" s="4">
        <f t="shared" si="96"/>
        <v>23</v>
      </c>
      <c r="H879" s="8">
        <v>0.9555555555555556</v>
      </c>
      <c r="I879" s="11">
        <v>126.25700000000001</v>
      </c>
      <c r="J879" s="11">
        <v>27.257999999999999</v>
      </c>
      <c r="K879" s="9">
        <v>74.275999999999996</v>
      </c>
      <c r="L879" s="9">
        <v>75</v>
      </c>
      <c r="M879" s="9">
        <v>0</v>
      </c>
      <c r="N879" s="12">
        <v>24.8506</v>
      </c>
      <c r="O879" s="11">
        <v>34.733199999999997</v>
      </c>
      <c r="P879" s="33">
        <v>0.2550698823529407</v>
      </c>
      <c r="Q879" s="33">
        <v>1.7476312235294138</v>
      </c>
      <c r="R879" s="1" t="s">
        <v>280</v>
      </c>
      <c r="S879" s="1">
        <v>1</v>
      </c>
      <c r="T879" s="71" t="s">
        <v>626</v>
      </c>
    </row>
    <row r="880" spans="1:20" ht="12.75" customHeight="1">
      <c r="A880" s="1" t="s">
        <v>474</v>
      </c>
      <c r="B880" s="1">
        <v>49</v>
      </c>
      <c r="C880" s="1" t="s">
        <v>511</v>
      </c>
      <c r="D880" s="5">
        <v>43578.956180555557</v>
      </c>
      <c r="E880" s="1">
        <f t="shared" si="94"/>
        <v>2019</v>
      </c>
      <c r="F880" s="1">
        <f t="shared" si="95"/>
        <v>4</v>
      </c>
      <c r="G880" s="4">
        <f t="shared" si="96"/>
        <v>23</v>
      </c>
      <c r="H880" s="8">
        <v>0.9555555555555556</v>
      </c>
      <c r="I880" s="11">
        <v>126.25700000000001</v>
      </c>
      <c r="J880" s="11">
        <v>27.257999999999999</v>
      </c>
      <c r="K880" s="9">
        <v>98.87</v>
      </c>
      <c r="L880" s="9">
        <v>100</v>
      </c>
      <c r="M880" s="9">
        <v>0</v>
      </c>
      <c r="N880" s="12">
        <v>24.215199999999999</v>
      </c>
      <c r="O880" s="11">
        <v>34.777500000000003</v>
      </c>
      <c r="P880" s="33">
        <v>0.25511823999999983</v>
      </c>
      <c r="Q880" s="33">
        <v>1.6546564999999998</v>
      </c>
      <c r="R880" s="1" t="s">
        <v>280</v>
      </c>
      <c r="S880" s="1">
        <v>1</v>
      </c>
      <c r="T880" s="71" t="s">
        <v>626</v>
      </c>
    </row>
    <row r="881" spans="1:20" ht="12.75" customHeight="1">
      <c r="A881" s="1" t="s">
        <v>474</v>
      </c>
      <c r="B881" s="1">
        <v>49</v>
      </c>
      <c r="C881" s="1" t="s">
        <v>511</v>
      </c>
      <c r="D881" s="5">
        <v>43578.956180555557</v>
      </c>
      <c r="E881" s="1">
        <f t="shared" si="94"/>
        <v>2019</v>
      </c>
      <c r="F881" s="1">
        <f t="shared" si="95"/>
        <v>4</v>
      </c>
      <c r="G881" s="4">
        <f t="shared" si="96"/>
        <v>23</v>
      </c>
      <c r="H881" s="8">
        <v>0.9555555555555556</v>
      </c>
      <c r="I881" s="11">
        <v>126.25700000000001</v>
      </c>
      <c r="J881" s="11">
        <v>27.257999999999999</v>
      </c>
      <c r="K881" s="9">
        <v>123.783</v>
      </c>
      <c r="L881" s="9">
        <v>125</v>
      </c>
      <c r="M881" s="9">
        <v>0</v>
      </c>
      <c r="N881" s="12">
        <v>22.316500000000001</v>
      </c>
      <c r="O881" s="11">
        <v>34.678899999999999</v>
      </c>
      <c r="P881" s="33">
        <v>0.22886003764705887</v>
      </c>
      <c r="Q881" s="33">
        <v>1.5555654764705888</v>
      </c>
      <c r="R881" s="1" t="s">
        <v>280</v>
      </c>
      <c r="S881" s="1">
        <v>1</v>
      </c>
      <c r="T881" s="71" t="s">
        <v>626</v>
      </c>
    </row>
    <row r="882" spans="1:20" ht="12.75" customHeight="1">
      <c r="A882" s="1" t="s">
        <v>474</v>
      </c>
      <c r="B882" s="1">
        <v>49</v>
      </c>
      <c r="C882" s="1" t="s">
        <v>511</v>
      </c>
      <c r="D882" s="5">
        <v>43578.956180555557</v>
      </c>
      <c r="E882" s="1">
        <f t="shared" si="94"/>
        <v>2019</v>
      </c>
      <c r="F882" s="1">
        <f t="shared" si="95"/>
        <v>4</v>
      </c>
      <c r="G882" s="4">
        <f t="shared" si="96"/>
        <v>23</v>
      </c>
      <c r="H882" s="8">
        <v>0.9555555555555556</v>
      </c>
      <c r="I882" s="11">
        <v>126.25700000000001</v>
      </c>
      <c r="J882" s="11">
        <v>27.257999999999999</v>
      </c>
      <c r="K882" s="9">
        <v>149.107</v>
      </c>
      <c r="L882" s="9">
        <v>150</v>
      </c>
      <c r="M882" s="9">
        <v>0</v>
      </c>
      <c r="N882" s="12">
        <v>21.819099999999999</v>
      </c>
      <c r="O882" s="11">
        <v>34.673099999999998</v>
      </c>
      <c r="P882" s="33">
        <v>0.26857375529411742</v>
      </c>
      <c r="Q882" s="33">
        <v>1.703296752941176</v>
      </c>
      <c r="R882" s="1" t="s">
        <v>280</v>
      </c>
      <c r="S882" s="1">
        <v>1</v>
      </c>
      <c r="T882" s="71" t="s">
        <v>626</v>
      </c>
    </row>
    <row r="883" spans="1:20" ht="12.75" customHeight="1">
      <c r="A883" s="1" t="s">
        <v>474</v>
      </c>
      <c r="B883" s="1">
        <v>49</v>
      </c>
      <c r="C883" s="1" t="s">
        <v>511</v>
      </c>
      <c r="D883" s="5">
        <v>43578.956180555557</v>
      </c>
      <c r="E883" s="1">
        <f t="shared" si="94"/>
        <v>2019</v>
      </c>
      <c r="F883" s="1">
        <f t="shared" si="95"/>
        <v>4</v>
      </c>
      <c r="G883" s="4">
        <f t="shared" si="96"/>
        <v>23</v>
      </c>
      <c r="H883" s="8">
        <v>0.9555555555555556</v>
      </c>
      <c r="I883" s="11">
        <v>126.25700000000001</v>
      </c>
      <c r="J883" s="11">
        <v>27.257999999999999</v>
      </c>
      <c r="K883" s="9">
        <v>198.684</v>
      </c>
      <c r="L883" s="9">
        <v>200</v>
      </c>
      <c r="M883" s="9">
        <v>0</v>
      </c>
      <c r="N883" s="12">
        <v>20.613399999999999</v>
      </c>
      <c r="O883" s="11">
        <v>34.7532</v>
      </c>
      <c r="P883" s="33">
        <v>0.26636139294117678</v>
      </c>
      <c r="Q883" s="33">
        <v>1.6405089294117641</v>
      </c>
      <c r="R883" s="1" t="s">
        <v>280</v>
      </c>
      <c r="S883" s="1">
        <v>1</v>
      </c>
      <c r="T883" s="71" t="s">
        <v>626</v>
      </c>
    </row>
    <row r="884" spans="1:20" ht="12.75" customHeight="1">
      <c r="A884" s="1" t="s">
        <v>474</v>
      </c>
      <c r="B884" s="1">
        <v>49</v>
      </c>
      <c r="C884" s="1" t="s">
        <v>511</v>
      </c>
      <c r="D884" s="5">
        <v>43578.956180555557</v>
      </c>
      <c r="E884" s="1">
        <f t="shared" si="94"/>
        <v>2019</v>
      </c>
      <c r="F884" s="1">
        <f t="shared" si="95"/>
        <v>4</v>
      </c>
      <c r="G884" s="4">
        <f t="shared" si="96"/>
        <v>23</v>
      </c>
      <c r="H884" s="8">
        <v>0.9555555555555556</v>
      </c>
      <c r="I884" s="11">
        <v>126.25700000000001</v>
      </c>
      <c r="J884" s="11">
        <v>27.257999999999999</v>
      </c>
      <c r="K884" s="9">
        <v>297.846</v>
      </c>
      <c r="L884" s="9">
        <v>300</v>
      </c>
      <c r="M884" s="9">
        <v>0</v>
      </c>
      <c r="N884" s="12">
        <v>12.930999999999999</v>
      </c>
      <c r="O884" s="11">
        <v>34.451799999999999</v>
      </c>
      <c r="P884" s="33">
        <v>9.1306710588234807E-2</v>
      </c>
      <c r="Q884" s="33">
        <v>0.44620560588235492</v>
      </c>
      <c r="R884" s="1" t="s">
        <v>280</v>
      </c>
      <c r="S884" s="1">
        <v>1</v>
      </c>
      <c r="T884" s="71" t="s">
        <v>626</v>
      </c>
    </row>
    <row r="885" spans="1:20" ht="12.75" customHeight="1">
      <c r="A885" s="1" t="s">
        <v>474</v>
      </c>
      <c r="B885" s="1">
        <v>49</v>
      </c>
      <c r="C885" s="1" t="s">
        <v>511</v>
      </c>
      <c r="D885" s="5">
        <v>43578.956180555557</v>
      </c>
      <c r="E885" s="1">
        <f t="shared" si="94"/>
        <v>2019</v>
      </c>
      <c r="F885" s="1">
        <f t="shared" si="95"/>
        <v>4</v>
      </c>
      <c r="G885" s="4">
        <f t="shared" si="96"/>
        <v>23</v>
      </c>
      <c r="H885" s="8">
        <v>0.9555555555555556</v>
      </c>
      <c r="I885" s="11">
        <v>126.25700000000001</v>
      </c>
      <c r="J885" s="11">
        <v>27.257999999999999</v>
      </c>
      <c r="K885" s="9">
        <v>496.97399999999999</v>
      </c>
      <c r="L885" s="9">
        <v>500</v>
      </c>
      <c r="M885" s="9">
        <v>0</v>
      </c>
      <c r="N885" s="12">
        <v>8.2576000000000001</v>
      </c>
      <c r="O885" s="11">
        <v>34.309199999999997</v>
      </c>
      <c r="P885" s="33">
        <v>-7.4910611764706037E-2</v>
      </c>
      <c r="Q885" s="33">
        <v>-0.76664391764705897</v>
      </c>
      <c r="R885" s="1" t="s">
        <v>280</v>
      </c>
      <c r="S885" s="1">
        <v>1</v>
      </c>
      <c r="T885" s="71" t="s">
        <v>626</v>
      </c>
    </row>
    <row r="886" spans="1:20" ht="12.75" customHeight="1">
      <c r="P886" s="33"/>
      <c r="Q886" s="33"/>
      <c r="T886" s="71"/>
    </row>
    <row r="887" spans="1:20" ht="12.75" customHeight="1">
      <c r="A887" s="1" t="s">
        <v>474</v>
      </c>
      <c r="B887" s="1">
        <v>63</v>
      </c>
      <c r="C887" s="1" t="s">
        <v>511</v>
      </c>
      <c r="D887" s="5">
        <v>43580.656342592592</v>
      </c>
      <c r="E887" s="1">
        <f t="shared" si="94"/>
        <v>2019</v>
      </c>
      <c r="F887" s="1">
        <f t="shared" si="95"/>
        <v>4</v>
      </c>
      <c r="G887" s="4">
        <f t="shared" si="96"/>
        <v>25</v>
      </c>
      <c r="H887" s="8">
        <v>0.65625</v>
      </c>
      <c r="I887" s="11">
        <v>124.756</v>
      </c>
      <c r="J887" s="11">
        <v>27.753</v>
      </c>
      <c r="K887" s="9">
        <v>0</v>
      </c>
      <c r="L887" s="9">
        <v>0</v>
      </c>
      <c r="M887" s="27">
        <v>0</v>
      </c>
      <c r="N887" s="32">
        <v>22.5</v>
      </c>
      <c r="O887" s="11">
        <v>34.334083768284394</v>
      </c>
      <c r="P887" s="33">
        <v>0.13762605882352918</v>
      </c>
      <c r="Q887" s="33">
        <v>1.1328109905882382</v>
      </c>
      <c r="R887" s="1" t="s">
        <v>280</v>
      </c>
      <c r="S887" s="1">
        <v>1</v>
      </c>
      <c r="T887" s="71" t="s">
        <v>626</v>
      </c>
    </row>
    <row r="888" spans="1:20" ht="12.75" customHeight="1">
      <c r="A888" s="1" t="s">
        <v>474</v>
      </c>
      <c r="B888" s="1">
        <v>63</v>
      </c>
      <c r="C888" s="1" t="s">
        <v>511</v>
      </c>
      <c r="D888" s="5">
        <v>43580.656342592592</v>
      </c>
      <c r="E888" s="1">
        <f t="shared" si="94"/>
        <v>2019</v>
      </c>
      <c r="F888" s="1">
        <f t="shared" si="95"/>
        <v>4</v>
      </c>
      <c r="G888" s="4">
        <f t="shared" si="96"/>
        <v>25</v>
      </c>
      <c r="H888" s="8">
        <v>0.65625</v>
      </c>
      <c r="I888" s="11">
        <v>124.756</v>
      </c>
      <c r="J888" s="11">
        <v>27.753</v>
      </c>
      <c r="K888" s="9">
        <v>9.3719999999999999</v>
      </c>
      <c r="L888" s="9">
        <v>10</v>
      </c>
      <c r="M888" s="9">
        <v>0</v>
      </c>
      <c r="N888" s="12">
        <v>22.462399999999999</v>
      </c>
      <c r="O888" s="11">
        <v>34.3142</v>
      </c>
      <c r="P888" s="33">
        <v>0.15493641176470607</v>
      </c>
      <c r="Q888" s="33">
        <v>1.0482384141176464</v>
      </c>
      <c r="R888" s="1" t="s">
        <v>280</v>
      </c>
      <c r="S888" s="1">
        <v>1</v>
      </c>
      <c r="T888" s="71" t="s">
        <v>626</v>
      </c>
    </row>
    <row r="889" spans="1:20" ht="12.75" customHeight="1">
      <c r="A889" s="1" t="s">
        <v>474</v>
      </c>
      <c r="B889" s="1">
        <v>63</v>
      </c>
      <c r="C889" s="1" t="s">
        <v>511</v>
      </c>
      <c r="D889" s="5">
        <v>43580.656342592592</v>
      </c>
      <c r="E889" s="1">
        <f t="shared" si="94"/>
        <v>2019</v>
      </c>
      <c r="F889" s="1">
        <f t="shared" si="95"/>
        <v>4</v>
      </c>
      <c r="G889" s="4">
        <f t="shared" si="96"/>
        <v>25</v>
      </c>
      <c r="H889" s="8">
        <v>0.65625</v>
      </c>
      <c r="I889" s="11">
        <v>124.756</v>
      </c>
      <c r="J889" s="11">
        <v>27.753</v>
      </c>
      <c r="K889" s="9">
        <v>19.741</v>
      </c>
      <c r="L889" s="9">
        <v>20</v>
      </c>
      <c r="M889" s="9">
        <v>0</v>
      </c>
      <c r="N889" s="12">
        <v>21.339500000000001</v>
      </c>
      <c r="O889" s="11">
        <v>34.405200000000001</v>
      </c>
      <c r="P889" s="33">
        <v>0.16608176470588232</v>
      </c>
      <c r="Q889" s="33">
        <v>1.0849561376470565</v>
      </c>
      <c r="R889" s="1" t="s">
        <v>280</v>
      </c>
      <c r="S889" s="1">
        <v>1</v>
      </c>
      <c r="T889" s="71" t="s">
        <v>626</v>
      </c>
    </row>
    <row r="890" spans="1:20" ht="12.75" customHeight="1">
      <c r="A890" s="1" t="s">
        <v>474</v>
      </c>
      <c r="B890" s="1">
        <v>63</v>
      </c>
      <c r="C890" s="1" t="s">
        <v>511</v>
      </c>
      <c r="D890" s="5">
        <v>43580.656342592592</v>
      </c>
      <c r="E890" s="1">
        <f t="shared" si="94"/>
        <v>2019</v>
      </c>
      <c r="F890" s="1">
        <f t="shared" si="95"/>
        <v>4</v>
      </c>
      <c r="G890" s="4">
        <f t="shared" si="96"/>
        <v>25</v>
      </c>
      <c r="H890" s="8">
        <v>0.65625</v>
      </c>
      <c r="I890" s="11">
        <v>124.756</v>
      </c>
      <c r="J890" s="11">
        <v>27.753</v>
      </c>
      <c r="K890" s="9">
        <v>29.463000000000001</v>
      </c>
      <c r="L890" s="9">
        <v>30</v>
      </c>
      <c r="M890" s="9">
        <v>0</v>
      </c>
      <c r="N890" s="12">
        <v>21.0076</v>
      </c>
      <c r="O890" s="11">
        <v>34.423699999999997</v>
      </c>
      <c r="P890" s="33">
        <v>0.127</v>
      </c>
      <c r="Q890" s="33">
        <v>0.98699999999999999</v>
      </c>
      <c r="R890" s="1" t="s">
        <v>280</v>
      </c>
      <c r="S890" s="1">
        <v>1</v>
      </c>
      <c r="T890" s="71" t="s">
        <v>626</v>
      </c>
    </row>
    <row r="891" spans="1:20" ht="12.75" customHeight="1">
      <c r="A891" s="1" t="s">
        <v>474</v>
      </c>
      <c r="B891" s="1">
        <v>63</v>
      </c>
      <c r="C891" s="1" t="s">
        <v>511</v>
      </c>
      <c r="D891" s="5">
        <v>43580.656342592592</v>
      </c>
      <c r="E891" s="1">
        <f t="shared" si="94"/>
        <v>2019</v>
      </c>
      <c r="F891" s="1">
        <f t="shared" si="95"/>
        <v>4</v>
      </c>
      <c r="G891" s="4">
        <f t="shared" si="96"/>
        <v>25</v>
      </c>
      <c r="H891" s="8">
        <v>0.65625</v>
      </c>
      <c r="I891" s="11">
        <v>124.756</v>
      </c>
      <c r="J891" s="11">
        <v>27.753</v>
      </c>
      <c r="K891" s="9">
        <v>48.948999999999998</v>
      </c>
      <c r="L891" s="9">
        <v>50</v>
      </c>
      <c r="M891" s="9">
        <v>0</v>
      </c>
      <c r="N891" s="12">
        <v>20.754799999999999</v>
      </c>
      <c r="O891" s="11">
        <v>34.44</v>
      </c>
      <c r="P891" s="33">
        <v>0.17799999999999999</v>
      </c>
      <c r="Q891" s="33">
        <v>1.026</v>
      </c>
      <c r="R891" s="1" t="s">
        <v>280</v>
      </c>
      <c r="S891" s="1">
        <v>1</v>
      </c>
      <c r="T891" s="71" t="s">
        <v>626</v>
      </c>
    </row>
    <row r="892" spans="1:20" ht="12.75" customHeight="1">
      <c r="A892" s="1" t="s">
        <v>474</v>
      </c>
      <c r="B892" s="1">
        <v>63</v>
      </c>
      <c r="C892" s="1" t="s">
        <v>511</v>
      </c>
      <c r="D892" s="5">
        <v>43580.656342592592</v>
      </c>
      <c r="E892" s="1">
        <f t="shared" si="94"/>
        <v>2019</v>
      </c>
      <c r="F892" s="1">
        <f t="shared" si="95"/>
        <v>4</v>
      </c>
      <c r="G892" s="4">
        <f t="shared" si="96"/>
        <v>25</v>
      </c>
      <c r="H892" s="8">
        <v>0.65625</v>
      </c>
      <c r="I892" s="11">
        <v>124.756</v>
      </c>
      <c r="J892" s="11">
        <v>27.753</v>
      </c>
      <c r="K892" s="9">
        <v>74.897000000000006</v>
      </c>
      <c r="L892" s="9">
        <v>75</v>
      </c>
      <c r="M892" s="9">
        <v>0</v>
      </c>
      <c r="N892" s="12">
        <v>19.481999999999999</v>
      </c>
      <c r="O892" s="11">
        <v>34.6616</v>
      </c>
      <c r="P892" s="33">
        <v>0.21299999999999999</v>
      </c>
      <c r="Q892" s="33">
        <v>1.3340000000000001</v>
      </c>
      <c r="R892" s="1" t="s">
        <v>280</v>
      </c>
      <c r="S892" s="1">
        <v>1</v>
      </c>
      <c r="T892" s="71" t="s">
        <v>626</v>
      </c>
    </row>
    <row r="893" spans="1:20" ht="12.75" customHeight="1">
      <c r="A893" s="1" t="s">
        <v>474</v>
      </c>
      <c r="B893" s="1">
        <v>63</v>
      </c>
      <c r="C893" s="1" t="s">
        <v>511</v>
      </c>
      <c r="D893" s="5">
        <v>43580.656342592592</v>
      </c>
      <c r="E893" s="1">
        <f t="shared" si="94"/>
        <v>2019</v>
      </c>
      <c r="F893" s="1">
        <f t="shared" si="95"/>
        <v>4</v>
      </c>
      <c r="G893" s="4">
        <f t="shared" si="96"/>
        <v>25</v>
      </c>
      <c r="H893" s="8">
        <v>0.65625</v>
      </c>
      <c r="I893" s="11">
        <v>124.756</v>
      </c>
      <c r="J893" s="11">
        <v>27.753</v>
      </c>
      <c r="K893" s="9">
        <v>92.978999999999999</v>
      </c>
      <c r="L893" s="9">
        <v>93</v>
      </c>
      <c r="M893" s="9">
        <v>0</v>
      </c>
      <c r="N893" s="12">
        <v>19.2592</v>
      </c>
      <c r="O893" s="11">
        <v>34.664999999999999</v>
      </c>
      <c r="P893" s="33">
        <v>0.24399999999999999</v>
      </c>
      <c r="Q893" s="33">
        <v>1.4359999999999999</v>
      </c>
      <c r="R893" s="1" t="s">
        <v>280</v>
      </c>
      <c r="S893" s="1">
        <v>1</v>
      </c>
      <c r="T893" s="71" t="s">
        <v>626</v>
      </c>
    </row>
    <row r="894" spans="1:20" ht="12.75" customHeight="1">
      <c r="P894" s="33"/>
      <c r="Q894" s="33"/>
      <c r="T894" s="71"/>
    </row>
    <row r="895" spans="1:20" ht="12.75" customHeight="1">
      <c r="A895" s="1" t="s">
        <v>474</v>
      </c>
      <c r="B895" s="1">
        <v>74</v>
      </c>
      <c r="C895" s="1" t="s">
        <v>507</v>
      </c>
      <c r="D895" s="5">
        <v>43582</v>
      </c>
      <c r="E895" s="1">
        <f t="shared" si="94"/>
        <v>2019</v>
      </c>
      <c r="F895" s="1">
        <f t="shared" si="95"/>
        <v>4</v>
      </c>
      <c r="G895" s="4">
        <f t="shared" si="96"/>
        <v>27</v>
      </c>
      <c r="H895" s="8">
        <v>0.78819444444444453</v>
      </c>
      <c r="I895" s="11">
        <v>127.251</v>
      </c>
      <c r="J895" s="11">
        <v>31.753</v>
      </c>
      <c r="K895" s="9">
        <v>0</v>
      </c>
      <c r="L895" s="9">
        <v>0</v>
      </c>
      <c r="M895" s="27">
        <v>0</v>
      </c>
      <c r="N895" s="32">
        <v>20</v>
      </c>
      <c r="O895" s="11">
        <v>34.480580582624398</v>
      </c>
      <c r="P895" s="33">
        <v>0.16200000000000001</v>
      </c>
      <c r="Q895" s="33">
        <v>1.133</v>
      </c>
      <c r="R895" s="1" t="s">
        <v>280</v>
      </c>
      <c r="S895" s="1">
        <v>1</v>
      </c>
      <c r="T895" s="71" t="s">
        <v>626</v>
      </c>
    </row>
    <row r="896" spans="1:20" ht="12.75" customHeight="1">
      <c r="A896" s="1" t="s">
        <v>474</v>
      </c>
      <c r="B896" s="1">
        <v>74</v>
      </c>
      <c r="C896" s="1" t="s">
        <v>507</v>
      </c>
      <c r="D896" s="5">
        <v>43582</v>
      </c>
      <c r="E896" s="1">
        <f t="shared" si="94"/>
        <v>2019</v>
      </c>
      <c r="F896" s="1">
        <f t="shared" si="95"/>
        <v>4</v>
      </c>
      <c r="G896" s="4">
        <f t="shared" si="96"/>
        <v>27</v>
      </c>
      <c r="H896" s="8">
        <v>0.78819444444444453</v>
      </c>
      <c r="I896" s="11">
        <v>127.251</v>
      </c>
      <c r="J896" s="11">
        <v>31.753</v>
      </c>
      <c r="K896" s="9">
        <v>10.500999999999999</v>
      </c>
      <c r="L896" s="9">
        <v>10</v>
      </c>
      <c r="M896" s="9">
        <v>0</v>
      </c>
      <c r="N896" s="12">
        <v>20.258400000000002</v>
      </c>
      <c r="O896" s="11">
        <v>34.462200000000003</v>
      </c>
      <c r="P896" s="33">
        <v>0.16500000000000001</v>
      </c>
      <c r="Q896" s="33">
        <v>1.1559999999999999</v>
      </c>
      <c r="R896" s="1" t="s">
        <v>280</v>
      </c>
      <c r="S896" s="1">
        <v>1</v>
      </c>
      <c r="T896" s="71" t="s">
        <v>626</v>
      </c>
    </row>
    <row r="897" spans="1:20" ht="12.75" customHeight="1">
      <c r="A897" s="1" t="s">
        <v>474</v>
      </c>
      <c r="B897" s="1">
        <v>74</v>
      </c>
      <c r="C897" s="1" t="s">
        <v>507</v>
      </c>
      <c r="D897" s="5">
        <v>43582</v>
      </c>
      <c r="E897" s="1">
        <f t="shared" si="94"/>
        <v>2019</v>
      </c>
      <c r="F897" s="1">
        <f t="shared" si="95"/>
        <v>4</v>
      </c>
      <c r="G897" s="4">
        <f t="shared" si="96"/>
        <v>27</v>
      </c>
      <c r="H897" s="8">
        <v>0.78819444444444453</v>
      </c>
      <c r="I897" s="11">
        <v>127.251</v>
      </c>
      <c r="J897" s="11">
        <v>31.753</v>
      </c>
      <c r="K897" s="9">
        <v>20.268999999999998</v>
      </c>
      <c r="L897" s="9">
        <v>20</v>
      </c>
      <c r="M897" s="9">
        <v>0</v>
      </c>
      <c r="N897" s="12">
        <v>19.384699999999999</v>
      </c>
      <c r="O897" s="11">
        <v>34.341700000000003</v>
      </c>
      <c r="P897" s="33">
        <v>0.15900486470588238</v>
      </c>
      <c r="Q897" s="33">
        <v>1.0328288752941184</v>
      </c>
      <c r="R897" s="1" t="s">
        <v>280</v>
      </c>
      <c r="S897" s="1">
        <v>1</v>
      </c>
      <c r="T897" s="71" t="s">
        <v>626</v>
      </c>
    </row>
    <row r="898" spans="1:20" ht="12.75" customHeight="1">
      <c r="A898" s="1" t="s">
        <v>474</v>
      </c>
      <c r="B898" s="1">
        <v>74</v>
      </c>
      <c r="C898" s="1" t="s">
        <v>507</v>
      </c>
      <c r="D898" s="5">
        <v>43582</v>
      </c>
      <c r="E898" s="1">
        <f t="shared" si="94"/>
        <v>2019</v>
      </c>
      <c r="F898" s="1">
        <f t="shared" si="95"/>
        <v>4</v>
      </c>
      <c r="G898" s="4">
        <f t="shared" si="96"/>
        <v>27</v>
      </c>
      <c r="H898" s="8">
        <v>0.78819444444444453</v>
      </c>
      <c r="I898" s="11">
        <v>127.251</v>
      </c>
      <c r="J898" s="11">
        <v>31.753</v>
      </c>
      <c r="K898" s="9">
        <v>29.695</v>
      </c>
      <c r="L898" s="9">
        <v>30</v>
      </c>
      <c r="M898" s="9">
        <v>0</v>
      </c>
      <c r="N898" s="12">
        <v>18.356100000000001</v>
      </c>
      <c r="O898" s="11">
        <v>34.479199999999999</v>
      </c>
      <c r="P898" s="33">
        <v>0.18896980514705852</v>
      </c>
      <c r="Q898" s="33">
        <v>1.1153000823529418</v>
      </c>
      <c r="R898" s="1" t="s">
        <v>280</v>
      </c>
      <c r="S898" s="1">
        <v>1</v>
      </c>
      <c r="T898" s="71" t="s">
        <v>626</v>
      </c>
    </row>
    <row r="899" spans="1:20" ht="12.75" customHeight="1">
      <c r="A899" s="1" t="s">
        <v>474</v>
      </c>
      <c r="B899" s="1">
        <v>74</v>
      </c>
      <c r="C899" s="1" t="s">
        <v>507</v>
      </c>
      <c r="D899" s="5">
        <v>43582</v>
      </c>
      <c r="E899" s="1">
        <f t="shared" si="94"/>
        <v>2019</v>
      </c>
      <c r="F899" s="1">
        <f t="shared" si="95"/>
        <v>4</v>
      </c>
      <c r="G899" s="4">
        <f t="shared" si="96"/>
        <v>27</v>
      </c>
      <c r="H899" s="8">
        <v>0.78819444444444453</v>
      </c>
      <c r="I899" s="11">
        <v>127.251</v>
      </c>
      <c r="J899" s="11">
        <v>31.753</v>
      </c>
      <c r="K899" s="9">
        <v>50.015000000000001</v>
      </c>
      <c r="L899" s="9">
        <v>50</v>
      </c>
      <c r="M899" s="9">
        <v>0</v>
      </c>
      <c r="N899" s="12">
        <v>16.840900000000001</v>
      </c>
      <c r="O899" s="11">
        <v>34.2896</v>
      </c>
      <c r="P899" s="33">
        <v>0.14551499058823536</v>
      </c>
      <c r="Q899" s="33">
        <v>1.0107577694117662</v>
      </c>
      <c r="R899" s="1" t="s">
        <v>280</v>
      </c>
      <c r="S899" s="1">
        <v>1</v>
      </c>
      <c r="T899" s="71" t="s">
        <v>626</v>
      </c>
    </row>
    <row r="900" spans="1:20" ht="12.75" customHeight="1">
      <c r="A900" s="1" t="s">
        <v>474</v>
      </c>
      <c r="B900" s="1">
        <v>74</v>
      </c>
      <c r="C900" s="1" t="s">
        <v>507</v>
      </c>
      <c r="D900" s="5">
        <v>43582</v>
      </c>
      <c r="E900" s="1">
        <f t="shared" si="94"/>
        <v>2019</v>
      </c>
      <c r="F900" s="1">
        <f t="shared" si="95"/>
        <v>4</v>
      </c>
      <c r="G900" s="4">
        <f t="shared" si="96"/>
        <v>27</v>
      </c>
      <c r="H900" s="8">
        <v>0.78819444444444453</v>
      </c>
      <c r="I900" s="11">
        <v>127.251</v>
      </c>
      <c r="J900" s="11">
        <v>31.753</v>
      </c>
      <c r="K900" s="9">
        <v>75.304000000000002</v>
      </c>
      <c r="L900" s="9">
        <v>75</v>
      </c>
      <c r="M900" s="9">
        <v>0</v>
      </c>
      <c r="N900" s="12">
        <v>16.6035</v>
      </c>
      <c r="O900" s="11">
        <v>34.520899999999997</v>
      </c>
      <c r="P900" s="33">
        <v>0.16387520352941154</v>
      </c>
      <c r="Q900" s="33">
        <v>1.2444450164705891</v>
      </c>
      <c r="R900" s="1" t="s">
        <v>280</v>
      </c>
      <c r="S900" s="1">
        <v>1</v>
      </c>
      <c r="T900" s="71" t="s">
        <v>626</v>
      </c>
    </row>
    <row r="901" spans="1:20" ht="12.75" customHeight="1">
      <c r="A901" s="1" t="s">
        <v>474</v>
      </c>
      <c r="B901" s="1">
        <v>74</v>
      </c>
      <c r="C901" s="1" t="s">
        <v>507</v>
      </c>
      <c r="D901" s="5">
        <v>43582</v>
      </c>
      <c r="E901" s="1">
        <f t="shared" si="94"/>
        <v>2019</v>
      </c>
      <c r="F901" s="1">
        <f t="shared" si="95"/>
        <v>4</v>
      </c>
      <c r="G901" s="4">
        <f t="shared" si="96"/>
        <v>27</v>
      </c>
      <c r="H901" s="8">
        <v>0.78819444444444453</v>
      </c>
      <c r="I901" s="11">
        <v>127.251</v>
      </c>
      <c r="J901" s="11">
        <v>31.753</v>
      </c>
      <c r="K901" s="9">
        <v>100.233</v>
      </c>
      <c r="L901" s="9">
        <v>100</v>
      </c>
      <c r="M901" s="9">
        <v>0</v>
      </c>
      <c r="N901" s="12">
        <v>16.052</v>
      </c>
      <c r="O901" s="11">
        <v>34.471400000000003</v>
      </c>
      <c r="P901" s="33">
        <v>0.1605117764705879</v>
      </c>
      <c r="Q901" s="33">
        <v>1.096620743529412</v>
      </c>
      <c r="R901" s="1" t="s">
        <v>280</v>
      </c>
      <c r="S901" s="1">
        <v>1</v>
      </c>
      <c r="T901" s="71" t="s">
        <v>626</v>
      </c>
    </row>
    <row r="902" spans="1:20" ht="12.75" customHeight="1">
      <c r="A902" s="1" t="s">
        <v>474</v>
      </c>
      <c r="B902" s="1">
        <v>74</v>
      </c>
      <c r="C902" s="1" t="s">
        <v>507</v>
      </c>
      <c r="D902" s="5">
        <v>43582</v>
      </c>
      <c r="E902" s="1">
        <f t="shared" si="94"/>
        <v>2019</v>
      </c>
      <c r="F902" s="1">
        <f t="shared" si="95"/>
        <v>4</v>
      </c>
      <c r="G902" s="4">
        <f t="shared" si="96"/>
        <v>27</v>
      </c>
      <c r="H902" s="8">
        <v>0.78819444444444453</v>
      </c>
      <c r="I902" s="11">
        <v>127.251</v>
      </c>
      <c r="J902" s="11">
        <v>31.753</v>
      </c>
      <c r="K902" s="9">
        <v>121.319</v>
      </c>
      <c r="L902" s="9">
        <v>121</v>
      </c>
      <c r="M902" s="9">
        <v>0</v>
      </c>
      <c r="N902" s="12">
        <v>16.090800000000002</v>
      </c>
      <c r="O902" s="11">
        <v>34.529499999999999</v>
      </c>
      <c r="P902" s="33">
        <v>0.16555088941176477</v>
      </c>
      <c r="Q902" s="33">
        <v>1.2048444705882364</v>
      </c>
      <c r="R902" s="1" t="s">
        <v>280</v>
      </c>
      <c r="S902" s="1">
        <v>1</v>
      </c>
      <c r="T902" s="71" t="s">
        <v>626</v>
      </c>
    </row>
    <row r="903" spans="1:20" ht="12.75" customHeight="1">
      <c r="P903" s="33"/>
      <c r="Q903" s="33"/>
      <c r="T903" s="71"/>
    </row>
    <row r="904" spans="1:20" ht="12.75" customHeight="1">
      <c r="A904" s="1" t="s">
        <v>474</v>
      </c>
      <c r="B904" s="1">
        <v>77</v>
      </c>
      <c r="C904" s="1" t="s">
        <v>507</v>
      </c>
      <c r="D904" s="5">
        <v>43583</v>
      </c>
      <c r="E904" s="1">
        <f t="shared" si="94"/>
        <v>2019</v>
      </c>
      <c r="F904" s="1">
        <f t="shared" si="95"/>
        <v>4</v>
      </c>
      <c r="G904" s="4">
        <f t="shared" si="96"/>
        <v>28</v>
      </c>
      <c r="H904" s="8">
        <v>0.3263888888888889</v>
      </c>
      <c r="I904" s="11">
        <v>128.74799999999999</v>
      </c>
      <c r="J904" s="11">
        <v>31.751000000000001</v>
      </c>
      <c r="K904" s="9">
        <v>0</v>
      </c>
      <c r="L904" s="9">
        <v>0</v>
      </c>
      <c r="M904" s="9">
        <v>0</v>
      </c>
      <c r="N904" s="12">
        <v>20.125</v>
      </c>
      <c r="O904" s="11">
        <v>34.5416666666666</v>
      </c>
      <c r="P904" s="33">
        <v>0.16893842705882323</v>
      </c>
      <c r="Q904" s="33">
        <v>1.4419495529411783</v>
      </c>
      <c r="R904" s="1" t="s">
        <v>280</v>
      </c>
      <c r="S904" s="1">
        <v>1</v>
      </c>
      <c r="T904" s="71" t="s">
        <v>626</v>
      </c>
    </row>
    <row r="905" spans="1:20" ht="12.75" customHeight="1">
      <c r="A905" s="1" t="s">
        <v>474</v>
      </c>
      <c r="B905" s="1">
        <v>77</v>
      </c>
      <c r="C905" s="1" t="s">
        <v>507</v>
      </c>
      <c r="D905" s="5">
        <v>43583</v>
      </c>
      <c r="E905" s="1">
        <f t="shared" si="94"/>
        <v>2019</v>
      </c>
      <c r="F905" s="1">
        <f t="shared" si="95"/>
        <v>4</v>
      </c>
      <c r="G905" s="4">
        <f t="shared" si="96"/>
        <v>28</v>
      </c>
      <c r="H905" s="8">
        <v>0.3263888888888889</v>
      </c>
      <c r="I905" s="11">
        <v>128.74799999999999</v>
      </c>
      <c r="J905" s="11">
        <v>31.751000000000001</v>
      </c>
      <c r="K905" s="9">
        <v>9.5459999999999994</v>
      </c>
      <c r="L905" s="9">
        <v>10</v>
      </c>
      <c r="M905" s="9">
        <v>0</v>
      </c>
      <c r="N905" s="12">
        <v>20.165199999999999</v>
      </c>
      <c r="O905" s="11">
        <v>34.547400000000003</v>
      </c>
      <c r="P905" s="33">
        <v>0.14897485999999915</v>
      </c>
      <c r="Q905" s="33">
        <v>1.2194774400000004</v>
      </c>
      <c r="R905" s="1" t="s">
        <v>280</v>
      </c>
      <c r="S905" s="1">
        <v>1</v>
      </c>
      <c r="T905" s="71" t="s">
        <v>626</v>
      </c>
    </row>
    <row r="906" spans="1:20" ht="12.75" customHeight="1">
      <c r="A906" s="1" t="s">
        <v>474</v>
      </c>
      <c r="B906" s="1">
        <v>77</v>
      </c>
      <c r="C906" s="1" t="s">
        <v>507</v>
      </c>
      <c r="D906" s="5">
        <v>43583</v>
      </c>
      <c r="E906" s="1">
        <f t="shared" si="94"/>
        <v>2019</v>
      </c>
      <c r="F906" s="1">
        <f t="shared" si="95"/>
        <v>4</v>
      </c>
      <c r="G906" s="4">
        <f t="shared" si="96"/>
        <v>28</v>
      </c>
      <c r="H906" s="8">
        <v>0.3263888888888889</v>
      </c>
      <c r="I906" s="11">
        <v>128.74799999999999</v>
      </c>
      <c r="J906" s="11">
        <v>31.751000000000001</v>
      </c>
      <c r="K906" s="9">
        <v>19.63</v>
      </c>
      <c r="L906" s="9">
        <v>20</v>
      </c>
      <c r="M906" s="9">
        <v>0</v>
      </c>
      <c r="N906" s="12">
        <v>20.093699999999998</v>
      </c>
      <c r="O906" s="11">
        <v>34.541200000000003</v>
      </c>
      <c r="P906" s="33">
        <v>0.20094523294117606</v>
      </c>
      <c r="Q906" s="33">
        <v>1.1943592470588218</v>
      </c>
      <c r="R906" s="1" t="s">
        <v>280</v>
      </c>
      <c r="S906" s="1">
        <v>1</v>
      </c>
      <c r="T906" s="71" t="s">
        <v>626</v>
      </c>
    </row>
    <row r="907" spans="1:20" ht="12.75" customHeight="1">
      <c r="A907" s="1" t="s">
        <v>474</v>
      </c>
      <c r="B907" s="1">
        <v>77</v>
      </c>
      <c r="C907" s="1" t="s">
        <v>507</v>
      </c>
      <c r="D907" s="5">
        <v>43583</v>
      </c>
      <c r="E907" s="1">
        <f t="shared" si="94"/>
        <v>2019</v>
      </c>
      <c r="F907" s="1">
        <f t="shared" ref="F907:F924" si="97">MONTH(D907)</f>
        <v>4</v>
      </c>
      <c r="G907" s="4">
        <f t="shared" si="96"/>
        <v>28</v>
      </c>
      <c r="H907" s="8">
        <v>0.3263888888888889</v>
      </c>
      <c r="I907" s="11">
        <v>128.74799999999999</v>
      </c>
      <c r="J907" s="11">
        <v>31.751000000000001</v>
      </c>
      <c r="K907" s="9">
        <v>30.033999999999999</v>
      </c>
      <c r="L907" s="9">
        <v>30</v>
      </c>
      <c r="M907" s="9">
        <v>0</v>
      </c>
      <c r="N907" s="12">
        <v>19.713200000000001</v>
      </c>
      <c r="O907" s="11">
        <v>34.551099999999998</v>
      </c>
      <c r="P907" s="33">
        <v>0.20741892588235311</v>
      </c>
      <c r="Q907" s="33">
        <v>1.3975176941176475</v>
      </c>
      <c r="R907" s="1" t="s">
        <v>280</v>
      </c>
      <c r="S907" s="1">
        <v>1</v>
      </c>
      <c r="T907" s="71" t="s">
        <v>626</v>
      </c>
    </row>
    <row r="908" spans="1:20" ht="12.75" customHeight="1">
      <c r="A908" s="1" t="s">
        <v>474</v>
      </c>
      <c r="B908" s="1">
        <v>77</v>
      </c>
      <c r="C908" s="1" t="s">
        <v>507</v>
      </c>
      <c r="D908" s="5">
        <v>43583</v>
      </c>
      <c r="E908" s="1">
        <f t="shared" si="94"/>
        <v>2019</v>
      </c>
      <c r="F908" s="1">
        <f t="shared" si="97"/>
        <v>4</v>
      </c>
      <c r="G908" s="4">
        <f t="shared" si="96"/>
        <v>28</v>
      </c>
      <c r="H908" s="8">
        <v>0.3263888888888889</v>
      </c>
      <c r="I908" s="11">
        <v>128.74799999999999</v>
      </c>
      <c r="J908" s="11">
        <v>31.751000000000001</v>
      </c>
      <c r="K908" s="9">
        <v>49.372</v>
      </c>
      <c r="L908" s="9">
        <v>50</v>
      </c>
      <c r="M908" s="9">
        <v>0</v>
      </c>
      <c r="N908" s="12">
        <v>18.715199999999999</v>
      </c>
      <c r="O908" s="11">
        <v>34.6081</v>
      </c>
      <c r="P908" s="33">
        <v>0.19216897882352946</v>
      </c>
      <c r="Q908" s="33">
        <v>1.4639859011764695</v>
      </c>
      <c r="R908" s="1" t="s">
        <v>280</v>
      </c>
      <c r="S908" s="1">
        <v>1</v>
      </c>
      <c r="T908" s="71" t="s">
        <v>626</v>
      </c>
    </row>
    <row r="909" spans="1:20" ht="12.75" customHeight="1">
      <c r="A909" s="1" t="s">
        <v>474</v>
      </c>
      <c r="B909" s="1">
        <v>77</v>
      </c>
      <c r="C909" s="1" t="s">
        <v>507</v>
      </c>
      <c r="D909" s="5">
        <v>43583</v>
      </c>
      <c r="E909" s="1">
        <f t="shared" si="94"/>
        <v>2019</v>
      </c>
      <c r="F909" s="1">
        <f t="shared" si="97"/>
        <v>4</v>
      </c>
      <c r="G909" s="4">
        <f t="shared" si="96"/>
        <v>28</v>
      </c>
      <c r="H909" s="8">
        <v>0.3263888888888889</v>
      </c>
      <c r="I909" s="11">
        <v>128.74799999999999</v>
      </c>
      <c r="J909" s="11">
        <v>31.751000000000001</v>
      </c>
      <c r="K909" s="9">
        <v>74.494</v>
      </c>
      <c r="L909" s="9">
        <v>75</v>
      </c>
      <c r="M909" s="9">
        <v>0</v>
      </c>
      <c r="N909" s="12">
        <v>18.300799999999999</v>
      </c>
      <c r="O909" s="11">
        <v>34.643500000000003</v>
      </c>
      <c r="P909" s="33">
        <v>0.23799115176470576</v>
      </c>
      <c r="Q909" s="33">
        <v>1.5529075482352948</v>
      </c>
      <c r="R909" s="1" t="s">
        <v>280</v>
      </c>
      <c r="S909" s="1">
        <v>1</v>
      </c>
      <c r="T909" s="71" t="s">
        <v>626</v>
      </c>
    </row>
    <row r="910" spans="1:20" ht="12.75" customHeight="1">
      <c r="A910" s="1" t="s">
        <v>474</v>
      </c>
      <c r="B910" s="1">
        <v>77</v>
      </c>
      <c r="C910" s="1" t="s">
        <v>507</v>
      </c>
      <c r="D910" s="5">
        <v>43583</v>
      </c>
      <c r="E910" s="1">
        <f t="shared" si="94"/>
        <v>2019</v>
      </c>
      <c r="F910" s="1">
        <f t="shared" si="97"/>
        <v>4</v>
      </c>
      <c r="G910" s="4">
        <f t="shared" si="96"/>
        <v>28</v>
      </c>
      <c r="H910" s="8">
        <v>0.3263888888888889</v>
      </c>
      <c r="I910" s="11">
        <v>128.74799999999999</v>
      </c>
      <c r="J910" s="11">
        <v>31.751000000000001</v>
      </c>
      <c r="K910" s="9">
        <v>99.649000000000001</v>
      </c>
      <c r="L910" s="9">
        <v>100</v>
      </c>
      <c r="M910" s="9">
        <v>0</v>
      </c>
      <c r="N910" s="12">
        <v>17.350100000000001</v>
      </c>
      <c r="O910" s="11">
        <v>34.613700000000001</v>
      </c>
      <c r="P910" s="33">
        <v>0.20019780470588255</v>
      </c>
      <c r="Q910" s="33">
        <v>1.2095019952941186</v>
      </c>
      <c r="R910" s="1" t="s">
        <v>280</v>
      </c>
      <c r="S910" s="1">
        <v>1</v>
      </c>
      <c r="T910" s="71" t="s">
        <v>626</v>
      </c>
    </row>
    <row r="911" spans="1:20" ht="12.75" customHeight="1">
      <c r="A911" s="1" t="s">
        <v>474</v>
      </c>
      <c r="B911" s="1">
        <v>77</v>
      </c>
      <c r="C911" s="1" t="s">
        <v>507</v>
      </c>
      <c r="D911" s="5">
        <v>43583</v>
      </c>
      <c r="E911" s="1">
        <f t="shared" si="94"/>
        <v>2019</v>
      </c>
      <c r="F911" s="1">
        <f t="shared" si="97"/>
        <v>4</v>
      </c>
      <c r="G911" s="4">
        <f t="shared" si="96"/>
        <v>28</v>
      </c>
      <c r="H911" s="8">
        <v>0.3263888888888889</v>
      </c>
      <c r="I911" s="11">
        <v>128.74799999999999</v>
      </c>
      <c r="J911" s="11">
        <v>31.751000000000001</v>
      </c>
      <c r="K911" s="9">
        <v>124.244</v>
      </c>
      <c r="L911" s="9">
        <v>125</v>
      </c>
      <c r="M911" s="9">
        <v>0</v>
      </c>
      <c r="N911" s="12">
        <v>16.573499999999999</v>
      </c>
      <c r="O911" s="11">
        <v>34.6126</v>
      </c>
      <c r="P911" s="33">
        <v>0.20537248470588265</v>
      </c>
      <c r="Q911" s="33">
        <v>1.1345096823529417</v>
      </c>
      <c r="R911" s="1" t="s">
        <v>280</v>
      </c>
      <c r="S911" s="1">
        <v>1</v>
      </c>
      <c r="T911" s="71" t="s">
        <v>626</v>
      </c>
    </row>
    <row r="912" spans="1:20" ht="12.75" customHeight="1">
      <c r="A912" s="1" t="s">
        <v>474</v>
      </c>
      <c r="B912" s="1">
        <v>77</v>
      </c>
      <c r="C912" s="1" t="s">
        <v>507</v>
      </c>
      <c r="D912" s="5">
        <v>43583</v>
      </c>
      <c r="E912" s="1">
        <f t="shared" si="94"/>
        <v>2019</v>
      </c>
      <c r="F912" s="1">
        <f t="shared" si="97"/>
        <v>4</v>
      </c>
      <c r="G912" s="4">
        <f t="shared" si="96"/>
        <v>28</v>
      </c>
      <c r="H912" s="8">
        <v>0.3263888888888889</v>
      </c>
      <c r="I912" s="11">
        <v>128.74799999999999</v>
      </c>
      <c r="J912" s="11">
        <v>31.751000000000001</v>
      </c>
      <c r="K912" s="9">
        <v>148.786</v>
      </c>
      <c r="L912" s="9">
        <v>150</v>
      </c>
      <c r="M912" s="9">
        <v>0</v>
      </c>
      <c r="N912" s="12">
        <v>15.6172</v>
      </c>
      <c r="O912" s="11">
        <v>34.584200000000003</v>
      </c>
      <c r="P912" s="33">
        <v>0.17838522875817064</v>
      </c>
      <c r="Q912" s="33">
        <v>1.0337998366013057</v>
      </c>
      <c r="R912" s="1" t="s">
        <v>280</v>
      </c>
      <c r="S912" s="1">
        <v>1</v>
      </c>
      <c r="T912" s="71" t="s">
        <v>626</v>
      </c>
    </row>
    <row r="913" spans="1:20" ht="12.75" customHeight="1">
      <c r="A913" s="1" t="s">
        <v>474</v>
      </c>
      <c r="B913" s="1">
        <v>77</v>
      </c>
      <c r="C913" s="1" t="s">
        <v>507</v>
      </c>
      <c r="D913" s="5">
        <v>43583</v>
      </c>
      <c r="E913" s="1">
        <f t="shared" si="94"/>
        <v>2019</v>
      </c>
      <c r="F913" s="1">
        <f t="shared" si="97"/>
        <v>4</v>
      </c>
      <c r="G913" s="4">
        <f t="shared" si="96"/>
        <v>28</v>
      </c>
      <c r="H913" s="8">
        <v>0.3263888888888889</v>
      </c>
      <c r="I913" s="11">
        <v>128.74799999999999</v>
      </c>
      <c r="J913" s="11">
        <v>31.751000000000001</v>
      </c>
      <c r="K913" s="9">
        <v>198.589</v>
      </c>
      <c r="L913" s="9">
        <v>200</v>
      </c>
      <c r="M913" s="9">
        <v>0</v>
      </c>
      <c r="N913" s="12">
        <v>13.5777</v>
      </c>
      <c r="O913" s="11">
        <v>34.491</v>
      </c>
      <c r="P913" s="33">
        <v>0.11991731058823518</v>
      </c>
      <c r="Q913" s="33">
        <v>0.51069573529411727</v>
      </c>
      <c r="R913" s="1" t="s">
        <v>280</v>
      </c>
      <c r="S913" s="1">
        <v>1</v>
      </c>
      <c r="T913" s="71" t="s">
        <v>626</v>
      </c>
    </row>
    <row r="914" spans="1:20" ht="12.75" customHeight="1">
      <c r="A914" s="1" t="s">
        <v>474</v>
      </c>
      <c r="B914" s="1">
        <v>77</v>
      </c>
      <c r="C914" s="1" t="s">
        <v>507</v>
      </c>
      <c r="D914" s="5">
        <v>43583</v>
      </c>
      <c r="E914" s="1">
        <f t="shared" si="94"/>
        <v>2019</v>
      </c>
      <c r="F914" s="1">
        <f t="shared" si="97"/>
        <v>4</v>
      </c>
      <c r="G914" s="4">
        <f t="shared" ref="G914:G924" si="98">DAY(D914)</f>
        <v>28</v>
      </c>
      <c r="H914" s="8">
        <v>0.3263888888888889</v>
      </c>
      <c r="I914" s="11">
        <v>128.74799999999999</v>
      </c>
      <c r="J914" s="11">
        <v>31.751000000000001</v>
      </c>
      <c r="K914" s="9">
        <v>297.73099999999999</v>
      </c>
      <c r="L914" s="9">
        <v>300</v>
      </c>
      <c r="M914" s="9">
        <v>0</v>
      </c>
      <c r="N914" s="12">
        <v>11.281700000000001</v>
      </c>
      <c r="O914" s="11">
        <v>34.3857</v>
      </c>
      <c r="P914" s="33">
        <v>3.9337703529411794E-2</v>
      </c>
      <c r="Q914" s="33">
        <v>-9.8037988235294193E-2</v>
      </c>
      <c r="R914" s="1" t="s">
        <v>280</v>
      </c>
      <c r="S914" s="1">
        <v>1</v>
      </c>
      <c r="T914" s="71" t="s">
        <v>626</v>
      </c>
    </row>
    <row r="915" spans="1:20" ht="12.75" customHeight="1">
      <c r="A915" s="1" t="s">
        <v>474</v>
      </c>
      <c r="B915" s="1">
        <v>77</v>
      </c>
      <c r="C915" s="1" t="s">
        <v>507</v>
      </c>
      <c r="D915" s="5">
        <v>43583</v>
      </c>
      <c r="E915" s="1">
        <f t="shared" si="94"/>
        <v>2019</v>
      </c>
      <c r="F915" s="1">
        <f t="shared" si="97"/>
        <v>4</v>
      </c>
      <c r="G915" s="4">
        <f t="shared" si="98"/>
        <v>28</v>
      </c>
      <c r="H915" s="8">
        <v>0.3263888888888889</v>
      </c>
      <c r="I915" s="11">
        <v>128.74799999999999</v>
      </c>
      <c r="J915" s="11">
        <v>31.751000000000001</v>
      </c>
      <c r="K915" s="9">
        <v>497.08600000000001</v>
      </c>
      <c r="L915" s="9">
        <v>500</v>
      </c>
      <c r="M915" s="9">
        <v>0</v>
      </c>
      <c r="N915" s="12">
        <v>7.3460000000000001</v>
      </c>
      <c r="O915" s="11">
        <v>34.3489</v>
      </c>
      <c r="P915" s="33">
        <v>-0.1025847435294116</v>
      </c>
      <c r="Q915" s="33">
        <v>-1.0448490117647076</v>
      </c>
      <c r="R915" s="1" t="s">
        <v>280</v>
      </c>
      <c r="S915" s="1">
        <v>1</v>
      </c>
      <c r="T915" s="71" t="s">
        <v>626</v>
      </c>
    </row>
    <row r="916" spans="1:20" ht="12.75" customHeight="1">
      <c r="P916" s="33"/>
      <c r="Q916" s="33"/>
      <c r="T916" s="71"/>
    </row>
    <row r="917" spans="1:20" ht="12.75" customHeight="1">
      <c r="A917" s="1" t="s">
        <v>474</v>
      </c>
      <c r="B917" s="1">
        <v>89</v>
      </c>
      <c r="C917" s="1" t="s">
        <v>505</v>
      </c>
      <c r="D917" s="5">
        <v>43585</v>
      </c>
      <c r="E917" s="1">
        <f t="shared" ref="E917:E924" si="99">YEAR(D917)</f>
        <v>2019</v>
      </c>
      <c r="F917" s="1">
        <f t="shared" si="97"/>
        <v>4</v>
      </c>
      <c r="G917" s="4">
        <f t="shared" si="98"/>
        <v>30</v>
      </c>
      <c r="H917" s="8">
        <v>0.59444444444444444</v>
      </c>
      <c r="I917" s="11">
        <v>130.24799999999999</v>
      </c>
      <c r="J917" s="11">
        <v>34.979999999999997</v>
      </c>
      <c r="K917" s="9">
        <v>0</v>
      </c>
      <c r="L917" s="9">
        <v>0</v>
      </c>
      <c r="M917" s="27">
        <v>0</v>
      </c>
      <c r="N917" s="32">
        <v>16.600000000000001</v>
      </c>
      <c r="O917" s="11">
        <v>34.542914050673659</v>
      </c>
      <c r="P917" s="33">
        <v>0.16675190705882414</v>
      </c>
      <c r="Q917" s="33">
        <v>1.2724782917647062</v>
      </c>
      <c r="R917" s="1" t="s">
        <v>280</v>
      </c>
      <c r="S917" s="1">
        <v>1</v>
      </c>
      <c r="T917" s="71" t="s">
        <v>626</v>
      </c>
    </row>
    <row r="918" spans="1:20" ht="12.75" customHeight="1">
      <c r="A918" s="1" t="s">
        <v>474</v>
      </c>
      <c r="B918" s="1">
        <v>89</v>
      </c>
      <c r="C918" s="1" t="s">
        <v>505</v>
      </c>
      <c r="D918" s="5">
        <v>43585</v>
      </c>
      <c r="E918" s="1">
        <f t="shared" si="99"/>
        <v>2019</v>
      </c>
      <c r="F918" s="1">
        <f t="shared" si="97"/>
        <v>4</v>
      </c>
      <c r="G918" s="4">
        <f t="shared" si="98"/>
        <v>30</v>
      </c>
      <c r="H918" s="8">
        <v>0.59444444444444444</v>
      </c>
      <c r="I918" s="11">
        <v>130.24799999999999</v>
      </c>
      <c r="J918" s="11">
        <v>34.979999999999997</v>
      </c>
      <c r="K918" s="9">
        <v>9.9440000000000008</v>
      </c>
      <c r="L918" s="9">
        <v>10</v>
      </c>
      <c r="M918" s="9" t="s">
        <v>501</v>
      </c>
      <c r="N918" s="12">
        <v>16.4907</v>
      </c>
      <c r="O918" s="11">
        <v>34.531300000000002</v>
      </c>
      <c r="P918" s="33">
        <v>0.18561358823529472</v>
      </c>
      <c r="Q918" s="33">
        <v>1.3989059870588232</v>
      </c>
      <c r="R918" s="1" t="s">
        <v>280</v>
      </c>
      <c r="S918" s="1">
        <v>1</v>
      </c>
      <c r="T918" s="71" t="s">
        <v>626</v>
      </c>
    </row>
    <row r="919" spans="1:20" ht="12.75" customHeight="1">
      <c r="A919" s="1" t="s">
        <v>474</v>
      </c>
      <c r="B919" s="1">
        <v>89</v>
      </c>
      <c r="C919" s="1" t="s">
        <v>505</v>
      </c>
      <c r="D919" s="5">
        <v>43585</v>
      </c>
      <c r="E919" s="1">
        <f t="shared" si="99"/>
        <v>2019</v>
      </c>
      <c r="F919" s="1">
        <f t="shared" si="97"/>
        <v>4</v>
      </c>
      <c r="G919" s="4">
        <f t="shared" si="98"/>
        <v>30</v>
      </c>
      <c r="H919" s="8">
        <v>0.59444444444444444</v>
      </c>
      <c r="I919" s="11">
        <v>130.24799999999999</v>
      </c>
      <c r="J919" s="11">
        <v>34.979999999999997</v>
      </c>
      <c r="K919" s="9">
        <v>19.584</v>
      </c>
      <c r="L919" s="9">
        <v>20</v>
      </c>
      <c r="M919" s="9" t="s">
        <v>501</v>
      </c>
      <c r="N919" s="12">
        <v>16.394400000000001</v>
      </c>
      <c r="O919" s="11">
        <v>34.515799999999999</v>
      </c>
      <c r="P919" s="33">
        <v>0.19623766941176468</v>
      </c>
      <c r="Q919" s="33">
        <v>1.2209737223529409</v>
      </c>
      <c r="R919" s="1" t="s">
        <v>280</v>
      </c>
      <c r="S919" s="1">
        <v>1</v>
      </c>
      <c r="T919" s="71" t="s">
        <v>626</v>
      </c>
    </row>
    <row r="920" spans="1:20" ht="12.75" customHeight="1">
      <c r="A920" s="1" t="s">
        <v>474</v>
      </c>
      <c r="B920" s="1">
        <v>89</v>
      </c>
      <c r="C920" s="1" t="s">
        <v>505</v>
      </c>
      <c r="D920" s="5">
        <v>43585</v>
      </c>
      <c r="E920" s="1">
        <f t="shared" si="99"/>
        <v>2019</v>
      </c>
      <c r="F920" s="1">
        <f t="shared" si="97"/>
        <v>4</v>
      </c>
      <c r="G920" s="4">
        <f t="shared" si="98"/>
        <v>30</v>
      </c>
      <c r="H920" s="8">
        <v>0.59444444444444444</v>
      </c>
      <c r="I920" s="11">
        <v>130.24799999999999</v>
      </c>
      <c r="J920" s="11">
        <v>34.979999999999997</v>
      </c>
      <c r="K920" s="9">
        <v>29.765999999999998</v>
      </c>
      <c r="L920" s="9">
        <v>30</v>
      </c>
      <c r="M920" s="9" t="s">
        <v>501</v>
      </c>
      <c r="N920" s="12">
        <v>16.182600000000001</v>
      </c>
      <c r="O920" s="11">
        <v>34.482900000000001</v>
      </c>
      <c r="P920" s="33">
        <v>0.19841821058823639</v>
      </c>
      <c r="Q920" s="33">
        <v>1.2733839176470614</v>
      </c>
      <c r="R920" s="1" t="s">
        <v>280</v>
      </c>
      <c r="S920" s="1">
        <v>1</v>
      </c>
      <c r="T920" s="71" t="s">
        <v>626</v>
      </c>
    </row>
    <row r="921" spans="1:20" ht="12.75" customHeight="1">
      <c r="A921" s="1" t="s">
        <v>474</v>
      </c>
      <c r="B921" s="1">
        <v>89</v>
      </c>
      <c r="C921" s="1" t="s">
        <v>505</v>
      </c>
      <c r="D921" s="5">
        <v>43585</v>
      </c>
      <c r="E921" s="1">
        <f t="shared" si="99"/>
        <v>2019</v>
      </c>
      <c r="F921" s="1">
        <f t="shared" si="97"/>
        <v>4</v>
      </c>
      <c r="G921" s="4">
        <f t="shared" si="98"/>
        <v>30</v>
      </c>
      <c r="H921" s="8">
        <v>0.59444444444444444</v>
      </c>
      <c r="I921" s="11">
        <v>130.24799999999999</v>
      </c>
      <c r="J921" s="11">
        <v>34.979999999999997</v>
      </c>
      <c r="K921" s="9">
        <v>49.737000000000002</v>
      </c>
      <c r="L921" s="9">
        <v>50</v>
      </c>
      <c r="M921" s="9" t="s">
        <v>501</v>
      </c>
      <c r="N921" s="12">
        <v>15.5487</v>
      </c>
      <c r="O921" s="11">
        <v>34.577500000000001</v>
      </c>
      <c r="P921" s="33">
        <v>0.20760071176470607</v>
      </c>
      <c r="Q921" s="33">
        <v>1.2845416929411773</v>
      </c>
      <c r="R921" s="1" t="s">
        <v>280</v>
      </c>
      <c r="S921" s="1">
        <v>1</v>
      </c>
      <c r="T921" s="71" t="s">
        <v>626</v>
      </c>
    </row>
    <row r="922" spans="1:20" ht="12.75" customHeight="1">
      <c r="A922" s="1" t="s">
        <v>474</v>
      </c>
      <c r="B922" s="1">
        <v>89</v>
      </c>
      <c r="C922" s="1" t="s">
        <v>505</v>
      </c>
      <c r="D922" s="5">
        <v>43585</v>
      </c>
      <c r="E922" s="1">
        <f t="shared" si="99"/>
        <v>2019</v>
      </c>
      <c r="F922" s="1">
        <f t="shared" si="97"/>
        <v>4</v>
      </c>
      <c r="G922" s="4">
        <f t="shared" si="98"/>
        <v>30</v>
      </c>
      <c r="H922" s="8">
        <v>0.59444444444444444</v>
      </c>
      <c r="I922" s="11">
        <v>130.24799999999999</v>
      </c>
      <c r="J922" s="11">
        <v>34.979999999999997</v>
      </c>
      <c r="K922" s="9">
        <v>74.161000000000001</v>
      </c>
      <c r="L922" s="9">
        <v>75</v>
      </c>
      <c r="M922" s="9" t="s">
        <v>501</v>
      </c>
      <c r="N922" s="12">
        <v>15.355700000000001</v>
      </c>
      <c r="O922" s="11">
        <v>34.564999999999998</v>
      </c>
      <c r="P922" s="33">
        <v>0.22666833294117605</v>
      </c>
      <c r="Q922" s="33">
        <v>1.3268855082352946</v>
      </c>
      <c r="R922" s="1" t="s">
        <v>280</v>
      </c>
      <c r="S922" s="1">
        <v>1</v>
      </c>
      <c r="T922" s="71" t="s">
        <v>626</v>
      </c>
    </row>
    <row r="923" spans="1:20" ht="12.75" customHeight="1">
      <c r="A923" s="1" t="s">
        <v>474</v>
      </c>
      <c r="B923" s="1">
        <v>89</v>
      </c>
      <c r="C923" s="1" t="s">
        <v>505</v>
      </c>
      <c r="D923" s="5">
        <v>43585</v>
      </c>
      <c r="E923" s="1">
        <f t="shared" si="99"/>
        <v>2019</v>
      </c>
      <c r="F923" s="1">
        <f t="shared" si="97"/>
        <v>4</v>
      </c>
      <c r="G923" s="4">
        <f t="shared" si="98"/>
        <v>30</v>
      </c>
      <c r="H923" s="8">
        <v>0.59444444444444444</v>
      </c>
      <c r="I923" s="11">
        <v>130.24799999999999</v>
      </c>
      <c r="J923" s="11">
        <v>34.979999999999997</v>
      </c>
      <c r="K923" s="9">
        <v>99.72</v>
      </c>
      <c r="L923" s="9">
        <v>100</v>
      </c>
      <c r="M923" s="9" t="s">
        <v>501</v>
      </c>
      <c r="N923" s="12">
        <v>14.3278</v>
      </c>
      <c r="O923" s="11">
        <v>34.511099999999999</v>
      </c>
      <c r="P923" s="33">
        <v>0.2096479976470591</v>
      </c>
      <c r="Q923" s="33">
        <v>1.1478850694117657</v>
      </c>
      <c r="R923" s="1" t="s">
        <v>280</v>
      </c>
      <c r="S923" s="1">
        <v>1</v>
      </c>
      <c r="T923" s="71" t="s">
        <v>626</v>
      </c>
    </row>
    <row r="924" spans="1:20" ht="12.75" customHeight="1">
      <c r="A924" s="1" t="s">
        <v>474</v>
      </c>
      <c r="B924" s="1">
        <v>89</v>
      </c>
      <c r="C924" s="1" t="s">
        <v>505</v>
      </c>
      <c r="D924" s="5">
        <v>43585</v>
      </c>
      <c r="E924" s="1">
        <f t="shared" si="99"/>
        <v>2019</v>
      </c>
      <c r="F924" s="1">
        <f t="shared" si="97"/>
        <v>4</v>
      </c>
      <c r="G924" s="4">
        <f t="shared" si="98"/>
        <v>30</v>
      </c>
      <c r="H924" s="8">
        <v>0.59444444444444444</v>
      </c>
      <c r="I924" s="11">
        <v>130.24799999999999</v>
      </c>
      <c r="J924" s="11">
        <v>34.979999999999997</v>
      </c>
      <c r="K924" s="9">
        <v>120.086</v>
      </c>
      <c r="L924" s="9">
        <v>120</v>
      </c>
      <c r="M924" s="9" t="s">
        <v>501</v>
      </c>
      <c r="N924" s="12">
        <v>9.1610999999999994</v>
      </c>
      <c r="O924" s="11">
        <v>34.2973</v>
      </c>
      <c r="P924" s="33">
        <v>0.11483079882352909</v>
      </c>
      <c r="Q924" s="33">
        <v>0.29234726470588335</v>
      </c>
      <c r="R924" s="1" t="s">
        <v>280</v>
      </c>
      <c r="S924" s="1">
        <v>1</v>
      </c>
      <c r="T924" s="71" t="s">
        <v>626</v>
      </c>
    </row>
    <row r="925" spans="1:20" ht="12.75" customHeight="1">
      <c r="P925" s="33"/>
      <c r="Q925" s="33"/>
      <c r="T925" s="71"/>
    </row>
    <row r="926" spans="1:20" ht="12.75" customHeight="1">
      <c r="A926" s="1" t="s">
        <v>476</v>
      </c>
      <c r="B926" s="1">
        <v>24</v>
      </c>
      <c r="C926" s="1" t="s">
        <v>507</v>
      </c>
      <c r="D926" s="5">
        <v>43644.919976851852</v>
      </c>
      <c r="E926" s="1">
        <v>2019</v>
      </c>
      <c r="F926" s="1">
        <v>6</v>
      </c>
      <c r="G926" s="4">
        <v>28</v>
      </c>
      <c r="H926" s="8">
        <v>43644.919976851852</v>
      </c>
      <c r="I926" s="11">
        <v>127.253</v>
      </c>
      <c r="J926" s="11">
        <v>31.751000000000001</v>
      </c>
      <c r="K926" s="9">
        <v>0</v>
      </c>
      <c r="L926" s="9">
        <v>0</v>
      </c>
      <c r="M926" s="27">
        <v>0</v>
      </c>
      <c r="N926" s="32">
        <v>23.5</v>
      </c>
      <c r="O926" s="11">
        <v>33.23687054234486</v>
      </c>
      <c r="P926" s="33">
        <v>-0.12687012941176512</v>
      </c>
      <c r="Q926" s="33">
        <v>-0.91742902352941336</v>
      </c>
      <c r="R926" s="1" t="s">
        <v>280</v>
      </c>
      <c r="T926" s="71" t="s">
        <v>626</v>
      </c>
    </row>
    <row r="927" spans="1:20" ht="12.75" customHeight="1">
      <c r="A927" s="1" t="s">
        <v>476</v>
      </c>
      <c r="B927" s="1">
        <v>24</v>
      </c>
      <c r="C927" s="1" t="s">
        <v>507</v>
      </c>
      <c r="D927" s="5">
        <v>43644.919976851852</v>
      </c>
      <c r="E927" s="1">
        <v>2019</v>
      </c>
      <c r="F927" s="1">
        <v>6</v>
      </c>
      <c r="G927" s="4">
        <v>28</v>
      </c>
      <c r="H927" s="8">
        <v>43644.919976851852</v>
      </c>
      <c r="I927" s="11">
        <v>127.253</v>
      </c>
      <c r="J927" s="11">
        <v>31.751000000000001</v>
      </c>
      <c r="K927" s="9">
        <v>9</v>
      </c>
      <c r="L927" s="9">
        <v>10</v>
      </c>
      <c r="M927" s="9">
        <v>7</v>
      </c>
      <c r="N927" s="12">
        <v>23.44</v>
      </c>
      <c r="O927" s="11">
        <v>33.672791758590989</v>
      </c>
      <c r="P927" s="33">
        <v>1.4198105882352596E-2</v>
      </c>
      <c r="Q927" s="33">
        <v>-2.0070298823528177E-2</v>
      </c>
      <c r="R927" s="1" t="s">
        <v>280</v>
      </c>
      <c r="S927" s="1">
        <v>1</v>
      </c>
      <c r="T927" s="71" t="s">
        <v>626</v>
      </c>
    </row>
    <row r="928" spans="1:20" ht="12.75" customHeight="1">
      <c r="A928" s="1" t="s">
        <v>476</v>
      </c>
      <c r="B928" s="1">
        <v>24</v>
      </c>
      <c r="C928" s="1" t="s">
        <v>507</v>
      </c>
      <c r="D928" s="5">
        <v>43644.919976851852</v>
      </c>
      <c r="E928" s="1">
        <v>2019</v>
      </c>
      <c r="F928" s="1">
        <v>6</v>
      </c>
      <c r="G928" s="4">
        <v>28</v>
      </c>
      <c r="H928" s="8">
        <v>43644.919976851852</v>
      </c>
      <c r="I928" s="11">
        <v>127.253</v>
      </c>
      <c r="J928" s="11">
        <v>31.751000000000001</v>
      </c>
      <c r="K928" s="9">
        <v>20</v>
      </c>
      <c r="L928" s="9">
        <v>20</v>
      </c>
      <c r="M928" s="9">
        <v>6</v>
      </c>
      <c r="N928" s="12">
        <v>22.48</v>
      </c>
      <c r="O928" s="11">
        <v>33.906256305771535</v>
      </c>
      <c r="P928" s="33">
        <v>6.3009715294116919E-2</v>
      </c>
      <c r="Q928" s="33">
        <v>0.36625904705882384</v>
      </c>
      <c r="R928" s="1" t="s">
        <v>280</v>
      </c>
      <c r="S928" s="1">
        <v>1</v>
      </c>
      <c r="T928" s="71" t="s">
        <v>626</v>
      </c>
    </row>
    <row r="929" spans="1:20" ht="12.75" customHeight="1">
      <c r="A929" s="1" t="s">
        <v>476</v>
      </c>
      <c r="B929" s="1">
        <v>24</v>
      </c>
      <c r="C929" s="1" t="s">
        <v>507</v>
      </c>
      <c r="D929" s="5">
        <v>43644.919976851852</v>
      </c>
      <c r="E929" s="1">
        <v>2019</v>
      </c>
      <c r="F929" s="1">
        <v>6</v>
      </c>
      <c r="G929" s="4">
        <v>28</v>
      </c>
      <c r="H929" s="8">
        <v>43644.919976851852</v>
      </c>
      <c r="I929" s="11">
        <v>127.253</v>
      </c>
      <c r="J929" s="11">
        <v>31.751000000000001</v>
      </c>
      <c r="K929" s="9">
        <v>30</v>
      </c>
      <c r="L929" s="9">
        <v>30</v>
      </c>
      <c r="M929" s="9">
        <v>5</v>
      </c>
      <c r="N929" s="12">
        <v>19.11</v>
      </c>
      <c r="O929" s="11">
        <v>33.712859838159218</v>
      </c>
      <c r="P929" s="33">
        <v>1.0626524705881657E-2</v>
      </c>
      <c r="Q929" s="33">
        <v>-0.10792412705882093</v>
      </c>
      <c r="R929" s="1" t="s">
        <v>280</v>
      </c>
      <c r="S929" s="1">
        <v>1</v>
      </c>
      <c r="T929" s="71" t="s">
        <v>626</v>
      </c>
    </row>
    <row r="930" spans="1:20" ht="12.75" customHeight="1">
      <c r="A930" s="1" t="s">
        <v>476</v>
      </c>
      <c r="B930" s="1">
        <v>24</v>
      </c>
      <c r="C930" s="1" t="s">
        <v>507</v>
      </c>
      <c r="D930" s="5">
        <v>43644.919976851852</v>
      </c>
      <c r="E930" s="1">
        <v>2019</v>
      </c>
      <c r="F930" s="1">
        <v>6</v>
      </c>
      <c r="G930" s="4">
        <v>28</v>
      </c>
      <c r="H930" s="8">
        <v>43644.919976851852</v>
      </c>
      <c r="I930" s="11">
        <v>127.253</v>
      </c>
      <c r="J930" s="11">
        <v>31.751000000000001</v>
      </c>
      <c r="K930" s="9">
        <v>50</v>
      </c>
      <c r="L930" s="9">
        <v>50</v>
      </c>
      <c r="M930" s="9">
        <v>4</v>
      </c>
      <c r="N930" s="12">
        <v>17.84</v>
      </c>
      <c r="O930" s="11">
        <v>33.806444004380502</v>
      </c>
      <c r="P930" s="33">
        <v>-1.0365625882353235E-2</v>
      </c>
      <c r="Q930" s="33">
        <v>-2.7757811764708151E-3</v>
      </c>
      <c r="R930" s="1" t="s">
        <v>280</v>
      </c>
      <c r="S930" s="1">
        <v>1</v>
      </c>
      <c r="T930" s="71" t="s">
        <v>626</v>
      </c>
    </row>
    <row r="931" spans="1:20">
      <c r="A931" s="1" t="s">
        <v>476</v>
      </c>
      <c r="B931" s="1">
        <v>24</v>
      </c>
      <c r="C931" s="1" t="s">
        <v>507</v>
      </c>
      <c r="D931" s="5">
        <v>43644.919976851852</v>
      </c>
      <c r="E931" s="1">
        <v>2019</v>
      </c>
      <c r="F931" s="1">
        <v>6</v>
      </c>
      <c r="G931" s="4">
        <v>28</v>
      </c>
      <c r="H931" s="8">
        <v>43644.919976851852</v>
      </c>
      <c r="I931" s="11">
        <v>127.253</v>
      </c>
      <c r="J931" s="11">
        <v>31.751000000000001</v>
      </c>
      <c r="K931" s="9">
        <v>75</v>
      </c>
      <c r="L931" s="9">
        <v>75</v>
      </c>
      <c r="M931" s="9">
        <v>3</v>
      </c>
      <c r="N931" s="12">
        <v>17.670000000000002</v>
      </c>
      <c r="O931" s="11">
        <v>34.047236839582531</v>
      </c>
      <c r="P931" s="33">
        <v>4.5767035294113079E-3</v>
      </c>
      <c r="Q931" s="33">
        <v>0.26437228470588181</v>
      </c>
      <c r="R931" s="1" t="s">
        <v>280</v>
      </c>
      <c r="S931" s="1">
        <v>1</v>
      </c>
      <c r="T931" s="71" t="s">
        <v>626</v>
      </c>
    </row>
    <row r="932" spans="1:20">
      <c r="A932" s="1" t="s">
        <v>476</v>
      </c>
      <c r="B932" s="1">
        <v>24</v>
      </c>
      <c r="C932" s="1" t="s">
        <v>507</v>
      </c>
      <c r="D932" s="5">
        <v>43644.919976851852</v>
      </c>
      <c r="E932" s="1">
        <v>2019</v>
      </c>
      <c r="F932" s="1">
        <v>6</v>
      </c>
      <c r="G932" s="4">
        <v>28</v>
      </c>
      <c r="H932" s="8">
        <v>43644.919976851852</v>
      </c>
      <c r="I932" s="11">
        <v>127.253</v>
      </c>
      <c r="J932" s="11">
        <v>31.751000000000001</v>
      </c>
      <c r="K932" s="9">
        <v>100</v>
      </c>
      <c r="L932" s="9">
        <v>100</v>
      </c>
      <c r="M932" s="9">
        <v>2</v>
      </c>
      <c r="N932" s="12">
        <v>14.47</v>
      </c>
      <c r="O932" s="11">
        <v>33.952403865737516</v>
      </c>
      <c r="P932" s="33">
        <v>2.9845032941175909E-2</v>
      </c>
      <c r="Q932" s="33">
        <v>0.10807163058823832</v>
      </c>
      <c r="R932" s="1" t="s">
        <v>280</v>
      </c>
      <c r="S932" s="1">
        <v>1</v>
      </c>
      <c r="T932" s="71" t="s">
        <v>626</v>
      </c>
    </row>
    <row r="933" spans="1:20">
      <c r="A933" s="1" t="s">
        <v>476</v>
      </c>
      <c r="B933" s="1">
        <v>24</v>
      </c>
      <c r="C933" s="1" t="s">
        <v>507</v>
      </c>
      <c r="D933" s="5">
        <v>43644.919976851852</v>
      </c>
      <c r="E933" s="1">
        <v>2019</v>
      </c>
      <c r="F933" s="1">
        <v>6</v>
      </c>
      <c r="G933" s="4">
        <v>28</v>
      </c>
      <c r="H933" s="8">
        <v>43644.919976851852</v>
      </c>
      <c r="I933" s="11">
        <v>127.253</v>
      </c>
      <c r="J933" s="11">
        <v>31.751000000000001</v>
      </c>
      <c r="K933" s="9">
        <v>121</v>
      </c>
      <c r="L933" s="9">
        <v>121</v>
      </c>
      <c r="M933" s="9">
        <v>1</v>
      </c>
      <c r="N933" s="12">
        <v>14.88</v>
      </c>
      <c r="O933" s="11">
        <v>34.155060442330445</v>
      </c>
      <c r="P933" s="33">
        <v>6.6928708235293843E-2</v>
      </c>
      <c r="Q933" s="33">
        <v>0.29346767058823531</v>
      </c>
      <c r="R933" s="1" t="s">
        <v>280</v>
      </c>
      <c r="S933" s="1">
        <v>1</v>
      </c>
      <c r="T933" s="71" t="s">
        <v>626</v>
      </c>
    </row>
    <row r="934" spans="1:20">
      <c r="P934" s="33"/>
      <c r="Q934" s="33"/>
      <c r="T934" s="71"/>
    </row>
    <row r="935" spans="1:20">
      <c r="A935" s="1" t="s">
        <v>476</v>
      </c>
      <c r="B935" s="1" t="s">
        <v>477</v>
      </c>
      <c r="C935" s="1" t="s">
        <v>507</v>
      </c>
      <c r="D935" s="5">
        <v>43645.922696759262</v>
      </c>
      <c r="E935" s="1">
        <v>2019</v>
      </c>
      <c r="F935" s="1">
        <v>6</v>
      </c>
      <c r="G935" s="4">
        <v>29</v>
      </c>
      <c r="H935" s="8">
        <v>43645.922696759262</v>
      </c>
      <c r="I935" s="11">
        <v>128.75200000000001</v>
      </c>
      <c r="J935" s="11">
        <v>31.751999999999999</v>
      </c>
      <c r="K935" s="9">
        <v>0</v>
      </c>
      <c r="L935" s="9">
        <v>0</v>
      </c>
      <c r="M935" s="27">
        <v>0</v>
      </c>
      <c r="N935" s="32">
        <v>25.9</v>
      </c>
      <c r="O935" s="11">
        <v>34.210247961511918</v>
      </c>
      <c r="P935" s="33">
        <v>0.10066317058823504</v>
      </c>
      <c r="Q935" s="33">
        <v>0.56858942745098062</v>
      </c>
      <c r="R935" s="1" t="s">
        <v>280</v>
      </c>
      <c r="S935" s="1">
        <v>1</v>
      </c>
      <c r="T935" s="71" t="s">
        <v>626</v>
      </c>
    </row>
    <row r="936" spans="1:20">
      <c r="A936" s="1" t="s">
        <v>476</v>
      </c>
      <c r="B936" s="1" t="s">
        <v>477</v>
      </c>
      <c r="C936" s="1" t="s">
        <v>507</v>
      </c>
      <c r="D936" s="5">
        <v>43645.922696759262</v>
      </c>
      <c r="E936" s="1">
        <v>2019</v>
      </c>
      <c r="F936" s="1">
        <v>6</v>
      </c>
      <c r="G936" s="4">
        <v>29</v>
      </c>
      <c r="H936" s="8">
        <v>43645.922696759262</v>
      </c>
      <c r="I936" s="11">
        <v>128.75200000000001</v>
      </c>
      <c r="J936" s="11">
        <v>31.751999999999999</v>
      </c>
      <c r="K936" s="9">
        <v>9</v>
      </c>
      <c r="L936" s="9">
        <v>10</v>
      </c>
      <c r="M936" s="9">
        <v>11</v>
      </c>
      <c r="N936" s="12">
        <v>25.94</v>
      </c>
      <c r="O936" s="11">
        <v>34.302010505239636</v>
      </c>
      <c r="P936" s="33">
        <v>0.12091467764705888</v>
      </c>
      <c r="Q936" s="33">
        <v>0.77750817882353118</v>
      </c>
      <c r="R936" s="1" t="s">
        <v>280</v>
      </c>
      <c r="S936" s="1">
        <v>1</v>
      </c>
      <c r="T936" s="71" t="s">
        <v>626</v>
      </c>
    </row>
    <row r="937" spans="1:20">
      <c r="A937" s="1" t="s">
        <v>476</v>
      </c>
      <c r="B937" s="1" t="s">
        <v>477</v>
      </c>
      <c r="C937" s="1" t="s">
        <v>507</v>
      </c>
      <c r="D937" s="5">
        <v>43645.922696759262</v>
      </c>
      <c r="E937" s="1">
        <v>2019</v>
      </c>
      <c r="F937" s="1">
        <v>6</v>
      </c>
      <c r="G937" s="4">
        <v>29</v>
      </c>
      <c r="H937" s="8">
        <v>43645.922696759262</v>
      </c>
      <c r="I937" s="11">
        <v>128.75200000000001</v>
      </c>
      <c r="J937" s="11">
        <v>31.751999999999999</v>
      </c>
      <c r="K937" s="9">
        <v>19</v>
      </c>
      <c r="L937" s="9">
        <v>20</v>
      </c>
      <c r="M937" s="9">
        <v>10</v>
      </c>
      <c r="N937" s="12">
        <v>25.55</v>
      </c>
      <c r="O937" s="11">
        <v>34.361169963522599</v>
      </c>
      <c r="P937" s="33">
        <v>0.10801399058823558</v>
      </c>
      <c r="Q937" s="33">
        <v>0.7644343552941173</v>
      </c>
      <c r="R937" s="1" t="s">
        <v>280</v>
      </c>
      <c r="S937" s="1">
        <v>1</v>
      </c>
      <c r="T937" s="71" t="s">
        <v>626</v>
      </c>
    </row>
    <row r="938" spans="1:20">
      <c r="A938" s="1" t="s">
        <v>476</v>
      </c>
      <c r="B938" s="1" t="s">
        <v>477</v>
      </c>
      <c r="C938" s="1" t="s">
        <v>507</v>
      </c>
      <c r="D938" s="5">
        <v>43645.922696759262</v>
      </c>
      <c r="E938" s="1">
        <v>2019</v>
      </c>
      <c r="F938" s="1">
        <v>6</v>
      </c>
      <c r="G938" s="4">
        <v>29</v>
      </c>
      <c r="H938" s="8">
        <v>43645.922696759262</v>
      </c>
      <c r="I938" s="11">
        <v>128.75200000000001</v>
      </c>
      <c r="J938" s="11">
        <v>31.751999999999999</v>
      </c>
      <c r="K938" s="9">
        <v>30</v>
      </c>
      <c r="L938" s="9">
        <v>30</v>
      </c>
      <c r="M938" s="9">
        <v>9</v>
      </c>
      <c r="N938" s="12">
        <v>25.08</v>
      </c>
      <c r="O938" s="11">
        <v>34.578343929797342</v>
      </c>
      <c r="P938" s="33">
        <v>0.17611846352941241</v>
      </c>
      <c r="Q938" s="33">
        <v>1.0601468117647066</v>
      </c>
      <c r="R938" s="1" t="s">
        <v>280</v>
      </c>
      <c r="S938" s="1">
        <v>1</v>
      </c>
      <c r="T938" s="71" t="s">
        <v>626</v>
      </c>
    </row>
    <row r="939" spans="1:20">
      <c r="A939" s="1" t="s">
        <v>476</v>
      </c>
      <c r="B939" s="1" t="s">
        <v>477</v>
      </c>
      <c r="C939" s="1" t="s">
        <v>507</v>
      </c>
      <c r="D939" s="5">
        <v>43645.922696759262</v>
      </c>
      <c r="E939" s="1">
        <v>2019</v>
      </c>
      <c r="F939" s="1">
        <v>6</v>
      </c>
      <c r="G939" s="4">
        <v>29</v>
      </c>
      <c r="H939" s="8">
        <v>43645.922696759262</v>
      </c>
      <c r="I939" s="11">
        <v>128.75200000000001</v>
      </c>
      <c r="J939" s="11">
        <v>31.751999999999999</v>
      </c>
      <c r="K939" s="9">
        <v>50</v>
      </c>
      <c r="L939" s="9">
        <v>50</v>
      </c>
      <c r="M939" s="9">
        <v>8</v>
      </c>
      <c r="N939" s="12">
        <v>23.04</v>
      </c>
      <c r="O939" s="11">
        <v>34.58081393326492</v>
      </c>
      <c r="P939" s="33">
        <v>0.22471024313725518</v>
      </c>
      <c r="Q939" s="33">
        <v>1.430833288235295</v>
      </c>
      <c r="R939" s="1" t="s">
        <v>280</v>
      </c>
      <c r="S939" s="1">
        <v>1</v>
      </c>
      <c r="T939" s="71" t="s">
        <v>626</v>
      </c>
    </row>
    <row r="940" spans="1:20">
      <c r="A940" s="1" t="s">
        <v>476</v>
      </c>
      <c r="B940" s="1" t="s">
        <v>477</v>
      </c>
      <c r="C940" s="1" t="s">
        <v>507</v>
      </c>
      <c r="D940" s="5">
        <v>43645.922696759262</v>
      </c>
      <c r="E940" s="1">
        <v>2019</v>
      </c>
      <c r="F940" s="1">
        <v>6</v>
      </c>
      <c r="G940" s="4">
        <v>29</v>
      </c>
      <c r="H940" s="8">
        <v>43645.922696759262</v>
      </c>
      <c r="I940" s="11">
        <v>128.75200000000001</v>
      </c>
      <c r="J940" s="11">
        <v>31.751999999999999</v>
      </c>
      <c r="K940" s="9">
        <v>56</v>
      </c>
      <c r="L940" s="9">
        <v>60</v>
      </c>
      <c r="M940" s="9">
        <v>12</v>
      </c>
      <c r="N940" s="12">
        <v>22.69</v>
      </c>
      <c r="O940" s="11">
        <v>34.643538176432969</v>
      </c>
      <c r="P940" s="33">
        <v>0.17787654588235302</v>
      </c>
      <c r="Q940" s="33">
        <v>1.3444472729411778</v>
      </c>
      <c r="R940" s="1" t="s">
        <v>280</v>
      </c>
      <c r="S940" s="1">
        <v>1</v>
      </c>
      <c r="T940" s="71" t="s">
        <v>626</v>
      </c>
    </row>
    <row r="941" spans="1:20">
      <c r="A941" s="1" t="s">
        <v>476</v>
      </c>
      <c r="B941" s="1" t="s">
        <v>477</v>
      </c>
      <c r="C941" s="1" t="s">
        <v>507</v>
      </c>
      <c r="D941" s="5">
        <v>43645.922696759262</v>
      </c>
      <c r="E941" s="1">
        <v>2019</v>
      </c>
      <c r="F941" s="1">
        <v>6</v>
      </c>
      <c r="G941" s="4">
        <v>29</v>
      </c>
      <c r="H941" s="8">
        <v>43645.922696759262</v>
      </c>
      <c r="I941" s="11">
        <v>128.75200000000001</v>
      </c>
      <c r="J941" s="11">
        <v>31.751999999999999</v>
      </c>
      <c r="K941" s="9">
        <v>74</v>
      </c>
      <c r="L941" s="9">
        <v>75</v>
      </c>
      <c r="M941" s="9">
        <v>7</v>
      </c>
      <c r="N941" s="12">
        <v>21.51</v>
      </c>
      <c r="O941" s="11">
        <v>34.765297522268362</v>
      </c>
      <c r="P941" s="33">
        <v>0.22781820941176489</v>
      </c>
      <c r="Q941" s="33">
        <v>1.4953017647058839</v>
      </c>
      <c r="R941" s="1" t="s">
        <v>280</v>
      </c>
      <c r="S941" s="1">
        <v>1</v>
      </c>
      <c r="T941" s="71" t="s">
        <v>626</v>
      </c>
    </row>
    <row r="942" spans="1:20">
      <c r="A942" s="1" t="s">
        <v>476</v>
      </c>
      <c r="B942" s="1" t="s">
        <v>477</v>
      </c>
      <c r="C942" s="1" t="s">
        <v>507</v>
      </c>
      <c r="D942" s="5">
        <v>43645.922696759262</v>
      </c>
      <c r="E942" s="1">
        <v>2019</v>
      </c>
      <c r="F942" s="1">
        <v>6</v>
      </c>
      <c r="G942" s="4">
        <v>29</v>
      </c>
      <c r="H942" s="8">
        <v>43645.922696759262</v>
      </c>
      <c r="I942" s="11">
        <v>128.75200000000001</v>
      </c>
      <c r="J942" s="11">
        <v>31.751999999999999</v>
      </c>
      <c r="K942" s="9">
        <v>99</v>
      </c>
      <c r="L942" s="9">
        <v>100</v>
      </c>
      <c r="M942" s="9">
        <v>6</v>
      </c>
      <c r="N942" s="12">
        <v>19.61</v>
      </c>
      <c r="O942" s="11">
        <v>34.731654485262368</v>
      </c>
      <c r="P942" s="33">
        <v>0.20997064235294172</v>
      </c>
      <c r="Q942" s="33">
        <v>1.5100839011764702</v>
      </c>
      <c r="R942" s="1" t="s">
        <v>280</v>
      </c>
      <c r="S942" s="1">
        <v>1</v>
      </c>
      <c r="T942" s="71" t="s">
        <v>626</v>
      </c>
    </row>
    <row r="943" spans="1:20">
      <c r="A943" s="1" t="s">
        <v>476</v>
      </c>
      <c r="B943" s="1" t="s">
        <v>477</v>
      </c>
      <c r="C943" s="1" t="s">
        <v>507</v>
      </c>
      <c r="D943" s="5">
        <v>43645.922696759262</v>
      </c>
      <c r="E943" s="1">
        <v>2019</v>
      </c>
      <c r="F943" s="1">
        <v>6</v>
      </c>
      <c r="G943" s="4">
        <v>29</v>
      </c>
      <c r="H943" s="8">
        <v>43645.922696759262</v>
      </c>
      <c r="I943" s="11">
        <v>128.75200000000001</v>
      </c>
      <c r="J943" s="11">
        <v>31.751999999999999</v>
      </c>
      <c r="K943" s="9">
        <v>125</v>
      </c>
      <c r="L943" s="9">
        <v>125</v>
      </c>
      <c r="M943" s="9">
        <v>5</v>
      </c>
      <c r="N943" s="12">
        <v>17.399999999999999</v>
      </c>
      <c r="O943" s="11">
        <v>34.638410349633311</v>
      </c>
      <c r="P943" s="33">
        <v>0.21582687529411748</v>
      </c>
      <c r="Q943" s="33">
        <v>1.5141977976470589</v>
      </c>
      <c r="R943" s="1" t="s">
        <v>280</v>
      </c>
      <c r="S943" s="1">
        <v>1</v>
      </c>
      <c r="T943" s="71" t="s">
        <v>626</v>
      </c>
    </row>
    <row r="944" spans="1:20">
      <c r="A944" s="1" t="s">
        <v>476</v>
      </c>
      <c r="B944" s="1" t="s">
        <v>477</v>
      </c>
      <c r="C944" s="1" t="s">
        <v>507</v>
      </c>
      <c r="D944" s="5">
        <v>43645.922696759262</v>
      </c>
      <c r="E944" s="1">
        <v>2019</v>
      </c>
      <c r="F944" s="1">
        <v>6</v>
      </c>
      <c r="G944" s="4">
        <v>29</v>
      </c>
      <c r="H944" s="8">
        <v>43645.922696759262</v>
      </c>
      <c r="I944" s="11">
        <v>128.75200000000001</v>
      </c>
      <c r="J944" s="11">
        <v>31.751999999999999</v>
      </c>
      <c r="K944" s="9">
        <v>148</v>
      </c>
      <c r="L944" s="9">
        <v>150</v>
      </c>
      <c r="M944" s="9">
        <v>4</v>
      </c>
      <c r="N944" s="12">
        <v>15.89</v>
      </c>
      <c r="O944" s="11">
        <v>34.484660038377434</v>
      </c>
      <c r="P944" s="33">
        <v>0.16596752794117631</v>
      </c>
      <c r="Q944" s="33">
        <v>1.0004759955882339</v>
      </c>
      <c r="R944" s="1" t="s">
        <v>280</v>
      </c>
      <c r="S944" s="1">
        <v>1</v>
      </c>
      <c r="T944" s="71" t="s">
        <v>626</v>
      </c>
    </row>
    <row r="945" spans="1:20">
      <c r="A945" s="1" t="s">
        <v>476</v>
      </c>
      <c r="B945" s="1" t="s">
        <v>477</v>
      </c>
      <c r="C945" s="1" t="s">
        <v>507</v>
      </c>
      <c r="D945" s="5">
        <v>43645.922696759262</v>
      </c>
      <c r="E945" s="1">
        <v>2019</v>
      </c>
      <c r="F945" s="1">
        <v>6</v>
      </c>
      <c r="G945" s="4">
        <v>29</v>
      </c>
      <c r="H945" s="8">
        <v>43645.922696759262</v>
      </c>
      <c r="I945" s="11">
        <v>128.75200000000001</v>
      </c>
      <c r="J945" s="11">
        <v>31.751999999999999</v>
      </c>
      <c r="K945" s="9">
        <v>199</v>
      </c>
      <c r="L945" s="9">
        <v>200</v>
      </c>
      <c r="M945" s="9">
        <v>3</v>
      </c>
      <c r="N945" s="12">
        <v>13.41</v>
      </c>
      <c r="O945" s="11">
        <v>34.368953817548928</v>
      </c>
      <c r="P945" s="33">
        <v>5.9450282352941475E-2</v>
      </c>
      <c r="Q945" s="33">
        <v>0.42810145647058917</v>
      </c>
      <c r="R945" s="1" t="s">
        <v>280</v>
      </c>
      <c r="S945" s="1">
        <v>1</v>
      </c>
      <c r="T945" s="71" t="s">
        <v>626</v>
      </c>
    </row>
    <row r="946" spans="1:20">
      <c r="A946" s="1" t="s">
        <v>476</v>
      </c>
      <c r="B946" s="1" t="s">
        <v>477</v>
      </c>
      <c r="C946" s="1" t="s">
        <v>507</v>
      </c>
      <c r="D946" s="5">
        <v>43645.922696759262</v>
      </c>
      <c r="E946" s="1">
        <v>2019</v>
      </c>
      <c r="F946" s="1">
        <v>6</v>
      </c>
      <c r="G946" s="4">
        <v>29</v>
      </c>
      <c r="H946" s="8">
        <v>43645.922696759262</v>
      </c>
      <c r="I946" s="11">
        <v>128.75200000000001</v>
      </c>
      <c r="J946" s="11">
        <v>31.751999999999999</v>
      </c>
      <c r="K946" s="9">
        <v>299</v>
      </c>
      <c r="L946" s="9">
        <v>300</v>
      </c>
      <c r="M946" s="9">
        <v>2</v>
      </c>
      <c r="N946" s="12">
        <v>10.57</v>
      </c>
      <c r="O946" s="11">
        <v>34.348714627341749</v>
      </c>
      <c r="P946" s="33">
        <v>-1.8426654901960937E-2</v>
      </c>
      <c r="Q946" s="33">
        <v>-0.35427089264705813</v>
      </c>
      <c r="R946" s="1" t="s">
        <v>280</v>
      </c>
      <c r="S946" s="1">
        <v>1</v>
      </c>
      <c r="T946" s="71" t="s">
        <v>626</v>
      </c>
    </row>
    <row r="947" spans="1:20">
      <c r="A947" s="1" t="s">
        <v>476</v>
      </c>
      <c r="B947" s="1" t="s">
        <v>477</v>
      </c>
      <c r="C947" s="1" t="s">
        <v>507</v>
      </c>
      <c r="D947" s="5">
        <v>43645.922696759262</v>
      </c>
      <c r="E947" s="1">
        <v>2019</v>
      </c>
      <c r="F947" s="1">
        <v>6</v>
      </c>
      <c r="G947" s="4">
        <v>29</v>
      </c>
      <c r="H947" s="8">
        <v>43645.922696759262</v>
      </c>
      <c r="I947" s="11">
        <v>128.75200000000001</v>
      </c>
      <c r="J947" s="11">
        <v>31.751999999999999</v>
      </c>
      <c r="K947" s="9">
        <v>496</v>
      </c>
      <c r="L947" s="9">
        <v>500</v>
      </c>
      <c r="M947" s="9">
        <v>1</v>
      </c>
      <c r="N947" s="12">
        <v>7.45</v>
      </c>
      <c r="O947" s="11">
        <v>34.222818137030075</v>
      </c>
      <c r="P947" s="33">
        <v>-3.7468338823530178E-2</v>
      </c>
      <c r="Q947" s="33">
        <v>-0.88353101176470616</v>
      </c>
      <c r="R947" s="1" t="s">
        <v>280</v>
      </c>
      <c r="S947" s="1">
        <v>1</v>
      </c>
      <c r="T947" s="71" t="s">
        <v>626</v>
      </c>
    </row>
    <row r="948" spans="1:20">
      <c r="P948" s="33"/>
      <c r="Q948" s="33"/>
      <c r="T948" s="71"/>
    </row>
    <row r="949" spans="1:20" s="55" customFormat="1" ht="15">
      <c r="A949" s="47" t="s">
        <v>591</v>
      </c>
      <c r="B949" s="47" t="s">
        <v>609</v>
      </c>
      <c r="C949" s="47" t="s">
        <v>607</v>
      </c>
      <c r="D949" s="48" t="s">
        <v>592</v>
      </c>
      <c r="E949" s="47">
        <v>2021</v>
      </c>
      <c r="F949" s="47">
        <v>2</v>
      </c>
      <c r="G949" s="49">
        <v>28</v>
      </c>
      <c r="H949" s="50">
        <v>0.2093865740740741</v>
      </c>
      <c r="I949" s="51">
        <v>126.251</v>
      </c>
      <c r="J949" s="51">
        <v>27.251000000000001</v>
      </c>
      <c r="K949" s="57">
        <v>0</v>
      </c>
      <c r="L949" s="52"/>
      <c r="M949" s="52">
        <v>0</v>
      </c>
      <c r="N949" s="53">
        <v>23.4</v>
      </c>
      <c r="O949">
        <v>34.578599509999997</v>
      </c>
      <c r="P949" s="54">
        <v>0.10003041058823481</v>
      </c>
      <c r="Q949" s="54">
        <v>0.99525377176470364</v>
      </c>
      <c r="R949" s="47" t="s">
        <v>608</v>
      </c>
      <c r="S949" s="47"/>
      <c r="T949" s="71" t="s">
        <v>626</v>
      </c>
    </row>
    <row r="950" spans="1:20" s="55" customFormat="1" ht="15">
      <c r="A950" s="47" t="s">
        <v>591</v>
      </c>
      <c r="B950" s="47" t="s">
        <v>609</v>
      </c>
      <c r="C950" s="47" t="s">
        <v>607</v>
      </c>
      <c r="D950" s="48" t="s">
        <v>592</v>
      </c>
      <c r="E950" s="47">
        <v>2021</v>
      </c>
      <c r="F950" s="47">
        <v>2</v>
      </c>
      <c r="G950" s="49">
        <v>28</v>
      </c>
      <c r="H950" s="50">
        <v>0.2093865740740741</v>
      </c>
      <c r="I950" s="51">
        <v>126.251</v>
      </c>
      <c r="J950" s="51">
        <v>27.251000000000001</v>
      </c>
      <c r="K950" s="57">
        <v>9.8610000000000007</v>
      </c>
      <c r="L950" s="52"/>
      <c r="M950" s="52">
        <v>11</v>
      </c>
      <c r="N950" s="53">
        <v>23.38</v>
      </c>
      <c r="O950">
        <v>34.58559468</v>
      </c>
      <c r="P950" s="54">
        <v>0.12127390823529405</v>
      </c>
      <c r="Q950" s="54">
        <v>1.0050766047058826</v>
      </c>
      <c r="R950" s="47" t="s">
        <v>608</v>
      </c>
      <c r="S950" s="47"/>
      <c r="T950" s="71" t="s">
        <v>626</v>
      </c>
    </row>
    <row r="951" spans="1:20" s="55" customFormat="1" ht="15">
      <c r="A951" s="47" t="s">
        <v>591</v>
      </c>
      <c r="B951" s="47" t="s">
        <v>609</v>
      </c>
      <c r="C951" s="47" t="s">
        <v>607</v>
      </c>
      <c r="D951" s="48" t="s">
        <v>592</v>
      </c>
      <c r="E951" s="47">
        <v>2021</v>
      </c>
      <c r="F951" s="47">
        <v>2</v>
      </c>
      <c r="G951" s="49">
        <v>28</v>
      </c>
      <c r="H951" s="50">
        <v>0.2093865740740741</v>
      </c>
      <c r="I951" s="51">
        <v>126.251</v>
      </c>
      <c r="J951" s="51">
        <v>27.251000000000001</v>
      </c>
      <c r="K951" s="57">
        <v>19.334</v>
      </c>
      <c r="L951" s="52"/>
      <c r="M951" s="52">
        <v>10</v>
      </c>
      <c r="N951" s="53">
        <v>23.39</v>
      </c>
      <c r="O951">
        <v>34.575179259999999</v>
      </c>
      <c r="P951" s="54">
        <v>0.14951437647058841</v>
      </c>
      <c r="Q951" s="54">
        <v>1.2426800999999994</v>
      </c>
      <c r="R951" s="47" t="s">
        <v>608</v>
      </c>
      <c r="S951" s="47"/>
      <c r="T951" s="71" t="s">
        <v>626</v>
      </c>
    </row>
    <row r="952" spans="1:20" s="55" customFormat="1" ht="15">
      <c r="A952" s="47" t="s">
        <v>591</v>
      </c>
      <c r="B952" s="47" t="s">
        <v>609</v>
      </c>
      <c r="C952" s="47" t="s">
        <v>607</v>
      </c>
      <c r="D952" s="48" t="s">
        <v>592</v>
      </c>
      <c r="E952" s="47">
        <v>2021</v>
      </c>
      <c r="F952" s="47">
        <v>2</v>
      </c>
      <c r="G952" s="49">
        <v>28</v>
      </c>
      <c r="H952" s="50">
        <v>0.2093865740740741</v>
      </c>
      <c r="I952" s="51">
        <v>126.251</v>
      </c>
      <c r="J952" s="51">
        <v>27.251000000000001</v>
      </c>
      <c r="K952" s="57">
        <v>28.524999999999999</v>
      </c>
      <c r="L952" s="52"/>
      <c r="M952" s="52">
        <v>9</v>
      </c>
      <c r="N952" s="53">
        <v>23.4</v>
      </c>
      <c r="O952">
        <v>34.58185916</v>
      </c>
      <c r="P952" s="54">
        <v>0.19418720588235328</v>
      </c>
      <c r="Q952" s="54">
        <v>1.2745010682352955</v>
      </c>
      <c r="R952" s="47" t="s">
        <v>608</v>
      </c>
      <c r="S952" s="47"/>
      <c r="T952" s="71" t="s">
        <v>626</v>
      </c>
    </row>
    <row r="953" spans="1:20" s="55" customFormat="1" ht="15">
      <c r="A953" s="47" t="s">
        <v>591</v>
      </c>
      <c r="B953" s="47" t="s">
        <v>609</v>
      </c>
      <c r="C953" s="47" t="s">
        <v>607</v>
      </c>
      <c r="D953" s="48" t="s">
        <v>592</v>
      </c>
      <c r="E953" s="47">
        <v>2021</v>
      </c>
      <c r="F953" s="47">
        <v>2</v>
      </c>
      <c r="G953" s="49">
        <v>28</v>
      </c>
      <c r="H953" s="50">
        <v>0.2093865740740741</v>
      </c>
      <c r="I953" s="51">
        <v>126.251</v>
      </c>
      <c r="J953" s="51">
        <v>27.251000000000001</v>
      </c>
      <c r="K953" s="57">
        <v>50.290999999999997</v>
      </c>
      <c r="L953" s="52"/>
      <c r="M953" s="52">
        <v>8</v>
      </c>
      <c r="N953" s="53">
        <v>23.42</v>
      </c>
      <c r="O953">
        <v>34.612623020000001</v>
      </c>
      <c r="P953" s="54">
        <v>0.16703682352941174</v>
      </c>
      <c r="Q953" s="54">
        <v>1.1738607929411753</v>
      </c>
      <c r="R953" s="47" t="s">
        <v>608</v>
      </c>
      <c r="S953" s="47"/>
      <c r="T953" s="71" t="s">
        <v>626</v>
      </c>
    </row>
    <row r="954" spans="1:20" s="55" customFormat="1" ht="15">
      <c r="A954" s="47" t="s">
        <v>591</v>
      </c>
      <c r="B954" s="47" t="s">
        <v>609</v>
      </c>
      <c r="C954" s="47" t="s">
        <v>607</v>
      </c>
      <c r="D954" s="48" t="s">
        <v>592</v>
      </c>
      <c r="E954" s="47">
        <v>2021</v>
      </c>
      <c r="F954" s="47">
        <v>2</v>
      </c>
      <c r="G954" s="49">
        <v>28</v>
      </c>
      <c r="H954" s="50">
        <v>0.2093865740740741</v>
      </c>
      <c r="I954" s="51">
        <v>126.251</v>
      </c>
      <c r="J954" s="51">
        <v>27.251000000000001</v>
      </c>
      <c r="K954" s="57">
        <v>72.569999999999993</v>
      </c>
      <c r="L954" s="52"/>
      <c r="M954" s="52">
        <v>7</v>
      </c>
      <c r="N954" s="53">
        <v>23.38</v>
      </c>
      <c r="O954">
        <v>34.725804109999999</v>
      </c>
      <c r="P954" s="54">
        <v>0.17546944117647056</v>
      </c>
      <c r="Q954" s="54">
        <v>1.1405719976470596</v>
      </c>
      <c r="R954" s="47" t="s">
        <v>608</v>
      </c>
      <c r="S954" s="47"/>
      <c r="T954" s="71" t="s">
        <v>626</v>
      </c>
    </row>
    <row r="955" spans="1:20" s="55" customFormat="1" ht="15">
      <c r="A955" s="47" t="s">
        <v>591</v>
      </c>
      <c r="B955" s="47" t="s">
        <v>609</v>
      </c>
      <c r="C955" s="47" t="s">
        <v>607</v>
      </c>
      <c r="D955" s="48" t="s">
        <v>592</v>
      </c>
      <c r="E955" s="47">
        <v>2021</v>
      </c>
      <c r="F955" s="47">
        <v>2</v>
      </c>
      <c r="G955" s="49">
        <v>28</v>
      </c>
      <c r="H955" s="50">
        <v>0.2093865740740741</v>
      </c>
      <c r="I955" s="51">
        <v>126.251</v>
      </c>
      <c r="J955" s="51">
        <v>27.251000000000001</v>
      </c>
      <c r="K955" s="57">
        <v>99.200999999999993</v>
      </c>
      <c r="L955" s="52"/>
      <c r="M955" s="52">
        <v>6</v>
      </c>
      <c r="N955" s="53">
        <v>23.14</v>
      </c>
      <c r="O955">
        <v>34.760067890000002</v>
      </c>
      <c r="P955" s="54">
        <v>0.20026205882352954</v>
      </c>
      <c r="Q955" s="54">
        <v>1.3812054023529381</v>
      </c>
      <c r="R955" s="47" t="s">
        <v>608</v>
      </c>
      <c r="S955" s="47"/>
      <c r="T955" s="71" t="s">
        <v>626</v>
      </c>
    </row>
    <row r="956" spans="1:20" s="55" customFormat="1" ht="15">
      <c r="A956" s="47" t="s">
        <v>591</v>
      </c>
      <c r="B956" s="47" t="s">
        <v>609</v>
      </c>
      <c r="C956" s="47" t="s">
        <v>607</v>
      </c>
      <c r="D956" s="48" t="s">
        <v>592</v>
      </c>
      <c r="E956" s="47">
        <v>2021</v>
      </c>
      <c r="F956" s="47">
        <v>2</v>
      </c>
      <c r="G956" s="49">
        <v>28</v>
      </c>
      <c r="H956" s="50">
        <v>0.2093865740740741</v>
      </c>
      <c r="I956" s="51">
        <v>126.251</v>
      </c>
      <c r="J956" s="51">
        <v>27.251000000000001</v>
      </c>
      <c r="K956" s="57">
        <v>123.52500000000001</v>
      </c>
      <c r="L956" s="52"/>
      <c r="M956" s="52">
        <v>5</v>
      </c>
      <c r="N956" s="53">
        <v>22.94</v>
      </c>
      <c r="O956">
        <v>34.809018260000002</v>
      </c>
      <c r="P956" s="54">
        <v>0.21871517647058791</v>
      </c>
      <c r="Q956" s="54">
        <v>1.4329404870588238</v>
      </c>
      <c r="R956" s="47" t="s">
        <v>608</v>
      </c>
      <c r="S956" s="47"/>
      <c r="T956" s="71" t="s">
        <v>626</v>
      </c>
    </row>
    <row r="957" spans="1:20" s="55" customFormat="1" ht="15">
      <c r="A957" s="47" t="s">
        <v>591</v>
      </c>
      <c r="B957" s="47" t="s">
        <v>609</v>
      </c>
      <c r="C957" s="47" t="s">
        <v>607</v>
      </c>
      <c r="D957" s="48" t="s">
        <v>592</v>
      </c>
      <c r="E957" s="47">
        <v>2021</v>
      </c>
      <c r="F957" s="47">
        <v>2</v>
      </c>
      <c r="G957" s="49">
        <v>28</v>
      </c>
      <c r="H957" s="50">
        <v>0.2093865740740741</v>
      </c>
      <c r="I957" s="51">
        <v>126.251</v>
      </c>
      <c r="J957" s="51">
        <v>27.251000000000001</v>
      </c>
      <c r="K957" s="57">
        <v>148.69900000000001</v>
      </c>
      <c r="L957" s="52"/>
      <c r="M957" s="52">
        <v>4</v>
      </c>
      <c r="N957" s="53">
        <v>21.76</v>
      </c>
      <c r="O957">
        <v>34.73718976</v>
      </c>
      <c r="P957" s="54">
        <v>0.19954029411764651</v>
      </c>
      <c r="Q957" s="54">
        <v>1.3419218517647078</v>
      </c>
      <c r="R957" s="47" t="s">
        <v>608</v>
      </c>
      <c r="S957" s="47"/>
      <c r="T957" s="71" t="s">
        <v>626</v>
      </c>
    </row>
    <row r="958" spans="1:20" s="55" customFormat="1" ht="15">
      <c r="A958" s="47" t="s">
        <v>591</v>
      </c>
      <c r="B958" s="47" t="s">
        <v>609</v>
      </c>
      <c r="C958" s="47" t="s">
        <v>607</v>
      </c>
      <c r="D958" s="48" t="s">
        <v>592</v>
      </c>
      <c r="E958" s="47">
        <v>2021</v>
      </c>
      <c r="F958" s="47">
        <v>2</v>
      </c>
      <c r="G958" s="49">
        <v>28</v>
      </c>
      <c r="H958" s="50">
        <v>0.2093865740740741</v>
      </c>
      <c r="I958" s="51">
        <v>126.251</v>
      </c>
      <c r="J958" s="51">
        <v>27.251000000000001</v>
      </c>
      <c r="K958" s="57">
        <v>200.09</v>
      </c>
      <c r="L958" s="52"/>
      <c r="M958" s="52">
        <v>3</v>
      </c>
      <c r="N958" s="53">
        <v>18.989999999999998</v>
      </c>
      <c r="O958">
        <v>34.764574619999998</v>
      </c>
      <c r="P958" s="54">
        <v>0.11863390756302472</v>
      </c>
      <c r="Q958" s="54">
        <v>1.3202710991596636</v>
      </c>
      <c r="R958" s="47" t="s">
        <v>608</v>
      </c>
      <c r="S958" s="47"/>
      <c r="T958" s="71" t="s">
        <v>626</v>
      </c>
    </row>
    <row r="959" spans="1:20" s="55" customFormat="1" ht="15">
      <c r="A959" s="47" t="s">
        <v>591</v>
      </c>
      <c r="B959" s="47" t="s">
        <v>609</v>
      </c>
      <c r="C959" s="47" t="s">
        <v>607</v>
      </c>
      <c r="D959" s="48" t="s">
        <v>592</v>
      </c>
      <c r="E959" s="47">
        <v>2021</v>
      </c>
      <c r="F959" s="47">
        <v>2</v>
      </c>
      <c r="G959" s="49">
        <v>28</v>
      </c>
      <c r="H959" s="50">
        <v>0.2093865740740741</v>
      </c>
      <c r="I959" s="51">
        <v>126.251</v>
      </c>
      <c r="J959" s="51">
        <v>27.251000000000001</v>
      </c>
      <c r="K959" s="57">
        <v>298.62900000000002</v>
      </c>
      <c r="L959" s="52"/>
      <c r="M959" s="52">
        <v>2</v>
      </c>
      <c r="N959" s="53">
        <v>15.8</v>
      </c>
      <c r="O959">
        <v>34.632828760000002</v>
      </c>
      <c r="P959" s="54">
        <v>0.16317538235294116</v>
      </c>
      <c r="Q959" s="54">
        <v>1.1028246752941193</v>
      </c>
      <c r="R959" s="47" t="s">
        <v>608</v>
      </c>
      <c r="S959" s="47"/>
      <c r="T959" s="71" t="s">
        <v>626</v>
      </c>
    </row>
    <row r="960" spans="1:20" s="55" customFormat="1" ht="15">
      <c r="A960" s="47" t="s">
        <v>591</v>
      </c>
      <c r="B960" s="47" t="s">
        <v>609</v>
      </c>
      <c r="C960" s="47" t="s">
        <v>607</v>
      </c>
      <c r="D960" s="48" t="s">
        <v>592</v>
      </c>
      <c r="E960" s="47">
        <v>2021</v>
      </c>
      <c r="F960" s="47">
        <v>2</v>
      </c>
      <c r="G960" s="49">
        <v>28</v>
      </c>
      <c r="H960" s="50">
        <v>0.2093865740740741</v>
      </c>
      <c r="I960" s="51">
        <v>126.251</v>
      </c>
      <c r="J960" s="51">
        <v>27.251000000000001</v>
      </c>
      <c r="K960" s="57">
        <v>496.50900000000001</v>
      </c>
      <c r="L960" s="52"/>
      <c r="M960" s="52">
        <v>1</v>
      </c>
      <c r="N960" s="53">
        <v>9.23</v>
      </c>
      <c r="O960">
        <v>34.29679016</v>
      </c>
      <c r="P960" s="54">
        <v>-0.12307650000000026</v>
      </c>
      <c r="Q960" s="54">
        <v>-0.86166472000000205</v>
      </c>
      <c r="R960" s="47" t="s">
        <v>608</v>
      </c>
      <c r="S960" s="47"/>
      <c r="T960" s="71" t="s">
        <v>626</v>
      </c>
    </row>
    <row r="961" spans="1:20" s="55" customFormat="1">
      <c r="A961" s="47"/>
      <c r="B961" s="47"/>
      <c r="C961" s="47"/>
      <c r="D961" s="48"/>
      <c r="E961" s="47"/>
      <c r="F961" s="47"/>
      <c r="G961" s="49"/>
      <c r="H961" s="50"/>
      <c r="I961" s="51"/>
      <c r="J961" s="51"/>
      <c r="K961" s="52"/>
      <c r="L961" s="52"/>
      <c r="M961" s="52"/>
      <c r="N961" s="53"/>
      <c r="O961" s="51"/>
      <c r="P961" s="54"/>
      <c r="Q961" s="54"/>
      <c r="R961" s="47"/>
      <c r="S961" s="47"/>
      <c r="T961" s="71"/>
    </row>
    <row r="962" spans="1:20" s="55" customFormat="1" ht="15">
      <c r="A962" s="47" t="s">
        <v>591</v>
      </c>
      <c r="B962" s="47" t="s">
        <v>610</v>
      </c>
      <c r="C962" s="47" t="s">
        <v>607</v>
      </c>
      <c r="D962" s="48" t="s">
        <v>593</v>
      </c>
      <c r="E962" s="47">
        <v>2021</v>
      </c>
      <c r="F962" s="47">
        <v>3</v>
      </c>
      <c r="G962" s="49">
        <v>1</v>
      </c>
      <c r="H962" s="50">
        <v>0.34833333333333333</v>
      </c>
      <c r="I962" s="51">
        <v>123.251</v>
      </c>
      <c r="J962" s="51">
        <v>27.25</v>
      </c>
      <c r="K962" s="57">
        <v>0</v>
      </c>
      <c r="L962" s="52"/>
      <c r="M962" s="52">
        <v>0</v>
      </c>
      <c r="N962" s="53">
        <v>21.8</v>
      </c>
      <c r="O962">
        <v>34.483814940000002</v>
      </c>
      <c r="P962" s="54">
        <v>9.90586176470587E-2</v>
      </c>
      <c r="Q962" s="54">
        <v>0.57146296470588176</v>
      </c>
      <c r="R962" s="47" t="s">
        <v>608</v>
      </c>
      <c r="S962" s="47"/>
      <c r="T962" s="71" t="s">
        <v>626</v>
      </c>
    </row>
    <row r="963" spans="1:20" s="55" customFormat="1" ht="15">
      <c r="A963" s="47" t="s">
        <v>591</v>
      </c>
      <c r="B963" s="47" t="s">
        <v>610</v>
      </c>
      <c r="C963" s="47" t="s">
        <v>607</v>
      </c>
      <c r="D963" s="48" t="s">
        <v>593</v>
      </c>
      <c r="E963" s="47">
        <v>2021</v>
      </c>
      <c r="F963" s="47">
        <v>3</v>
      </c>
      <c r="G963" s="49">
        <v>1</v>
      </c>
      <c r="H963" s="50">
        <v>0.34833333333333333</v>
      </c>
      <c r="I963" s="51">
        <v>123.251</v>
      </c>
      <c r="J963" s="51">
        <v>27.25</v>
      </c>
      <c r="K963" s="57">
        <v>9.5459999999999994</v>
      </c>
      <c r="L963" s="52"/>
      <c r="M963" s="52">
        <v>6</v>
      </c>
      <c r="N963" s="53">
        <v>21.79</v>
      </c>
      <c r="O963">
        <v>34.482512360000001</v>
      </c>
      <c r="P963" s="54">
        <v>8.6223235294117906E-2</v>
      </c>
      <c r="Q963" s="54">
        <v>0.85372468941176471</v>
      </c>
      <c r="R963" s="47" t="s">
        <v>608</v>
      </c>
      <c r="S963" s="47"/>
      <c r="T963" s="71" t="s">
        <v>626</v>
      </c>
    </row>
    <row r="964" spans="1:20" s="55" customFormat="1" ht="15">
      <c r="A964" s="47" t="s">
        <v>591</v>
      </c>
      <c r="B964" s="47" t="s">
        <v>610</v>
      </c>
      <c r="C964" s="47" t="s">
        <v>607</v>
      </c>
      <c r="D964" s="48" t="s">
        <v>593</v>
      </c>
      <c r="E964" s="47">
        <v>2021</v>
      </c>
      <c r="F964" s="47">
        <v>3</v>
      </c>
      <c r="G964" s="49">
        <v>1</v>
      </c>
      <c r="H964" s="50">
        <v>0.34833333333333333</v>
      </c>
      <c r="I964" s="51">
        <v>123.251</v>
      </c>
      <c r="J964" s="51">
        <v>27.25</v>
      </c>
      <c r="K964" s="57">
        <v>20.584</v>
      </c>
      <c r="L964" s="52"/>
      <c r="M964" s="52">
        <v>5</v>
      </c>
      <c r="N964" s="53">
        <v>21.71</v>
      </c>
      <c r="O964">
        <v>34.474865299999998</v>
      </c>
      <c r="P964" s="54">
        <v>0.10160885294117605</v>
      </c>
      <c r="Q964" s="54">
        <v>0.73482293411764488</v>
      </c>
      <c r="R964" s="47" t="s">
        <v>608</v>
      </c>
      <c r="S964" s="47"/>
      <c r="T964" s="71" t="s">
        <v>626</v>
      </c>
    </row>
    <row r="965" spans="1:20" s="55" customFormat="1" ht="15">
      <c r="A965" s="47" t="s">
        <v>591</v>
      </c>
      <c r="B965" s="47" t="s">
        <v>610</v>
      </c>
      <c r="C965" s="47" t="s">
        <v>607</v>
      </c>
      <c r="D965" s="48" t="s">
        <v>593</v>
      </c>
      <c r="E965" s="47">
        <v>2021</v>
      </c>
      <c r="F965" s="47">
        <v>3</v>
      </c>
      <c r="G965" s="49">
        <v>1</v>
      </c>
      <c r="H965" s="50">
        <v>0.34833333333333333</v>
      </c>
      <c r="I965" s="51">
        <v>123.251</v>
      </c>
      <c r="J965" s="51">
        <v>27.25</v>
      </c>
      <c r="K965" s="57">
        <v>31.286000000000001</v>
      </c>
      <c r="L965" s="52"/>
      <c r="M965" s="52">
        <v>4</v>
      </c>
      <c r="N965" s="53">
        <v>21.63</v>
      </c>
      <c r="O965">
        <v>34.469508920000003</v>
      </c>
      <c r="P965" s="54">
        <v>0.16382497058823553</v>
      </c>
      <c r="Q965" s="54">
        <v>0.93147169882353076</v>
      </c>
      <c r="R965" s="47" t="s">
        <v>608</v>
      </c>
      <c r="S965" s="47"/>
      <c r="T965" s="71" t="s">
        <v>626</v>
      </c>
    </row>
    <row r="966" spans="1:20" s="55" customFormat="1" ht="15">
      <c r="A966" s="47" t="s">
        <v>591</v>
      </c>
      <c r="B966" s="47" t="s">
        <v>610</v>
      </c>
      <c r="C966" s="47" t="s">
        <v>607</v>
      </c>
      <c r="D966" s="48" t="s">
        <v>593</v>
      </c>
      <c r="E966" s="47">
        <v>2021</v>
      </c>
      <c r="F966" s="47">
        <v>3</v>
      </c>
      <c r="G966" s="49">
        <v>1</v>
      </c>
      <c r="H966" s="50">
        <v>0.34833333333333333</v>
      </c>
      <c r="I966" s="51">
        <v>123.251</v>
      </c>
      <c r="J966" s="51">
        <v>27.25</v>
      </c>
      <c r="K966" s="57">
        <v>49.768999999999998</v>
      </c>
      <c r="L966" s="52"/>
      <c r="M966" s="52">
        <v>3</v>
      </c>
      <c r="N966" s="53">
        <v>21.11</v>
      </c>
      <c r="O966">
        <v>34.479007920000001</v>
      </c>
      <c r="P966" s="54">
        <v>0.15098958823529385</v>
      </c>
      <c r="Q966" s="54">
        <v>0.71812078352940922</v>
      </c>
      <c r="R966" s="47" t="s">
        <v>608</v>
      </c>
      <c r="S966" s="47"/>
      <c r="T966" s="71" t="s">
        <v>626</v>
      </c>
    </row>
    <row r="967" spans="1:20" s="55" customFormat="1" ht="15">
      <c r="A967" s="47" t="s">
        <v>591</v>
      </c>
      <c r="B967" s="47" t="s">
        <v>610</v>
      </c>
      <c r="C967" s="47" t="s">
        <v>607</v>
      </c>
      <c r="D967" s="48" t="s">
        <v>593</v>
      </c>
      <c r="E967" s="47">
        <v>2021</v>
      </c>
      <c r="F967" s="47">
        <v>3</v>
      </c>
      <c r="G967" s="49">
        <v>1</v>
      </c>
      <c r="H967" s="50">
        <v>0.34833333333333333</v>
      </c>
      <c r="I967" s="51">
        <v>123.251</v>
      </c>
      <c r="J967" s="51">
        <v>27.25</v>
      </c>
      <c r="K967" s="57">
        <v>74.772000000000006</v>
      </c>
      <c r="L967" s="52"/>
      <c r="M967" s="52">
        <v>2</v>
      </c>
      <c r="N967" s="53">
        <v>19.96</v>
      </c>
      <c r="O967">
        <v>34.572360779999997</v>
      </c>
      <c r="P967" s="54">
        <v>0.19463870823529472</v>
      </c>
      <c r="Q967" s="54">
        <v>0.95929408705882047</v>
      </c>
      <c r="R967" s="47" t="s">
        <v>608</v>
      </c>
      <c r="S967" s="47"/>
      <c r="T967" s="71" t="s">
        <v>626</v>
      </c>
    </row>
    <row r="968" spans="1:20" s="55" customFormat="1" ht="15">
      <c r="A968" s="47" t="s">
        <v>591</v>
      </c>
      <c r="B968" s="47" t="s">
        <v>610</v>
      </c>
      <c r="C968" s="47" t="s">
        <v>607</v>
      </c>
      <c r="D968" s="48">
        <v>44256</v>
      </c>
      <c r="E968" s="47">
        <v>2021</v>
      </c>
      <c r="F968" s="47">
        <v>3</v>
      </c>
      <c r="G968" s="49">
        <v>1</v>
      </c>
      <c r="H968" s="50">
        <v>0.34833333333333333</v>
      </c>
      <c r="I968" s="51">
        <v>123.251</v>
      </c>
      <c r="J968" s="51">
        <v>27.25</v>
      </c>
      <c r="K968" s="57">
        <v>101.35</v>
      </c>
      <c r="L968" s="52"/>
      <c r="M968" s="52">
        <v>1</v>
      </c>
      <c r="N968" s="53">
        <v>19.8</v>
      </c>
      <c r="O968">
        <v>34.581536970000002</v>
      </c>
      <c r="P968" s="54">
        <v>0.19992802588235259</v>
      </c>
      <c r="Q968" s="54">
        <v>0.96253121647058748</v>
      </c>
      <c r="R968" s="47" t="s">
        <v>608</v>
      </c>
      <c r="S968" s="47"/>
      <c r="T968" s="71" t="s">
        <v>626</v>
      </c>
    </row>
    <row r="969" spans="1:20" s="55" customFormat="1">
      <c r="A969" s="47"/>
      <c r="B969" s="47"/>
      <c r="C969" s="47"/>
      <c r="D969" s="48"/>
      <c r="E969" s="47"/>
      <c r="F969" s="47"/>
      <c r="G969" s="49"/>
      <c r="H969" s="50"/>
      <c r="I969" s="51"/>
      <c r="J969" s="51"/>
      <c r="K969" s="52"/>
      <c r="L969" s="52"/>
      <c r="M969" s="52"/>
      <c r="N969" s="53"/>
      <c r="O969" s="51"/>
      <c r="P969" s="54"/>
      <c r="Q969" s="54"/>
      <c r="R969" s="47"/>
      <c r="S969" s="47"/>
      <c r="T969" s="71"/>
    </row>
    <row r="970" spans="1:20" s="55" customFormat="1" ht="15">
      <c r="A970" s="47" t="s">
        <v>591</v>
      </c>
      <c r="B970" s="47" t="s">
        <v>611</v>
      </c>
      <c r="C970" s="47" t="s">
        <v>607</v>
      </c>
      <c r="D970" s="48" t="s">
        <v>593</v>
      </c>
      <c r="E970" s="47">
        <v>2021</v>
      </c>
      <c r="F970" s="47">
        <v>3</v>
      </c>
      <c r="G970" s="49">
        <v>1</v>
      </c>
      <c r="H970" s="50">
        <v>0.84732638888888889</v>
      </c>
      <c r="I970" s="51">
        <v>124.752</v>
      </c>
      <c r="J970" s="51">
        <v>27.753</v>
      </c>
      <c r="K970" s="57">
        <v>10.119</v>
      </c>
      <c r="L970" s="52"/>
      <c r="M970" s="52">
        <v>11</v>
      </c>
      <c r="N970" s="53">
        <v>21.02</v>
      </c>
      <c r="O970" s="51">
        <v>34.460899999999995</v>
      </c>
      <c r="P970" s="54">
        <v>0.20603478352941185</v>
      </c>
      <c r="Q970" s="54">
        <v>1.0050763458823528</v>
      </c>
      <c r="R970" s="47" t="s">
        <v>608</v>
      </c>
      <c r="S970" s="47"/>
      <c r="T970" s="71" t="s">
        <v>626</v>
      </c>
    </row>
    <row r="971" spans="1:20" s="55" customFormat="1" ht="15">
      <c r="A971" s="47" t="s">
        <v>591</v>
      </c>
      <c r="B971" s="47" t="s">
        <v>611</v>
      </c>
      <c r="C971" s="47" t="s">
        <v>607</v>
      </c>
      <c r="D971" s="48" t="s">
        <v>593</v>
      </c>
      <c r="E971" s="47">
        <v>2021</v>
      </c>
      <c r="F971" s="47">
        <v>3</v>
      </c>
      <c r="G971" s="49">
        <v>1</v>
      </c>
      <c r="H971" s="50">
        <v>0.84732638888888889</v>
      </c>
      <c r="I971" s="51">
        <v>124.752</v>
      </c>
      <c r="J971" s="51">
        <v>27.753</v>
      </c>
      <c r="K971" s="57">
        <v>19.605</v>
      </c>
      <c r="L971" s="52"/>
      <c r="M971" s="52">
        <v>10</v>
      </c>
      <c r="N971" s="53">
        <v>20.28</v>
      </c>
      <c r="O971" s="51">
        <v>34.444599999999994</v>
      </c>
      <c r="P971" s="54">
        <v>0.10382316470588293</v>
      </c>
      <c r="Q971" s="54">
        <v>0.90075776235294214</v>
      </c>
      <c r="R971" s="47" t="s">
        <v>608</v>
      </c>
      <c r="S971" s="47"/>
      <c r="T971" s="71" t="s">
        <v>626</v>
      </c>
    </row>
    <row r="972" spans="1:20" s="55" customFormat="1" ht="15">
      <c r="A972" s="47" t="s">
        <v>591</v>
      </c>
      <c r="B972" s="47" t="s">
        <v>611</v>
      </c>
      <c r="C972" s="47" t="s">
        <v>607</v>
      </c>
      <c r="D972" s="48" t="s">
        <v>593</v>
      </c>
      <c r="E972" s="47">
        <v>2021</v>
      </c>
      <c r="F972" s="47">
        <v>3</v>
      </c>
      <c r="G972" s="49">
        <v>1</v>
      </c>
      <c r="H972" s="50">
        <v>0.84732638888888889</v>
      </c>
      <c r="I972" s="51">
        <v>124.752</v>
      </c>
      <c r="J972" s="51">
        <v>27.753</v>
      </c>
      <c r="K972" s="57">
        <v>31.524999999999999</v>
      </c>
      <c r="L972" s="52"/>
      <c r="M972" s="52">
        <v>9</v>
      </c>
      <c r="N972" s="53">
        <v>19.760000000000002</v>
      </c>
      <c r="O972" s="51">
        <v>34.402200000000001</v>
      </c>
      <c r="P972" s="54">
        <v>0.1182182176470592</v>
      </c>
      <c r="Q972" s="54">
        <v>0.82682403882353128</v>
      </c>
      <c r="R972" s="47" t="s">
        <v>608</v>
      </c>
      <c r="S972" s="47"/>
      <c r="T972" s="71" t="s">
        <v>626</v>
      </c>
    </row>
    <row r="973" spans="1:20" s="55" customFormat="1" ht="15">
      <c r="A973" s="47" t="s">
        <v>591</v>
      </c>
      <c r="B973" s="47" t="s">
        <v>611</v>
      </c>
      <c r="C973" s="47" t="s">
        <v>607</v>
      </c>
      <c r="D973" s="48" t="s">
        <v>593</v>
      </c>
      <c r="E973" s="47">
        <v>2021</v>
      </c>
      <c r="F973" s="47">
        <v>3</v>
      </c>
      <c r="G973" s="49">
        <v>1</v>
      </c>
      <c r="H973" s="50">
        <v>0.84732638888888889</v>
      </c>
      <c r="I973" s="51">
        <v>124.752</v>
      </c>
      <c r="J973" s="51">
        <v>27.753</v>
      </c>
      <c r="K973" s="57">
        <v>50.58</v>
      </c>
      <c r="L973" s="52"/>
      <c r="M973" s="52">
        <v>8</v>
      </c>
      <c r="N973" s="53">
        <v>19.11</v>
      </c>
      <c r="O973" s="51">
        <v>34.467099999999995</v>
      </c>
      <c r="P973" s="54">
        <v>0.19594901647058816</v>
      </c>
      <c r="Q973" s="54">
        <v>0.89548795411764814</v>
      </c>
      <c r="R973" s="47" t="s">
        <v>608</v>
      </c>
      <c r="S973" s="47"/>
      <c r="T973" s="71" t="s">
        <v>626</v>
      </c>
    </row>
    <row r="974" spans="1:20" s="55" customFormat="1" ht="15">
      <c r="A974" s="47" t="s">
        <v>591</v>
      </c>
      <c r="B974" s="47" t="s">
        <v>611</v>
      </c>
      <c r="C974" s="47" t="s">
        <v>607</v>
      </c>
      <c r="D974" s="48" t="s">
        <v>593</v>
      </c>
      <c r="E974" s="47">
        <v>2021</v>
      </c>
      <c r="F974" s="47">
        <v>3</v>
      </c>
      <c r="G974" s="49">
        <v>1</v>
      </c>
      <c r="H974" s="50">
        <v>0.84732638888888889</v>
      </c>
      <c r="I974" s="51">
        <v>124.752</v>
      </c>
      <c r="J974" s="51">
        <v>27.753</v>
      </c>
      <c r="K974" s="57">
        <v>74.149000000000001</v>
      </c>
      <c r="L974" s="52"/>
      <c r="M974" s="52">
        <v>7</v>
      </c>
      <c r="N974" s="53">
        <v>18.52</v>
      </c>
      <c r="O974" s="51">
        <v>34.566600000000001</v>
      </c>
      <c r="P974" s="54">
        <v>0.15280501411764735</v>
      </c>
      <c r="Q974" s="54">
        <v>0.87179910352941192</v>
      </c>
      <c r="R974" s="47" t="s">
        <v>608</v>
      </c>
      <c r="S974" s="47"/>
      <c r="T974" s="71" t="s">
        <v>626</v>
      </c>
    </row>
    <row r="975" spans="1:20" s="55" customFormat="1" ht="15">
      <c r="A975" s="47" t="s">
        <v>591</v>
      </c>
      <c r="B975" s="47" t="s">
        <v>611</v>
      </c>
      <c r="C975" s="47" t="s">
        <v>607</v>
      </c>
      <c r="D975" s="48" t="s">
        <v>593</v>
      </c>
      <c r="E975" s="47">
        <v>2021</v>
      </c>
      <c r="F975" s="47">
        <v>3</v>
      </c>
      <c r="G975" s="49">
        <v>1</v>
      </c>
      <c r="H975" s="50">
        <v>0.84732638888888889</v>
      </c>
      <c r="I975" s="51">
        <v>124.752</v>
      </c>
      <c r="J975" s="51">
        <v>27.753</v>
      </c>
      <c r="K975" s="57">
        <v>92.747</v>
      </c>
      <c r="L975" s="52"/>
      <c r="M975" s="52">
        <v>1</v>
      </c>
      <c r="N975" s="53">
        <v>18.510000000000002</v>
      </c>
      <c r="O975" s="51">
        <v>34.567399999999999</v>
      </c>
      <c r="P975" s="54">
        <v>0.13758620470588268</v>
      </c>
      <c r="Q975" s="54">
        <v>0.92857604117646986</v>
      </c>
      <c r="R975" s="47" t="s">
        <v>608</v>
      </c>
      <c r="S975" s="47"/>
      <c r="T975" s="71" t="s">
        <v>626</v>
      </c>
    </row>
    <row r="976" spans="1:20" s="55" customFormat="1">
      <c r="A976" s="47"/>
      <c r="B976" s="47"/>
      <c r="C976" s="47"/>
      <c r="D976" s="48"/>
      <c r="E976" s="47"/>
      <c r="F976" s="47"/>
      <c r="G976" s="49"/>
      <c r="H976" s="50"/>
      <c r="I976" s="51"/>
      <c r="J976" s="51"/>
      <c r="K976" s="52"/>
      <c r="L976" s="52"/>
      <c r="M976" s="52"/>
      <c r="N976" s="53"/>
      <c r="O976" s="51"/>
      <c r="P976" s="54"/>
      <c r="Q976" s="54"/>
      <c r="R976" s="47"/>
      <c r="S976" s="47"/>
      <c r="T976" s="71"/>
    </row>
    <row r="977" spans="1:20" s="55" customFormat="1">
      <c r="A977" s="47" t="s">
        <v>591</v>
      </c>
      <c r="B977" s="47" t="s">
        <v>612</v>
      </c>
      <c r="C977" s="47" t="s">
        <v>607</v>
      </c>
      <c r="D977" s="48" t="s">
        <v>594</v>
      </c>
      <c r="E977" s="47">
        <v>2021</v>
      </c>
      <c r="F977" s="47">
        <v>3</v>
      </c>
      <c r="G977" s="49">
        <v>4</v>
      </c>
      <c r="H977" s="50">
        <v>0.20738425925925927</v>
      </c>
      <c r="I977" s="51">
        <v>126.75</v>
      </c>
      <c r="J977" s="51">
        <v>28.251000000000001</v>
      </c>
      <c r="K977" s="52">
        <v>9.6679999999999993</v>
      </c>
      <c r="L977" s="52"/>
      <c r="M977" s="52">
        <v>9</v>
      </c>
      <c r="N977" s="53">
        <v>22.9</v>
      </c>
      <c r="O977" s="51">
        <v>34.596199999999996</v>
      </c>
      <c r="P977" s="54">
        <v>0.15043684235294075</v>
      </c>
      <c r="Q977" s="54">
        <v>1.0664430705882371</v>
      </c>
      <c r="R977" s="47" t="s">
        <v>608</v>
      </c>
      <c r="S977" s="47"/>
      <c r="T977" s="71" t="s">
        <v>626</v>
      </c>
    </row>
    <row r="978" spans="1:20" s="55" customFormat="1">
      <c r="A978" s="47" t="s">
        <v>591</v>
      </c>
      <c r="B978" s="47" t="s">
        <v>612</v>
      </c>
      <c r="C978" s="47" t="s">
        <v>607</v>
      </c>
      <c r="D978" s="48" t="s">
        <v>594</v>
      </c>
      <c r="E978" s="47">
        <v>2021</v>
      </c>
      <c r="F978" s="47">
        <v>3</v>
      </c>
      <c r="G978" s="49">
        <v>4</v>
      </c>
      <c r="H978" s="50">
        <v>0.20738425925925927</v>
      </c>
      <c r="I978" s="51">
        <v>126.75</v>
      </c>
      <c r="J978" s="51">
        <v>28.251000000000001</v>
      </c>
      <c r="K978" s="52">
        <v>20.372</v>
      </c>
      <c r="L978" s="52"/>
      <c r="M978" s="52">
        <v>8</v>
      </c>
      <c r="N978" s="53">
        <v>22.89</v>
      </c>
      <c r="O978" s="51">
        <v>34.596399999999996</v>
      </c>
      <c r="P978" s="54">
        <v>9.0772770588235296E-2</v>
      </c>
      <c r="Q978" s="54">
        <v>1.2548534752941212</v>
      </c>
      <c r="R978" s="47" t="s">
        <v>608</v>
      </c>
      <c r="S978" s="47"/>
      <c r="T978" s="71" t="s">
        <v>626</v>
      </c>
    </row>
    <row r="979" spans="1:20" s="55" customFormat="1">
      <c r="A979" s="47" t="s">
        <v>591</v>
      </c>
      <c r="B979" s="47" t="s">
        <v>612</v>
      </c>
      <c r="C979" s="47" t="s">
        <v>607</v>
      </c>
      <c r="D979" s="48" t="s">
        <v>594</v>
      </c>
      <c r="E979" s="47">
        <v>2021</v>
      </c>
      <c r="F979" s="47">
        <v>3</v>
      </c>
      <c r="G979" s="49">
        <v>4</v>
      </c>
      <c r="H979" s="50">
        <v>0.20738425925925927</v>
      </c>
      <c r="I979" s="51">
        <v>126.75</v>
      </c>
      <c r="J979" s="51">
        <v>28.251000000000001</v>
      </c>
      <c r="K979" s="52">
        <v>29.404</v>
      </c>
      <c r="L979" s="52"/>
      <c r="M979" s="52">
        <v>7</v>
      </c>
      <c r="N979" s="53">
        <v>22.89</v>
      </c>
      <c r="O979" s="51">
        <v>34.596499999999999</v>
      </c>
      <c r="P979" s="54">
        <v>0.14037511764705979</v>
      </c>
      <c r="Q979" s="54">
        <v>0.93416008941176365</v>
      </c>
      <c r="R979" s="47" t="s">
        <v>608</v>
      </c>
      <c r="S979" s="47"/>
      <c r="T979" s="71" t="s">
        <v>626</v>
      </c>
    </row>
    <row r="980" spans="1:20" s="55" customFormat="1">
      <c r="A980" s="47" t="s">
        <v>591</v>
      </c>
      <c r="B980" s="47" t="s">
        <v>612</v>
      </c>
      <c r="C980" s="47" t="s">
        <v>607</v>
      </c>
      <c r="D980" s="48" t="s">
        <v>594</v>
      </c>
      <c r="E980" s="47">
        <v>2021</v>
      </c>
      <c r="F980" s="47">
        <v>3</v>
      </c>
      <c r="G980" s="49">
        <v>4</v>
      </c>
      <c r="H980" s="50">
        <v>0.20738425925925927</v>
      </c>
      <c r="I980" s="51">
        <v>126.75</v>
      </c>
      <c r="J980" s="51">
        <v>28.251000000000001</v>
      </c>
      <c r="K980" s="52">
        <v>50.026000000000003</v>
      </c>
      <c r="L980" s="52"/>
      <c r="M980" s="52">
        <v>6</v>
      </c>
      <c r="N980" s="53">
        <v>22.9</v>
      </c>
      <c r="O980" s="51">
        <v>34.596499999999999</v>
      </c>
      <c r="P980" s="54">
        <v>0.23476539529411733</v>
      </c>
      <c r="Q980" s="54">
        <v>1.21432207882353</v>
      </c>
      <c r="R980" s="47" t="s">
        <v>608</v>
      </c>
      <c r="S980" s="47"/>
      <c r="T980" s="71" t="s">
        <v>626</v>
      </c>
    </row>
    <row r="981" spans="1:20" s="55" customFormat="1">
      <c r="A981" s="47" t="s">
        <v>591</v>
      </c>
      <c r="B981" s="47" t="s">
        <v>612</v>
      </c>
      <c r="C981" s="47" t="s">
        <v>607</v>
      </c>
      <c r="D981" s="48" t="s">
        <v>594</v>
      </c>
      <c r="E981" s="47">
        <v>2021</v>
      </c>
      <c r="F981" s="47">
        <v>3</v>
      </c>
      <c r="G981" s="49">
        <v>4</v>
      </c>
      <c r="H981" s="50">
        <v>0.20738425925925927</v>
      </c>
      <c r="I981" s="51">
        <v>126.75</v>
      </c>
      <c r="J981" s="51">
        <v>28.251000000000001</v>
      </c>
      <c r="K981" s="52">
        <v>75.075999999999993</v>
      </c>
      <c r="L981" s="52"/>
      <c r="M981" s="52">
        <v>5</v>
      </c>
      <c r="N981" s="53">
        <v>22.91</v>
      </c>
      <c r="O981" s="51">
        <v>34.596399999999996</v>
      </c>
      <c r="P981" s="54">
        <v>0.13761972352941143</v>
      </c>
      <c r="Q981" s="54">
        <v>1.3595746117647067</v>
      </c>
      <c r="R981" s="47" t="s">
        <v>608</v>
      </c>
      <c r="S981" s="47"/>
      <c r="T981" s="71" t="s">
        <v>626</v>
      </c>
    </row>
    <row r="982" spans="1:20" s="55" customFormat="1">
      <c r="A982" s="47" t="s">
        <v>591</v>
      </c>
      <c r="B982" s="47" t="s">
        <v>612</v>
      </c>
      <c r="C982" s="47" t="s">
        <v>607</v>
      </c>
      <c r="D982" s="48" t="s">
        <v>594</v>
      </c>
      <c r="E982" s="47">
        <v>2021</v>
      </c>
      <c r="F982" s="47">
        <v>3</v>
      </c>
      <c r="G982" s="49">
        <v>4</v>
      </c>
      <c r="H982" s="50">
        <v>0.20738425925925927</v>
      </c>
      <c r="I982" s="51">
        <v>126.75</v>
      </c>
      <c r="J982" s="51">
        <v>28.251000000000001</v>
      </c>
      <c r="K982" s="52">
        <v>98.995000000000005</v>
      </c>
      <c r="L982" s="52"/>
      <c r="M982" s="52">
        <v>4</v>
      </c>
      <c r="N982" s="53">
        <v>22.91</v>
      </c>
      <c r="O982" s="51">
        <v>34.625099999999996</v>
      </c>
      <c r="P982" s="54">
        <v>0.22490803058823516</v>
      </c>
      <c r="Q982" s="54">
        <v>1.3269279376470582</v>
      </c>
      <c r="R982" s="47" t="s">
        <v>608</v>
      </c>
      <c r="S982" s="47"/>
      <c r="T982" s="71" t="s">
        <v>626</v>
      </c>
    </row>
    <row r="983" spans="1:20" s="55" customFormat="1">
      <c r="A983" s="47" t="s">
        <v>591</v>
      </c>
      <c r="B983" s="47" t="s">
        <v>612</v>
      </c>
      <c r="C983" s="47" t="s">
        <v>607</v>
      </c>
      <c r="D983" s="48" t="s">
        <v>594</v>
      </c>
      <c r="E983" s="47">
        <v>2021</v>
      </c>
      <c r="F983" s="47">
        <v>3</v>
      </c>
      <c r="G983" s="49">
        <v>4</v>
      </c>
      <c r="H983" s="50">
        <v>0.20738425925925927</v>
      </c>
      <c r="I983" s="51">
        <v>126.75</v>
      </c>
      <c r="J983" s="51">
        <v>28.251000000000001</v>
      </c>
      <c r="K983" s="52">
        <v>124.276</v>
      </c>
      <c r="L983" s="52"/>
      <c r="M983" s="52">
        <v>3</v>
      </c>
      <c r="N983" s="53">
        <v>22.46</v>
      </c>
      <c r="O983" s="51">
        <v>34.646699999999996</v>
      </c>
      <c r="P983" s="54">
        <v>0.15711727647058771</v>
      </c>
      <c r="Q983" s="54">
        <v>1.4334389682352953</v>
      </c>
      <c r="R983" s="47" t="s">
        <v>608</v>
      </c>
      <c r="S983" s="47"/>
      <c r="T983" s="71" t="s">
        <v>626</v>
      </c>
    </row>
    <row r="984" spans="1:20" s="55" customFormat="1">
      <c r="A984" s="47" t="s">
        <v>591</v>
      </c>
      <c r="B984" s="47" t="s">
        <v>612</v>
      </c>
      <c r="C984" s="47" t="s">
        <v>607</v>
      </c>
      <c r="D984" s="48" t="s">
        <v>594</v>
      </c>
      <c r="E984" s="47">
        <v>2021</v>
      </c>
      <c r="F984" s="47">
        <v>3</v>
      </c>
      <c r="G984" s="49">
        <v>4</v>
      </c>
      <c r="H984" s="50">
        <v>0.20738425925925927</v>
      </c>
      <c r="I984" s="51">
        <v>126.75</v>
      </c>
      <c r="J984" s="51">
        <v>28.251000000000001</v>
      </c>
      <c r="K984" s="52">
        <v>148.86799999999999</v>
      </c>
      <c r="L984" s="52"/>
      <c r="M984" s="52">
        <v>2</v>
      </c>
      <c r="N984" s="53">
        <v>21.12</v>
      </c>
      <c r="O984" s="51">
        <v>34.649000000000001</v>
      </c>
      <c r="P984" s="54">
        <v>0.1706894117647062</v>
      </c>
      <c r="Q984" s="54">
        <v>1.1495643411764718</v>
      </c>
      <c r="R984" s="47" t="s">
        <v>608</v>
      </c>
      <c r="S984" s="47"/>
      <c r="T984" s="71" t="s">
        <v>626</v>
      </c>
    </row>
    <row r="985" spans="1:20" s="55" customFormat="1">
      <c r="A985" s="47" t="s">
        <v>591</v>
      </c>
      <c r="B985" s="47" t="s">
        <v>612</v>
      </c>
      <c r="C985" s="47" t="s">
        <v>607</v>
      </c>
      <c r="D985" s="48" t="s">
        <v>594</v>
      </c>
      <c r="E985" s="47">
        <v>2021</v>
      </c>
      <c r="F985" s="47">
        <v>3</v>
      </c>
      <c r="G985" s="49">
        <v>4</v>
      </c>
      <c r="H985" s="50">
        <v>0.20738425925925927</v>
      </c>
      <c r="I985" s="51">
        <v>126.75</v>
      </c>
      <c r="J985" s="51">
        <v>28.251000000000001</v>
      </c>
      <c r="K985" s="52">
        <v>198.732</v>
      </c>
      <c r="L985" s="52"/>
      <c r="M985" s="52">
        <v>1</v>
      </c>
      <c r="N985" s="53">
        <v>19.78</v>
      </c>
      <c r="O985" s="51">
        <v>34.6785</v>
      </c>
      <c r="P985" s="54">
        <v>0.15841857411764781</v>
      </c>
      <c r="Q985" s="54">
        <v>1.1879073694117661</v>
      </c>
      <c r="R985" s="47" t="s">
        <v>608</v>
      </c>
      <c r="S985" s="47"/>
      <c r="T985" s="71" t="s">
        <v>626</v>
      </c>
    </row>
    <row r="986" spans="1:20" s="55" customFormat="1">
      <c r="A986" s="47"/>
      <c r="B986" s="47"/>
      <c r="C986" s="47"/>
      <c r="D986" s="48"/>
      <c r="E986" s="47"/>
      <c r="F986" s="47"/>
      <c r="G986" s="49"/>
      <c r="H986" s="50"/>
      <c r="I986" s="51"/>
      <c r="J986" s="51"/>
      <c r="K986" s="52"/>
      <c r="L986" s="52"/>
      <c r="M986" s="52"/>
      <c r="N986" s="53"/>
      <c r="O986" s="51"/>
      <c r="P986" s="54"/>
      <c r="Q986" s="54"/>
      <c r="R986" s="47"/>
      <c r="S986" s="47"/>
      <c r="T986" s="71"/>
    </row>
    <row r="987" spans="1:20" s="55" customFormat="1" ht="15">
      <c r="A987" s="47" t="s">
        <v>591</v>
      </c>
      <c r="B987" s="47" t="s">
        <v>613</v>
      </c>
      <c r="C987" s="47" t="s">
        <v>607</v>
      </c>
      <c r="D987" s="48" t="s">
        <v>595</v>
      </c>
      <c r="E987" s="47">
        <v>2021</v>
      </c>
      <c r="F987" s="47">
        <v>3</v>
      </c>
      <c r="G987" s="49">
        <v>5</v>
      </c>
      <c r="H987" s="50">
        <v>0.21015046296296294</v>
      </c>
      <c r="I987" s="51">
        <v>126.251</v>
      </c>
      <c r="J987" s="51">
        <v>29.748999999999999</v>
      </c>
      <c r="K987" s="57">
        <v>0</v>
      </c>
      <c r="L987" s="52"/>
      <c r="M987" s="52">
        <v>0</v>
      </c>
      <c r="N987" s="53">
        <v>16.899999999999999</v>
      </c>
      <c r="O987">
        <v>34.622261000000002</v>
      </c>
      <c r="P987" s="54">
        <v>0.11484468758169974</v>
      </c>
      <c r="Q987" s="54">
        <v>1.1028469176470583</v>
      </c>
      <c r="R987" s="47" t="s">
        <v>608</v>
      </c>
      <c r="S987" s="47"/>
      <c r="T987" s="71" t="s">
        <v>626</v>
      </c>
    </row>
    <row r="988" spans="1:20" s="55" customFormat="1" ht="15">
      <c r="A988" s="47" t="s">
        <v>591</v>
      </c>
      <c r="B988" s="47" t="s">
        <v>613</v>
      </c>
      <c r="C988" s="47" t="s">
        <v>607</v>
      </c>
      <c r="D988" s="48" t="s">
        <v>595</v>
      </c>
      <c r="E988" s="47">
        <v>2021</v>
      </c>
      <c r="F988" s="47">
        <v>3</v>
      </c>
      <c r="G988" s="49">
        <v>5</v>
      </c>
      <c r="H988" s="50">
        <v>0.21015046296296294</v>
      </c>
      <c r="I988" s="51">
        <v>126.251</v>
      </c>
      <c r="J988" s="51">
        <v>29.748999999999999</v>
      </c>
      <c r="K988" s="57">
        <v>10.382999999999999</v>
      </c>
      <c r="L988" s="52"/>
      <c r="M988" s="52">
        <v>6</v>
      </c>
      <c r="N988" s="53">
        <v>16.93</v>
      </c>
      <c r="O988">
        <v>34.610199999999999</v>
      </c>
      <c r="P988" s="54">
        <v>0.13204881882353003</v>
      </c>
      <c r="Q988" s="54">
        <v>1.0340155858823543</v>
      </c>
      <c r="R988" s="47" t="s">
        <v>608</v>
      </c>
      <c r="S988" s="47"/>
      <c r="T988" s="71" t="s">
        <v>626</v>
      </c>
    </row>
    <row r="989" spans="1:20" s="55" customFormat="1" ht="15">
      <c r="A989" s="47" t="s">
        <v>591</v>
      </c>
      <c r="B989" s="47" t="s">
        <v>613</v>
      </c>
      <c r="C989" s="47" t="s">
        <v>607</v>
      </c>
      <c r="D989" s="48" t="s">
        <v>595</v>
      </c>
      <c r="E989" s="47">
        <v>2021</v>
      </c>
      <c r="F989" s="47">
        <v>3</v>
      </c>
      <c r="G989" s="49">
        <v>5</v>
      </c>
      <c r="H989" s="50">
        <v>0.21015046296296294</v>
      </c>
      <c r="I989" s="51">
        <v>126.251</v>
      </c>
      <c r="J989" s="51">
        <v>29.748999999999999</v>
      </c>
      <c r="K989" s="57">
        <v>20.327000000000002</v>
      </c>
      <c r="L989" s="52"/>
      <c r="M989" s="52">
        <v>5</v>
      </c>
      <c r="N989" s="53">
        <v>16.95</v>
      </c>
      <c r="O989">
        <v>34.616</v>
      </c>
      <c r="P989" s="54">
        <v>0.16466750117647111</v>
      </c>
      <c r="Q989" s="54">
        <v>1.215426814117647</v>
      </c>
      <c r="R989" s="47" t="s">
        <v>608</v>
      </c>
      <c r="S989" s="47"/>
      <c r="T989" s="71" t="s">
        <v>626</v>
      </c>
    </row>
    <row r="990" spans="1:20" s="55" customFormat="1" ht="15">
      <c r="A990" s="47" t="s">
        <v>591</v>
      </c>
      <c r="B990" s="47" t="s">
        <v>613</v>
      </c>
      <c r="C990" s="47" t="s">
        <v>607</v>
      </c>
      <c r="D990" s="48" t="s">
        <v>595</v>
      </c>
      <c r="E990" s="47">
        <v>2021</v>
      </c>
      <c r="F990" s="47">
        <v>3</v>
      </c>
      <c r="G990" s="49">
        <v>5</v>
      </c>
      <c r="H990" s="50">
        <v>0.21015046296296294</v>
      </c>
      <c r="I990" s="51">
        <v>126.251</v>
      </c>
      <c r="J990" s="51">
        <v>29.748999999999999</v>
      </c>
      <c r="K990" s="57">
        <v>30.555</v>
      </c>
      <c r="L990" s="52"/>
      <c r="M990" s="52">
        <v>4</v>
      </c>
      <c r="N990" s="53">
        <v>16.95</v>
      </c>
      <c r="O990">
        <v>34.627600000000001</v>
      </c>
      <c r="P990" s="54">
        <v>0.16478698352941246</v>
      </c>
      <c r="Q990" s="54">
        <v>1.1808860423529417</v>
      </c>
      <c r="R990" s="47" t="s">
        <v>608</v>
      </c>
      <c r="S990" s="47"/>
      <c r="T990" s="71" t="s">
        <v>626</v>
      </c>
    </row>
    <row r="991" spans="1:20" s="55" customFormat="1" ht="15">
      <c r="A991" s="47" t="s">
        <v>591</v>
      </c>
      <c r="B991" s="47" t="s">
        <v>613</v>
      </c>
      <c r="C991" s="47" t="s">
        <v>607</v>
      </c>
      <c r="D991" s="48" t="s">
        <v>595</v>
      </c>
      <c r="E991" s="47">
        <v>2021</v>
      </c>
      <c r="F991" s="47">
        <v>3</v>
      </c>
      <c r="G991" s="49">
        <v>5</v>
      </c>
      <c r="H991" s="50">
        <v>0.21015046296296294</v>
      </c>
      <c r="I991" s="51">
        <v>126.251</v>
      </c>
      <c r="J991" s="51">
        <v>29.748999999999999</v>
      </c>
      <c r="K991" s="57">
        <v>50.540999999999997</v>
      </c>
      <c r="L991" s="52"/>
      <c r="M991" s="52">
        <v>3</v>
      </c>
      <c r="N991" s="53">
        <v>16.82</v>
      </c>
      <c r="O991">
        <v>34.630699999999997</v>
      </c>
      <c r="P991" s="54">
        <v>0.1452038258823527</v>
      </c>
      <c r="Q991" s="54">
        <v>1.2270327905882361</v>
      </c>
      <c r="R991" s="47" t="s">
        <v>608</v>
      </c>
      <c r="S991" s="47"/>
      <c r="T991" s="71" t="s">
        <v>626</v>
      </c>
    </row>
    <row r="992" spans="1:20" s="55" customFormat="1" ht="15">
      <c r="A992" s="47" t="s">
        <v>591</v>
      </c>
      <c r="B992" s="47" t="s">
        <v>613</v>
      </c>
      <c r="C992" s="47" t="s">
        <v>607</v>
      </c>
      <c r="D992" s="48" t="s">
        <v>595</v>
      </c>
      <c r="E992" s="47">
        <v>2021</v>
      </c>
      <c r="F992" s="47">
        <v>3</v>
      </c>
      <c r="G992" s="49">
        <v>5</v>
      </c>
      <c r="H992" s="50">
        <v>0.21015046296296294</v>
      </c>
      <c r="I992" s="51">
        <v>126.251</v>
      </c>
      <c r="J992" s="51">
        <v>29.748999999999999</v>
      </c>
      <c r="K992" s="57">
        <v>75.655000000000001</v>
      </c>
      <c r="L992" s="52"/>
      <c r="M992" s="52">
        <v>2</v>
      </c>
      <c r="N992" s="53">
        <v>16.239999999999998</v>
      </c>
      <c r="O992">
        <v>34.6357</v>
      </c>
      <c r="P992" s="54">
        <v>0.16721247529411754</v>
      </c>
      <c r="Q992" s="54">
        <v>1.1049679435294131</v>
      </c>
      <c r="R992" s="47" t="s">
        <v>608</v>
      </c>
      <c r="S992" s="47"/>
      <c r="T992" s="71" t="s">
        <v>626</v>
      </c>
    </row>
    <row r="993" spans="1:20" s="55" customFormat="1" ht="15">
      <c r="A993" s="47" t="s">
        <v>591</v>
      </c>
      <c r="B993" s="47" t="s">
        <v>613</v>
      </c>
      <c r="C993" s="47" t="s">
        <v>607</v>
      </c>
      <c r="D993" s="48" t="s">
        <v>595</v>
      </c>
      <c r="E993" s="47">
        <v>2021</v>
      </c>
      <c r="F993" s="47">
        <v>3</v>
      </c>
      <c r="G993" s="49">
        <v>5</v>
      </c>
      <c r="H993" s="50">
        <v>0.21015046296296294</v>
      </c>
      <c r="I993" s="51">
        <v>126.251</v>
      </c>
      <c r="J993" s="51">
        <v>29.748999999999999</v>
      </c>
      <c r="K993" s="57">
        <v>83.070999999999998</v>
      </c>
      <c r="L993" s="52"/>
      <c r="M993" s="52">
        <v>1</v>
      </c>
      <c r="N993" s="53">
        <v>16.23</v>
      </c>
      <c r="O993">
        <v>34.636399999999995</v>
      </c>
      <c r="P993" s="54">
        <v>0.1400123176470589</v>
      </c>
      <c r="Q993" s="54">
        <v>1.1419858117647053</v>
      </c>
      <c r="R993" s="47" t="s">
        <v>608</v>
      </c>
      <c r="S993" s="47"/>
      <c r="T993" s="71" t="s">
        <v>626</v>
      </c>
    </row>
    <row r="994" spans="1:20" s="55" customFormat="1">
      <c r="A994" s="47"/>
      <c r="B994" s="47"/>
      <c r="C994" s="47"/>
      <c r="D994" s="48"/>
      <c r="E994" s="47"/>
      <c r="F994" s="47"/>
      <c r="G994" s="49"/>
      <c r="H994" s="50"/>
      <c r="I994" s="51"/>
      <c r="J994" s="51"/>
      <c r="K994" s="52"/>
      <c r="L994" s="52"/>
      <c r="M994" s="52"/>
      <c r="N994" s="53"/>
      <c r="O994" s="51"/>
      <c r="P994" s="54"/>
      <c r="Q994" s="54"/>
      <c r="R994" s="47"/>
      <c r="S994" s="47"/>
      <c r="T994" s="71"/>
    </row>
    <row r="995" spans="1:20" s="55" customFormat="1" ht="15">
      <c r="A995" s="47" t="s">
        <v>591</v>
      </c>
      <c r="B995" s="47" t="s">
        <v>614</v>
      </c>
      <c r="C995" s="47" t="s">
        <v>607</v>
      </c>
      <c r="D995" s="48" t="s">
        <v>596</v>
      </c>
      <c r="E995" s="47">
        <v>2021</v>
      </c>
      <c r="F995" s="47">
        <v>3</v>
      </c>
      <c r="G995" s="49">
        <v>6</v>
      </c>
      <c r="H995" s="50">
        <v>0.44386574074074076</v>
      </c>
      <c r="I995" s="51">
        <v>126.749</v>
      </c>
      <c r="J995" s="51">
        <v>30.75</v>
      </c>
      <c r="K995" s="57">
        <v>0</v>
      </c>
      <c r="L995" s="52"/>
      <c r="M995" s="52">
        <v>0</v>
      </c>
      <c r="N995" s="53">
        <v>15.4</v>
      </c>
      <c r="O995" s="56">
        <v>34.683459900000003</v>
      </c>
      <c r="P995" s="54">
        <v>0.14612384</v>
      </c>
      <c r="Q995" s="54">
        <v>1.097334560000002</v>
      </c>
      <c r="R995" s="47" t="s">
        <v>608</v>
      </c>
      <c r="S995" s="47"/>
      <c r="T995" s="71" t="s">
        <v>626</v>
      </c>
    </row>
    <row r="996" spans="1:20" s="55" customFormat="1" ht="15">
      <c r="A996" s="47" t="s">
        <v>591</v>
      </c>
      <c r="B996" s="47" t="s">
        <v>614</v>
      </c>
      <c r="C996" s="47" t="s">
        <v>607</v>
      </c>
      <c r="D996" s="48" t="s">
        <v>596</v>
      </c>
      <c r="E996" s="47">
        <v>2021</v>
      </c>
      <c r="F996" s="47">
        <v>3</v>
      </c>
      <c r="G996" s="49">
        <v>6</v>
      </c>
      <c r="H996" s="50">
        <v>0.44386574074074076</v>
      </c>
      <c r="I996" s="51">
        <v>126.749</v>
      </c>
      <c r="J996" s="51">
        <v>30.75</v>
      </c>
      <c r="K996" s="57">
        <v>9.8729999999999993</v>
      </c>
      <c r="L996" s="52"/>
      <c r="M996" s="52">
        <v>6</v>
      </c>
      <c r="N996" s="53">
        <v>15.43</v>
      </c>
      <c r="O996" s="51">
        <v>34.677099999999996</v>
      </c>
      <c r="P996" s="54">
        <v>0.14218092235294089</v>
      </c>
      <c r="Q996" s="54">
        <v>1.1091253082352956</v>
      </c>
      <c r="R996" s="47" t="s">
        <v>608</v>
      </c>
      <c r="S996" s="47"/>
      <c r="T996" s="71" t="s">
        <v>626</v>
      </c>
    </row>
    <row r="997" spans="1:20" s="55" customFormat="1" ht="15">
      <c r="A997" s="47" t="s">
        <v>591</v>
      </c>
      <c r="B997" s="47" t="s">
        <v>614</v>
      </c>
      <c r="C997" s="47" t="s">
        <v>607</v>
      </c>
      <c r="D997" s="48" t="s">
        <v>596</v>
      </c>
      <c r="E997" s="47">
        <v>2021</v>
      </c>
      <c r="F997" s="47">
        <v>3</v>
      </c>
      <c r="G997" s="49">
        <v>6</v>
      </c>
      <c r="H997" s="50">
        <v>0.44386574074074076</v>
      </c>
      <c r="I997" s="51">
        <v>126.749</v>
      </c>
      <c r="J997" s="51">
        <v>30.75</v>
      </c>
      <c r="K997" s="57">
        <v>20.658000000000001</v>
      </c>
      <c r="L997" s="52"/>
      <c r="M997" s="52">
        <v>5</v>
      </c>
      <c r="N997" s="53">
        <v>15.27</v>
      </c>
      <c r="O997" s="51">
        <v>34.660999999999994</v>
      </c>
      <c r="P997" s="54">
        <v>0.17215904470588272</v>
      </c>
      <c r="Q997" s="54">
        <v>1.1670512564705895</v>
      </c>
      <c r="R997" s="47" t="s">
        <v>608</v>
      </c>
      <c r="S997" s="47"/>
      <c r="T997" s="71" t="s">
        <v>626</v>
      </c>
    </row>
    <row r="998" spans="1:20" s="55" customFormat="1" ht="15">
      <c r="A998" s="47" t="s">
        <v>591</v>
      </c>
      <c r="B998" s="47" t="s">
        <v>614</v>
      </c>
      <c r="C998" s="47" t="s">
        <v>607</v>
      </c>
      <c r="D998" s="48" t="s">
        <v>596</v>
      </c>
      <c r="E998" s="47">
        <v>2021</v>
      </c>
      <c r="F998" s="47">
        <v>3</v>
      </c>
      <c r="G998" s="49">
        <v>6</v>
      </c>
      <c r="H998" s="50">
        <v>0.44386574074074076</v>
      </c>
      <c r="I998" s="51">
        <v>126.749</v>
      </c>
      <c r="J998" s="51">
        <v>30.75</v>
      </c>
      <c r="K998" s="57">
        <v>29.606000000000002</v>
      </c>
      <c r="L998" s="52"/>
      <c r="M998" s="52">
        <v>4</v>
      </c>
      <c r="N998" s="53">
        <v>15.14</v>
      </c>
      <c r="O998" s="51">
        <v>34.637899999999995</v>
      </c>
      <c r="P998" s="54">
        <v>0.1651693270588237</v>
      </c>
      <c r="Q998" s="54">
        <v>1.0068656847058826</v>
      </c>
      <c r="R998" s="47" t="s">
        <v>608</v>
      </c>
      <c r="S998" s="47"/>
      <c r="T998" s="71" t="s">
        <v>626</v>
      </c>
    </row>
    <row r="999" spans="1:20" s="55" customFormat="1" ht="15">
      <c r="A999" s="47" t="s">
        <v>591</v>
      </c>
      <c r="B999" s="47" t="s">
        <v>614</v>
      </c>
      <c r="C999" s="47" t="s">
        <v>607</v>
      </c>
      <c r="D999" s="48" t="s">
        <v>596</v>
      </c>
      <c r="E999" s="47">
        <v>2021</v>
      </c>
      <c r="F999" s="47">
        <v>3</v>
      </c>
      <c r="G999" s="49">
        <v>6</v>
      </c>
      <c r="H999" s="50">
        <v>0.44386574074074076</v>
      </c>
      <c r="I999" s="51">
        <v>126.749</v>
      </c>
      <c r="J999" s="51">
        <v>30.75</v>
      </c>
      <c r="K999" s="57">
        <v>49.902999999999999</v>
      </c>
      <c r="L999" s="52"/>
      <c r="M999" s="52">
        <v>3</v>
      </c>
      <c r="N999" s="53">
        <v>14.77</v>
      </c>
      <c r="O999" s="51">
        <v>34.548499999999997</v>
      </c>
      <c r="P999" s="54">
        <v>0.15574216941176511</v>
      </c>
      <c r="Q999" s="54">
        <v>0.71966107294117698</v>
      </c>
      <c r="R999" s="47" t="s">
        <v>608</v>
      </c>
      <c r="S999" s="47"/>
      <c r="T999" s="71" t="s">
        <v>626</v>
      </c>
    </row>
    <row r="1000" spans="1:20" s="55" customFormat="1" ht="15">
      <c r="A1000" s="47" t="s">
        <v>591</v>
      </c>
      <c r="B1000" s="47" t="s">
        <v>614</v>
      </c>
      <c r="C1000" s="47" t="s">
        <v>607</v>
      </c>
      <c r="D1000" s="48" t="s">
        <v>596</v>
      </c>
      <c r="E1000" s="47">
        <v>2021</v>
      </c>
      <c r="F1000" s="47">
        <v>3</v>
      </c>
      <c r="G1000" s="49">
        <v>6</v>
      </c>
      <c r="H1000" s="50">
        <v>0.44386574074074076</v>
      </c>
      <c r="I1000" s="51">
        <v>126.749</v>
      </c>
      <c r="J1000" s="51">
        <v>30.75</v>
      </c>
      <c r="K1000" s="57">
        <v>76.040000000000006</v>
      </c>
      <c r="L1000" s="52"/>
      <c r="M1000" s="52">
        <v>2</v>
      </c>
      <c r="N1000" s="53">
        <v>14.75</v>
      </c>
      <c r="O1000" s="51">
        <v>34.6342</v>
      </c>
      <c r="P1000" s="54">
        <v>0.15139301176470621</v>
      </c>
      <c r="Q1000" s="54">
        <v>0.85650766117646882</v>
      </c>
      <c r="R1000" s="47" t="s">
        <v>608</v>
      </c>
      <c r="S1000" s="47"/>
      <c r="T1000" s="71" t="s">
        <v>626</v>
      </c>
    </row>
    <row r="1001" spans="1:20" s="55" customFormat="1" ht="15">
      <c r="A1001" s="47" t="s">
        <v>591</v>
      </c>
      <c r="B1001" s="47" t="s">
        <v>614</v>
      </c>
      <c r="C1001" s="47" t="s">
        <v>607</v>
      </c>
      <c r="D1001" s="48" t="s">
        <v>596</v>
      </c>
      <c r="E1001" s="47">
        <v>2021</v>
      </c>
      <c r="F1001" s="47">
        <v>3</v>
      </c>
      <c r="G1001" s="49">
        <v>6</v>
      </c>
      <c r="H1001" s="50">
        <v>0.44386574074074076</v>
      </c>
      <c r="I1001" s="51">
        <v>126.749</v>
      </c>
      <c r="J1001" s="51">
        <v>30.75</v>
      </c>
      <c r="K1001" s="57">
        <v>90.007999999999996</v>
      </c>
      <c r="L1001" s="52"/>
      <c r="M1001" s="52">
        <v>1</v>
      </c>
      <c r="N1001" s="53">
        <v>14.72</v>
      </c>
      <c r="O1001" s="51">
        <v>34.630099999999999</v>
      </c>
      <c r="P1001" s="54">
        <v>0.18090092941176472</v>
      </c>
      <c r="Q1001" s="54">
        <v>1.2630041047058835</v>
      </c>
      <c r="R1001" s="47" t="s">
        <v>608</v>
      </c>
      <c r="S1001" s="47"/>
      <c r="T1001" s="71" t="s">
        <v>626</v>
      </c>
    </row>
    <row r="1002" spans="1:20" s="55" customFormat="1">
      <c r="A1002" s="47"/>
      <c r="B1002" s="47"/>
      <c r="C1002" s="47"/>
      <c r="D1002" s="48"/>
      <c r="E1002" s="47"/>
      <c r="F1002" s="47"/>
      <c r="G1002" s="49"/>
      <c r="H1002" s="50"/>
      <c r="I1002" s="51"/>
      <c r="J1002" s="51"/>
      <c r="K1002" s="52"/>
      <c r="L1002" s="52"/>
      <c r="M1002" s="52"/>
      <c r="N1002" s="53"/>
      <c r="O1002" s="51"/>
      <c r="P1002" s="54"/>
      <c r="Q1002" s="54"/>
      <c r="R1002" s="47"/>
      <c r="S1002" s="47"/>
      <c r="T1002" s="71"/>
    </row>
    <row r="1003" spans="1:20" s="55" customFormat="1" ht="15">
      <c r="A1003" s="47" t="s">
        <v>591</v>
      </c>
      <c r="B1003" s="47" t="s">
        <v>615</v>
      </c>
      <c r="C1003" s="47" t="s">
        <v>607</v>
      </c>
      <c r="D1003" s="48" t="s">
        <v>596</v>
      </c>
      <c r="E1003" s="47">
        <v>2021</v>
      </c>
      <c r="F1003" s="47">
        <v>3</v>
      </c>
      <c r="G1003" s="49">
        <v>6</v>
      </c>
      <c r="H1003" s="50">
        <v>0.8431481481481482</v>
      </c>
      <c r="I1003" s="51">
        <v>126.749</v>
      </c>
      <c r="J1003" s="51">
        <v>31.75</v>
      </c>
      <c r="K1003" s="57">
        <v>0</v>
      </c>
      <c r="L1003" s="52"/>
      <c r="M1003" s="52">
        <v>0</v>
      </c>
      <c r="N1003" s="53">
        <v>17.7</v>
      </c>
      <c r="O1003" s="56">
        <v>34.723419059999998</v>
      </c>
      <c r="P1003" s="54">
        <v>0.17447778235294109</v>
      </c>
      <c r="Q1003" s="54">
        <v>1.6760965011764686</v>
      </c>
      <c r="R1003" s="47" t="s">
        <v>608</v>
      </c>
      <c r="S1003" s="47"/>
      <c r="T1003" s="71" t="s">
        <v>626</v>
      </c>
    </row>
    <row r="1004" spans="1:20" s="55" customFormat="1" ht="15">
      <c r="A1004" s="47" t="s">
        <v>591</v>
      </c>
      <c r="B1004" s="47" t="s">
        <v>615</v>
      </c>
      <c r="C1004" s="47" t="s">
        <v>607</v>
      </c>
      <c r="D1004" s="48" t="s">
        <v>596</v>
      </c>
      <c r="E1004" s="47">
        <v>2021</v>
      </c>
      <c r="F1004" s="47">
        <v>3</v>
      </c>
      <c r="G1004" s="49">
        <v>6</v>
      </c>
      <c r="H1004" s="50">
        <v>0.8431481481481482</v>
      </c>
      <c r="I1004" s="51">
        <v>126.749</v>
      </c>
      <c r="J1004" s="51">
        <v>31.75</v>
      </c>
      <c r="K1004" s="57">
        <v>9.657</v>
      </c>
      <c r="L1004" s="52"/>
      <c r="M1004" s="52">
        <v>6</v>
      </c>
      <c r="N1004" s="53">
        <v>17.66</v>
      </c>
      <c r="O1004" s="51">
        <v>34.7179</v>
      </c>
      <c r="P1004" s="54">
        <v>0.15103029411764757</v>
      </c>
      <c r="Q1004" s="54">
        <v>1.3776100470588233</v>
      </c>
      <c r="R1004" s="47" t="s">
        <v>608</v>
      </c>
      <c r="S1004" s="47"/>
      <c r="T1004" s="71" t="s">
        <v>626</v>
      </c>
    </row>
    <row r="1005" spans="1:20" s="55" customFormat="1" ht="15">
      <c r="A1005" s="47" t="s">
        <v>591</v>
      </c>
      <c r="B1005" s="47" t="s">
        <v>615</v>
      </c>
      <c r="C1005" s="47" t="s">
        <v>607</v>
      </c>
      <c r="D1005" s="48" t="s">
        <v>596</v>
      </c>
      <c r="E1005" s="47">
        <v>2021</v>
      </c>
      <c r="F1005" s="47">
        <v>3</v>
      </c>
      <c r="G1005" s="49">
        <v>6</v>
      </c>
      <c r="H1005" s="50">
        <v>0.8431481481481482</v>
      </c>
      <c r="I1005" s="51">
        <v>126.749</v>
      </c>
      <c r="J1005" s="51">
        <v>31.75</v>
      </c>
      <c r="K1005" s="57">
        <v>20.186</v>
      </c>
      <c r="L1005" s="52"/>
      <c r="M1005" s="52">
        <v>5</v>
      </c>
      <c r="N1005" s="53">
        <v>17.66</v>
      </c>
      <c r="O1005" s="51">
        <v>34.717700000000001</v>
      </c>
      <c r="P1005" s="54">
        <v>0.1737934470588236</v>
      </c>
      <c r="Q1005" s="54">
        <v>1.5283215435294117</v>
      </c>
      <c r="R1005" s="47" t="s">
        <v>608</v>
      </c>
      <c r="S1005" s="47"/>
      <c r="T1005" s="71" t="s">
        <v>626</v>
      </c>
    </row>
    <row r="1006" spans="1:20" s="55" customFormat="1" ht="15">
      <c r="A1006" s="47" t="s">
        <v>591</v>
      </c>
      <c r="B1006" s="47" t="s">
        <v>615</v>
      </c>
      <c r="C1006" s="47" t="s">
        <v>607</v>
      </c>
      <c r="D1006" s="48" t="s">
        <v>596</v>
      </c>
      <c r="E1006" s="47">
        <v>2021</v>
      </c>
      <c r="F1006" s="47">
        <v>3</v>
      </c>
      <c r="G1006" s="49">
        <v>6</v>
      </c>
      <c r="H1006" s="50">
        <v>0.8431481481481482</v>
      </c>
      <c r="I1006" s="51">
        <v>126.749</v>
      </c>
      <c r="J1006" s="51">
        <v>31.75</v>
      </c>
      <c r="K1006" s="57">
        <v>29.64</v>
      </c>
      <c r="L1006" s="52"/>
      <c r="M1006" s="52">
        <v>4</v>
      </c>
      <c r="N1006" s="53">
        <v>17.63</v>
      </c>
      <c r="O1006" s="51">
        <v>34.715599999999995</v>
      </c>
      <c r="P1006" s="54">
        <v>0.16553340000000061</v>
      </c>
      <c r="Q1006" s="54">
        <v>1.2796637600000018</v>
      </c>
      <c r="R1006" s="47" t="s">
        <v>608</v>
      </c>
      <c r="S1006" s="47"/>
      <c r="T1006" s="71" t="s">
        <v>626</v>
      </c>
    </row>
    <row r="1007" spans="1:20" s="55" customFormat="1" ht="15">
      <c r="A1007" s="47" t="s">
        <v>591</v>
      </c>
      <c r="B1007" s="47" t="s">
        <v>615</v>
      </c>
      <c r="C1007" s="47" t="s">
        <v>607</v>
      </c>
      <c r="D1007" s="48" t="s">
        <v>596</v>
      </c>
      <c r="E1007" s="47">
        <v>2021</v>
      </c>
      <c r="F1007" s="47">
        <v>3</v>
      </c>
      <c r="G1007" s="49">
        <v>6</v>
      </c>
      <c r="H1007" s="50">
        <v>0.8431481481481482</v>
      </c>
      <c r="I1007" s="51">
        <v>126.749</v>
      </c>
      <c r="J1007" s="51">
        <v>31.75</v>
      </c>
      <c r="K1007" s="57">
        <v>50.279000000000003</v>
      </c>
      <c r="L1007" s="52"/>
      <c r="M1007" s="52">
        <v>3</v>
      </c>
      <c r="N1007" s="53">
        <v>17.420000000000002</v>
      </c>
      <c r="O1007" s="51">
        <v>34.708399999999997</v>
      </c>
      <c r="P1007" s="54">
        <v>0.1495175529411763</v>
      </c>
      <c r="Q1007" s="54">
        <v>1.2481826764705861</v>
      </c>
      <c r="R1007" s="47" t="s">
        <v>608</v>
      </c>
      <c r="S1007" s="47"/>
      <c r="T1007" s="71" t="s">
        <v>626</v>
      </c>
    </row>
    <row r="1008" spans="1:20" s="55" customFormat="1" ht="15">
      <c r="A1008" s="47" t="s">
        <v>591</v>
      </c>
      <c r="B1008" s="47" t="s">
        <v>615</v>
      </c>
      <c r="C1008" s="47" t="s">
        <v>607</v>
      </c>
      <c r="D1008" s="48" t="s">
        <v>596</v>
      </c>
      <c r="E1008" s="47">
        <v>2021</v>
      </c>
      <c r="F1008" s="47">
        <v>3</v>
      </c>
      <c r="G1008" s="49">
        <v>6</v>
      </c>
      <c r="H1008" s="50">
        <v>0.8431481481481482</v>
      </c>
      <c r="I1008" s="51">
        <v>126.749</v>
      </c>
      <c r="J1008" s="51">
        <v>31.75</v>
      </c>
      <c r="K1008" s="57">
        <v>74.494</v>
      </c>
      <c r="L1008" s="52"/>
      <c r="M1008" s="52">
        <v>2</v>
      </c>
      <c r="N1008" s="53">
        <v>16.5</v>
      </c>
      <c r="O1008" s="51">
        <v>34.6982</v>
      </c>
      <c r="P1008" s="54">
        <v>0.16677000588235291</v>
      </c>
      <c r="Q1008" s="54">
        <v>1.2640677329411769</v>
      </c>
      <c r="R1008" s="47" t="s">
        <v>608</v>
      </c>
      <c r="S1008" s="47"/>
      <c r="T1008" s="71" t="s">
        <v>626</v>
      </c>
    </row>
    <row r="1009" spans="1:20" s="55" customFormat="1" ht="15">
      <c r="A1009" s="47" t="s">
        <v>591</v>
      </c>
      <c r="B1009" s="47" t="s">
        <v>615</v>
      </c>
      <c r="C1009" s="47" t="s">
        <v>607</v>
      </c>
      <c r="D1009" s="48" t="s">
        <v>596</v>
      </c>
      <c r="E1009" s="47">
        <v>2021</v>
      </c>
      <c r="F1009" s="47">
        <v>3</v>
      </c>
      <c r="G1009" s="49">
        <v>6</v>
      </c>
      <c r="H1009" s="50">
        <v>0.8431481481481482</v>
      </c>
      <c r="I1009" s="51">
        <v>126.749</v>
      </c>
      <c r="J1009" s="51">
        <v>31.75</v>
      </c>
      <c r="K1009" s="57">
        <v>98.841999999999999</v>
      </c>
      <c r="L1009" s="52"/>
      <c r="M1009" s="52">
        <v>1</v>
      </c>
      <c r="N1009" s="53">
        <v>15.67</v>
      </c>
      <c r="O1009" s="51">
        <v>34.694899999999997</v>
      </c>
      <c r="P1009" s="54">
        <v>0.15422385882352918</v>
      </c>
      <c r="Q1009" s="54">
        <v>1.1791277694117657</v>
      </c>
      <c r="R1009" s="47" t="s">
        <v>608</v>
      </c>
      <c r="S1009" s="47"/>
      <c r="T1009" s="71" t="s">
        <v>626</v>
      </c>
    </row>
    <row r="1010" spans="1:20" s="55" customFormat="1">
      <c r="A1010" s="47"/>
      <c r="B1010" s="47"/>
      <c r="C1010" s="47"/>
      <c r="D1010" s="48"/>
      <c r="E1010" s="47"/>
      <c r="F1010" s="47"/>
      <c r="G1010" s="49"/>
      <c r="H1010" s="50"/>
      <c r="I1010" s="51"/>
      <c r="J1010" s="51"/>
      <c r="K1010" s="52"/>
      <c r="L1010" s="52"/>
      <c r="M1010" s="52"/>
      <c r="N1010" s="53"/>
      <c r="O1010" s="51"/>
      <c r="P1010" s="54"/>
      <c r="Q1010" s="54"/>
      <c r="R1010" s="47"/>
      <c r="S1010" s="47"/>
      <c r="T1010" s="71"/>
    </row>
    <row r="1011" spans="1:20" s="55" customFormat="1">
      <c r="A1011" s="47" t="s">
        <v>591</v>
      </c>
      <c r="B1011" s="47" t="s">
        <v>616</v>
      </c>
      <c r="C1011" s="47" t="s">
        <v>607</v>
      </c>
      <c r="D1011" s="48" t="s">
        <v>596</v>
      </c>
      <c r="E1011" s="47">
        <v>2021</v>
      </c>
      <c r="F1011" s="47">
        <v>3</v>
      </c>
      <c r="G1011" s="49">
        <v>6</v>
      </c>
      <c r="H1011" s="50">
        <v>0.98964120370370379</v>
      </c>
      <c r="I1011" s="51">
        <v>127.248</v>
      </c>
      <c r="J1011" s="51">
        <v>31.75</v>
      </c>
      <c r="K1011" s="52">
        <v>0</v>
      </c>
      <c r="L1011" s="52"/>
      <c r="M1011" s="52">
        <v>0</v>
      </c>
      <c r="N1011" s="53">
        <v>16.7</v>
      </c>
      <c r="O1011" s="56">
        <v>34.689907769999998</v>
      </c>
      <c r="P1011" s="54">
        <v>0.17800751176470575</v>
      </c>
      <c r="Q1011" s="54">
        <v>1.4041313858823532</v>
      </c>
      <c r="R1011" s="47" t="s">
        <v>608</v>
      </c>
      <c r="S1011" s="47"/>
      <c r="T1011" s="71" t="s">
        <v>626</v>
      </c>
    </row>
    <row r="1012" spans="1:20" s="55" customFormat="1">
      <c r="A1012" s="47" t="s">
        <v>591</v>
      </c>
      <c r="B1012" s="47" t="s">
        <v>616</v>
      </c>
      <c r="C1012" s="47" t="s">
        <v>607</v>
      </c>
      <c r="D1012" s="48" t="s">
        <v>596</v>
      </c>
      <c r="E1012" s="47">
        <v>2021</v>
      </c>
      <c r="F1012" s="47">
        <v>3</v>
      </c>
      <c r="G1012" s="49">
        <v>6</v>
      </c>
      <c r="H1012" s="50">
        <v>0.98964120370370379</v>
      </c>
      <c r="I1012" s="51">
        <v>127.248</v>
      </c>
      <c r="J1012" s="51">
        <v>31.75</v>
      </c>
      <c r="K1012" s="52">
        <v>9.9410000000000007</v>
      </c>
      <c r="L1012" s="52"/>
      <c r="M1012" s="52">
        <v>7</v>
      </c>
      <c r="N1012" s="53">
        <v>16.649999999999999</v>
      </c>
      <c r="O1012" s="51">
        <v>34.685899999999997</v>
      </c>
      <c r="P1012" s="54">
        <v>0.10219036470588216</v>
      </c>
      <c r="Q1012" s="54">
        <v>1.0910084823529402</v>
      </c>
      <c r="R1012" s="47" t="s">
        <v>608</v>
      </c>
      <c r="S1012" s="47"/>
      <c r="T1012" s="71" t="s">
        <v>626</v>
      </c>
    </row>
    <row r="1013" spans="1:20" s="55" customFormat="1">
      <c r="A1013" s="47" t="s">
        <v>591</v>
      </c>
      <c r="B1013" s="47" t="s">
        <v>616</v>
      </c>
      <c r="C1013" s="47" t="s">
        <v>607</v>
      </c>
      <c r="D1013" s="48" t="s">
        <v>596</v>
      </c>
      <c r="E1013" s="47">
        <v>2021</v>
      </c>
      <c r="F1013" s="47">
        <v>3</v>
      </c>
      <c r="G1013" s="49">
        <v>6</v>
      </c>
      <c r="H1013" s="50">
        <v>0.98964120370370379</v>
      </c>
      <c r="I1013" s="51">
        <v>127.248</v>
      </c>
      <c r="J1013" s="51">
        <v>31.75</v>
      </c>
      <c r="K1013" s="52">
        <v>20.324999999999999</v>
      </c>
      <c r="L1013" s="52"/>
      <c r="M1013" s="52">
        <v>6</v>
      </c>
      <c r="N1013" s="53">
        <v>16.62</v>
      </c>
      <c r="O1013" s="51">
        <v>34.686899999999994</v>
      </c>
      <c r="P1013" s="54">
        <v>0.1538126517647056</v>
      </c>
      <c r="Q1013" s="54">
        <v>1.0986251882352942</v>
      </c>
      <c r="R1013" s="47" t="s">
        <v>608</v>
      </c>
      <c r="S1013" s="47"/>
      <c r="T1013" s="71" t="s">
        <v>626</v>
      </c>
    </row>
    <row r="1014" spans="1:20" s="55" customFormat="1">
      <c r="A1014" s="47" t="s">
        <v>591</v>
      </c>
      <c r="B1014" s="47" t="s">
        <v>616</v>
      </c>
      <c r="C1014" s="47" t="s">
        <v>607</v>
      </c>
      <c r="D1014" s="48" t="s">
        <v>596</v>
      </c>
      <c r="E1014" s="47">
        <v>2021</v>
      </c>
      <c r="F1014" s="47">
        <v>3</v>
      </c>
      <c r="G1014" s="49">
        <v>6</v>
      </c>
      <c r="H1014" s="50">
        <v>0.98964120370370379</v>
      </c>
      <c r="I1014" s="51">
        <v>127.248</v>
      </c>
      <c r="J1014" s="51">
        <v>31.75</v>
      </c>
      <c r="K1014" s="52">
        <v>30.012</v>
      </c>
      <c r="L1014" s="52"/>
      <c r="M1014" s="52">
        <v>5</v>
      </c>
      <c r="N1014" s="53">
        <v>16.510000000000002</v>
      </c>
      <c r="O1014" s="51">
        <v>34.693300000000001</v>
      </c>
      <c r="P1014" s="54">
        <v>0.23643157411764681</v>
      </c>
      <c r="Q1014" s="54">
        <v>1.3535113058823534</v>
      </c>
      <c r="R1014" s="47" t="s">
        <v>608</v>
      </c>
      <c r="S1014" s="47"/>
      <c r="T1014" s="71" t="s">
        <v>626</v>
      </c>
    </row>
    <row r="1015" spans="1:20" s="55" customFormat="1">
      <c r="A1015" s="47" t="s">
        <v>591</v>
      </c>
      <c r="B1015" s="47" t="s">
        <v>616</v>
      </c>
      <c r="C1015" s="47" t="s">
        <v>607</v>
      </c>
      <c r="D1015" s="48" t="s">
        <v>596</v>
      </c>
      <c r="E1015" s="47">
        <v>2021</v>
      </c>
      <c r="F1015" s="47">
        <v>3</v>
      </c>
      <c r="G1015" s="49">
        <v>6</v>
      </c>
      <c r="H1015" s="50">
        <v>0.98964120370370379</v>
      </c>
      <c r="I1015" s="51">
        <v>127.248</v>
      </c>
      <c r="J1015" s="51">
        <v>31.75</v>
      </c>
      <c r="K1015" s="52">
        <v>49.832000000000001</v>
      </c>
      <c r="L1015" s="52"/>
      <c r="M1015" s="52">
        <v>4</v>
      </c>
      <c r="N1015" s="53">
        <v>16.43</v>
      </c>
      <c r="O1015" s="51">
        <v>34.696999999999996</v>
      </c>
      <c r="P1015" s="54">
        <v>0.17253269647058822</v>
      </c>
      <c r="Q1015" s="54">
        <v>1.1886564235294106</v>
      </c>
      <c r="R1015" s="47" t="s">
        <v>608</v>
      </c>
      <c r="S1015" s="47"/>
      <c r="T1015" s="71" t="s">
        <v>626</v>
      </c>
    </row>
    <row r="1016" spans="1:20" s="55" customFormat="1">
      <c r="A1016" s="47" t="s">
        <v>591</v>
      </c>
      <c r="B1016" s="47" t="s">
        <v>616</v>
      </c>
      <c r="C1016" s="47" t="s">
        <v>607</v>
      </c>
      <c r="D1016" s="48" t="s">
        <v>596</v>
      </c>
      <c r="E1016" s="47">
        <v>2021</v>
      </c>
      <c r="F1016" s="47">
        <v>3</v>
      </c>
      <c r="G1016" s="49">
        <v>6</v>
      </c>
      <c r="H1016" s="50">
        <v>0.98964120370370379</v>
      </c>
      <c r="I1016" s="51">
        <v>127.248</v>
      </c>
      <c r="J1016" s="51">
        <v>31.75</v>
      </c>
      <c r="K1016" s="52">
        <v>75.111000000000004</v>
      </c>
      <c r="L1016" s="52"/>
      <c r="M1016" s="52">
        <v>3</v>
      </c>
      <c r="N1016" s="53">
        <v>15.77</v>
      </c>
      <c r="O1016" s="51">
        <v>34.674099999999996</v>
      </c>
      <c r="P1016" s="54">
        <v>0.1547408188235293</v>
      </c>
      <c r="Q1016" s="54">
        <v>1.1114851411764697</v>
      </c>
      <c r="R1016" s="47" t="s">
        <v>608</v>
      </c>
      <c r="S1016" s="47"/>
      <c r="T1016" s="71" t="s">
        <v>626</v>
      </c>
    </row>
    <row r="1017" spans="1:20" s="55" customFormat="1">
      <c r="A1017" s="47" t="s">
        <v>591</v>
      </c>
      <c r="B1017" s="47" t="s">
        <v>616</v>
      </c>
      <c r="C1017" s="47" t="s">
        <v>607</v>
      </c>
      <c r="D1017" s="48" t="s">
        <v>596</v>
      </c>
      <c r="E1017" s="47">
        <v>2021</v>
      </c>
      <c r="F1017" s="47">
        <v>3</v>
      </c>
      <c r="G1017" s="49">
        <v>6</v>
      </c>
      <c r="H1017" s="50">
        <v>0.98964120370370379</v>
      </c>
      <c r="I1017" s="51">
        <v>127.248</v>
      </c>
      <c r="J1017" s="51">
        <v>31.75</v>
      </c>
      <c r="K1017" s="52">
        <v>99.557000000000002</v>
      </c>
      <c r="L1017" s="52"/>
      <c r="M1017" s="52">
        <v>2</v>
      </c>
      <c r="N1017" s="53">
        <v>15.15</v>
      </c>
      <c r="O1017" s="51">
        <v>34.671099999999996</v>
      </c>
      <c r="P1017" s="54">
        <v>0.18141658117647008</v>
      </c>
      <c r="Q1017" s="54">
        <v>1.0459132588235285</v>
      </c>
      <c r="R1017" s="47" t="s">
        <v>608</v>
      </c>
      <c r="S1017" s="47"/>
      <c r="T1017" s="71" t="s">
        <v>626</v>
      </c>
    </row>
    <row r="1018" spans="1:20" s="55" customFormat="1">
      <c r="A1018" s="47" t="s">
        <v>591</v>
      </c>
      <c r="B1018" s="47" t="s">
        <v>616</v>
      </c>
      <c r="C1018" s="47" t="s">
        <v>607</v>
      </c>
      <c r="D1018" s="48" t="s">
        <v>596</v>
      </c>
      <c r="E1018" s="47">
        <v>2021</v>
      </c>
      <c r="F1018" s="47">
        <v>3</v>
      </c>
      <c r="G1018" s="49">
        <v>6</v>
      </c>
      <c r="H1018" s="50">
        <v>0.98964120370370379</v>
      </c>
      <c r="I1018" s="51">
        <v>127.248</v>
      </c>
      <c r="J1018" s="51">
        <v>31.75</v>
      </c>
      <c r="K1018" s="52">
        <v>122.036</v>
      </c>
      <c r="L1018" s="52"/>
      <c r="M1018" s="52">
        <v>1</v>
      </c>
      <c r="N1018" s="53">
        <v>15.06</v>
      </c>
      <c r="O1018" s="51">
        <v>34.681999999999995</v>
      </c>
      <c r="P1018" s="54">
        <v>0.21369349019607808</v>
      </c>
      <c r="Q1018" s="54">
        <v>1.1414878431372557</v>
      </c>
      <c r="R1018" s="47" t="s">
        <v>608</v>
      </c>
      <c r="S1018" s="47"/>
      <c r="T1018" s="71" t="s">
        <v>626</v>
      </c>
    </row>
    <row r="1019" spans="1:20" s="55" customFormat="1">
      <c r="A1019" s="47"/>
      <c r="B1019" s="47"/>
      <c r="C1019" s="47"/>
      <c r="D1019" s="48"/>
      <c r="E1019" s="47"/>
      <c r="F1019" s="47"/>
      <c r="G1019" s="49"/>
      <c r="H1019" s="50"/>
      <c r="I1019" s="51"/>
      <c r="J1019" s="51"/>
      <c r="K1019" s="52"/>
      <c r="L1019" s="52"/>
      <c r="M1019" s="52"/>
      <c r="N1019" s="53"/>
      <c r="O1019" s="51"/>
      <c r="P1019" s="54"/>
      <c r="Q1019" s="54"/>
      <c r="R1019" s="47"/>
      <c r="S1019" s="47"/>
      <c r="T1019" s="71"/>
    </row>
    <row r="1020" spans="1:20" s="55" customFormat="1">
      <c r="A1020" s="47" t="s">
        <v>591</v>
      </c>
      <c r="B1020" s="47" t="s">
        <v>617</v>
      </c>
      <c r="C1020" s="47" t="s">
        <v>607</v>
      </c>
      <c r="D1020" s="48" t="s">
        <v>597</v>
      </c>
      <c r="E1020" s="47">
        <v>2021</v>
      </c>
      <c r="F1020" s="47">
        <v>3</v>
      </c>
      <c r="G1020" s="49">
        <v>7</v>
      </c>
      <c r="H1020" s="50">
        <v>0.7071412037037037</v>
      </c>
      <c r="I1020" s="51">
        <v>127.749</v>
      </c>
      <c r="J1020" s="51">
        <v>31.751999999999999</v>
      </c>
      <c r="K1020" s="52">
        <v>0</v>
      </c>
      <c r="L1020" s="52"/>
      <c r="M1020" s="52">
        <v>0</v>
      </c>
      <c r="N1020" s="53">
        <v>17.5</v>
      </c>
      <c r="O1020" s="56">
        <v>34.741924089999998</v>
      </c>
      <c r="P1020" s="54">
        <v>0.19193982588235281</v>
      </c>
      <c r="Q1020" s="54">
        <v>1.2572466941176472</v>
      </c>
      <c r="R1020" s="47" t="s">
        <v>608</v>
      </c>
      <c r="S1020" s="47"/>
      <c r="T1020" s="71" t="s">
        <v>626</v>
      </c>
    </row>
    <row r="1021" spans="1:20" s="55" customFormat="1">
      <c r="A1021" s="47" t="s">
        <v>591</v>
      </c>
      <c r="B1021" s="47" t="s">
        <v>617</v>
      </c>
      <c r="C1021" s="47" t="s">
        <v>607</v>
      </c>
      <c r="D1021" s="48" t="s">
        <v>597</v>
      </c>
      <c r="E1021" s="47">
        <v>2021</v>
      </c>
      <c r="F1021" s="47">
        <v>3</v>
      </c>
      <c r="G1021" s="49">
        <v>7</v>
      </c>
      <c r="H1021" s="50">
        <v>0.7071412037037037</v>
      </c>
      <c r="I1021" s="51">
        <v>127.749</v>
      </c>
      <c r="J1021" s="51">
        <v>31.751999999999999</v>
      </c>
      <c r="K1021" s="52">
        <v>9.6959999999999997</v>
      </c>
      <c r="L1021" s="52"/>
      <c r="M1021" s="52">
        <v>8</v>
      </c>
      <c r="N1021" s="53">
        <v>17.47</v>
      </c>
      <c r="O1021" s="51">
        <v>34.672899999999998</v>
      </c>
      <c r="P1021" s="54">
        <v>0.19003527529411679</v>
      </c>
      <c r="Q1021" s="54">
        <v>1.1793699647058826</v>
      </c>
      <c r="R1021" s="47" t="s">
        <v>608</v>
      </c>
      <c r="S1021" s="47"/>
      <c r="T1021" s="71" t="s">
        <v>626</v>
      </c>
    </row>
    <row r="1022" spans="1:20" s="55" customFormat="1">
      <c r="A1022" s="47" t="s">
        <v>591</v>
      </c>
      <c r="B1022" s="47" t="s">
        <v>617</v>
      </c>
      <c r="C1022" s="47" t="s">
        <v>607</v>
      </c>
      <c r="D1022" s="48" t="s">
        <v>597</v>
      </c>
      <c r="E1022" s="47">
        <v>2021</v>
      </c>
      <c r="F1022" s="47">
        <v>3</v>
      </c>
      <c r="G1022" s="49">
        <v>7</v>
      </c>
      <c r="H1022" s="50">
        <v>0.7071412037037037</v>
      </c>
      <c r="I1022" s="51">
        <v>127.749</v>
      </c>
      <c r="J1022" s="51">
        <v>31.751999999999999</v>
      </c>
      <c r="K1022" s="52">
        <v>19.538</v>
      </c>
      <c r="L1022" s="52"/>
      <c r="M1022" s="52">
        <v>7</v>
      </c>
      <c r="N1022" s="53">
        <v>17.39</v>
      </c>
      <c r="O1022" s="51">
        <v>34.668699999999994</v>
      </c>
      <c r="P1022" s="54">
        <v>0.14945173986928051</v>
      </c>
      <c r="Q1022" s="54">
        <v>1.361666993464052</v>
      </c>
      <c r="R1022" s="47" t="s">
        <v>608</v>
      </c>
      <c r="S1022" s="47"/>
      <c r="T1022" s="71" t="s">
        <v>626</v>
      </c>
    </row>
    <row r="1023" spans="1:20" s="55" customFormat="1">
      <c r="A1023" s="47" t="s">
        <v>591</v>
      </c>
      <c r="B1023" s="47" t="s">
        <v>617</v>
      </c>
      <c r="C1023" s="47" t="s">
        <v>607</v>
      </c>
      <c r="D1023" s="48" t="s">
        <v>597</v>
      </c>
      <c r="E1023" s="47">
        <v>2021</v>
      </c>
      <c r="F1023" s="47">
        <v>3</v>
      </c>
      <c r="G1023" s="49">
        <v>7</v>
      </c>
      <c r="H1023" s="50">
        <v>0.7071412037037037</v>
      </c>
      <c r="I1023" s="51">
        <v>127.749</v>
      </c>
      <c r="J1023" s="51">
        <v>31.751999999999999</v>
      </c>
      <c r="K1023" s="52">
        <v>29.29</v>
      </c>
      <c r="L1023" s="52"/>
      <c r="M1023" s="52">
        <v>6</v>
      </c>
      <c r="N1023" s="53">
        <v>16.93</v>
      </c>
      <c r="O1023" s="51">
        <v>34.665999999999997</v>
      </c>
      <c r="P1023" s="54">
        <v>0.17412383999999959</v>
      </c>
      <c r="Q1023" s="54">
        <v>1.2395180000000021</v>
      </c>
      <c r="R1023" s="47" t="s">
        <v>608</v>
      </c>
      <c r="S1023" s="47"/>
      <c r="T1023" s="71" t="s">
        <v>626</v>
      </c>
    </row>
    <row r="1024" spans="1:20" s="55" customFormat="1">
      <c r="A1024" s="47" t="s">
        <v>591</v>
      </c>
      <c r="B1024" s="47" t="s">
        <v>617</v>
      </c>
      <c r="C1024" s="47" t="s">
        <v>607</v>
      </c>
      <c r="D1024" s="48" t="s">
        <v>597</v>
      </c>
      <c r="E1024" s="47">
        <v>2021</v>
      </c>
      <c r="F1024" s="47">
        <v>3</v>
      </c>
      <c r="G1024" s="49">
        <v>7</v>
      </c>
      <c r="H1024" s="50">
        <v>0.7071412037037037</v>
      </c>
      <c r="I1024" s="51">
        <v>127.749</v>
      </c>
      <c r="J1024" s="51">
        <v>31.751999999999999</v>
      </c>
      <c r="K1024" s="52">
        <v>49.061</v>
      </c>
      <c r="L1024" s="52"/>
      <c r="M1024" s="52">
        <v>5</v>
      </c>
      <c r="N1024" s="53">
        <v>16.329999999999998</v>
      </c>
      <c r="O1024" s="51">
        <v>34.666799999999995</v>
      </c>
      <c r="P1024" s="54">
        <v>0.2018242023529413</v>
      </c>
      <c r="Q1024" s="54">
        <v>1.1900673176470562</v>
      </c>
      <c r="R1024" s="47" t="s">
        <v>608</v>
      </c>
      <c r="S1024" s="47"/>
      <c r="T1024" s="71" t="s">
        <v>626</v>
      </c>
    </row>
    <row r="1025" spans="1:20" s="55" customFormat="1">
      <c r="A1025" s="47" t="s">
        <v>591</v>
      </c>
      <c r="B1025" s="47" t="s">
        <v>617</v>
      </c>
      <c r="C1025" s="47" t="s">
        <v>607</v>
      </c>
      <c r="D1025" s="48" t="s">
        <v>597</v>
      </c>
      <c r="E1025" s="47">
        <v>2021</v>
      </c>
      <c r="F1025" s="47">
        <v>3</v>
      </c>
      <c r="G1025" s="49">
        <v>7</v>
      </c>
      <c r="H1025" s="50">
        <v>0.7071412037037037</v>
      </c>
      <c r="I1025" s="51">
        <v>127.749</v>
      </c>
      <c r="J1025" s="51">
        <v>31.751999999999999</v>
      </c>
      <c r="K1025" s="52">
        <v>74.228999999999999</v>
      </c>
      <c r="L1025" s="52"/>
      <c r="M1025" s="52">
        <v>4</v>
      </c>
      <c r="N1025" s="53">
        <v>15.89</v>
      </c>
      <c r="O1025" s="51">
        <v>34.688399999999994</v>
      </c>
      <c r="P1025" s="54">
        <v>0.11394968470588251</v>
      </c>
      <c r="Q1025" s="54">
        <v>1.1333424352941179</v>
      </c>
      <c r="R1025" s="47" t="s">
        <v>608</v>
      </c>
      <c r="S1025" s="47"/>
      <c r="T1025" s="71" t="s">
        <v>626</v>
      </c>
    </row>
    <row r="1026" spans="1:20" s="55" customFormat="1">
      <c r="A1026" s="47" t="s">
        <v>591</v>
      </c>
      <c r="B1026" s="47" t="s">
        <v>617</v>
      </c>
      <c r="C1026" s="47" t="s">
        <v>607</v>
      </c>
      <c r="D1026" s="48" t="s">
        <v>597</v>
      </c>
      <c r="E1026" s="47">
        <v>2021</v>
      </c>
      <c r="F1026" s="47">
        <v>3</v>
      </c>
      <c r="G1026" s="49">
        <v>7</v>
      </c>
      <c r="H1026" s="50">
        <v>0.7071412037037037</v>
      </c>
      <c r="I1026" s="51">
        <v>127.749</v>
      </c>
      <c r="J1026" s="51">
        <v>31.751999999999999</v>
      </c>
      <c r="K1026" s="52">
        <v>98.635999999999996</v>
      </c>
      <c r="L1026" s="52"/>
      <c r="M1026" s="52">
        <v>3</v>
      </c>
      <c r="N1026" s="53">
        <v>15.34</v>
      </c>
      <c r="O1026" s="51">
        <v>34.700899999999997</v>
      </c>
      <c r="P1026" s="54">
        <v>0.14574844705882306</v>
      </c>
      <c r="Q1026" s="54">
        <v>1.0310063529411764</v>
      </c>
      <c r="R1026" s="47" t="s">
        <v>608</v>
      </c>
      <c r="S1026" s="47"/>
      <c r="T1026" s="71" t="s">
        <v>626</v>
      </c>
    </row>
    <row r="1027" spans="1:20" s="55" customFormat="1">
      <c r="A1027" s="47" t="s">
        <v>591</v>
      </c>
      <c r="B1027" s="47" t="s">
        <v>617</v>
      </c>
      <c r="C1027" s="47" t="s">
        <v>607</v>
      </c>
      <c r="D1027" s="48" t="s">
        <v>597</v>
      </c>
      <c r="E1027" s="47">
        <v>2021</v>
      </c>
      <c r="F1027" s="47">
        <v>3</v>
      </c>
      <c r="G1027" s="49">
        <v>7</v>
      </c>
      <c r="H1027" s="50">
        <v>0.7071412037037037</v>
      </c>
      <c r="I1027" s="51">
        <v>127.749</v>
      </c>
      <c r="J1027" s="51">
        <v>31.751999999999999</v>
      </c>
      <c r="K1027" s="52">
        <v>123.916</v>
      </c>
      <c r="L1027" s="52"/>
      <c r="M1027" s="52">
        <v>2</v>
      </c>
      <c r="N1027" s="53">
        <v>15.13</v>
      </c>
      <c r="O1027" s="51">
        <v>34.699199999999998</v>
      </c>
      <c r="P1027" s="54">
        <v>0.15234204941176488</v>
      </c>
      <c r="Q1027" s="54">
        <v>0.9890264705882359</v>
      </c>
      <c r="R1027" s="47" t="s">
        <v>608</v>
      </c>
      <c r="S1027" s="47"/>
      <c r="T1027" s="71" t="s">
        <v>626</v>
      </c>
    </row>
    <row r="1028" spans="1:20" s="55" customFormat="1">
      <c r="A1028" s="47" t="s">
        <v>591</v>
      </c>
      <c r="B1028" s="47" t="s">
        <v>617</v>
      </c>
      <c r="C1028" s="47" t="s">
        <v>607</v>
      </c>
      <c r="D1028" s="48" t="s">
        <v>597</v>
      </c>
      <c r="E1028" s="47">
        <v>2021</v>
      </c>
      <c r="F1028" s="47">
        <v>3</v>
      </c>
      <c r="G1028" s="49">
        <v>7</v>
      </c>
      <c r="H1028" s="50">
        <v>0.7071412037037037</v>
      </c>
      <c r="I1028" s="51">
        <v>127.749</v>
      </c>
      <c r="J1028" s="51">
        <v>31.751999999999999</v>
      </c>
      <c r="K1028" s="52">
        <v>137.93100000000001</v>
      </c>
      <c r="L1028" s="52"/>
      <c r="M1028" s="52">
        <v>1</v>
      </c>
      <c r="N1028" s="53">
        <v>15.13</v>
      </c>
      <c r="O1028" s="51">
        <v>34.699599999999997</v>
      </c>
      <c r="P1028" s="54">
        <v>0.13045177176470579</v>
      </c>
      <c r="Q1028" s="54">
        <v>1.045739788235295</v>
      </c>
      <c r="R1028" s="47" t="s">
        <v>608</v>
      </c>
      <c r="S1028" s="47"/>
      <c r="T1028" s="71" t="s">
        <v>626</v>
      </c>
    </row>
    <row r="1029" spans="1:20" s="55" customFormat="1">
      <c r="A1029" s="47"/>
      <c r="B1029" s="47"/>
      <c r="C1029" s="47"/>
      <c r="D1029" s="48"/>
      <c r="E1029" s="47"/>
      <c r="F1029" s="47"/>
      <c r="G1029" s="49"/>
      <c r="H1029" s="50"/>
      <c r="I1029" s="51"/>
      <c r="J1029" s="51"/>
      <c r="K1029" s="52"/>
      <c r="L1029" s="52"/>
      <c r="M1029" s="52"/>
      <c r="N1029" s="53"/>
      <c r="O1029" s="51"/>
      <c r="P1029" s="54"/>
      <c r="Q1029" s="54"/>
      <c r="R1029" s="47"/>
      <c r="S1029" s="47"/>
      <c r="T1029" s="71"/>
    </row>
    <row r="1030" spans="1:20" s="55" customFormat="1">
      <c r="A1030" s="47" t="s">
        <v>591</v>
      </c>
      <c r="B1030" s="47" t="s">
        <v>618</v>
      </c>
      <c r="C1030" s="47" t="s">
        <v>607</v>
      </c>
      <c r="D1030" s="48" t="s">
        <v>597</v>
      </c>
      <c r="E1030" s="47">
        <v>2021</v>
      </c>
      <c r="F1030" s="47">
        <v>3</v>
      </c>
      <c r="G1030" s="49">
        <v>7</v>
      </c>
      <c r="H1030" s="50">
        <v>0.93040509259259263</v>
      </c>
      <c r="I1030" s="51">
        <v>128.249</v>
      </c>
      <c r="J1030" s="51">
        <v>31.751000000000001</v>
      </c>
      <c r="K1030" s="52">
        <v>0</v>
      </c>
      <c r="L1030" s="52"/>
      <c r="M1030" s="52">
        <v>0</v>
      </c>
      <c r="N1030" s="53">
        <v>19.3</v>
      </c>
      <c r="O1030" s="56">
        <v>34.750145920000001</v>
      </c>
      <c r="P1030" s="54">
        <v>0.13791674823529387</v>
      </c>
      <c r="Q1030" s="54">
        <v>1.4080986352941167</v>
      </c>
      <c r="R1030" s="47" t="s">
        <v>608</v>
      </c>
      <c r="S1030" s="47"/>
      <c r="T1030" s="71" t="s">
        <v>626</v>
      </c>
    </row>
    <row r="1031" spans="1:20" s="55" customFormat="1">
      <c r="A1031" s="47" t="s">
        <v>591</v>
      </c>
      <c r="B1031" s="47" t="s">
        <v>618</v>
      </c>
      <c r="C1031" s="47" t="s">
        <v>607</v>
      </c>
      <c r="D1031" s="48" t="s">
        <v>597</v>
      </c>
      <c r="E1031" s="47">
        <v>2021</v>
      </c>
      <c r="F1031" s="47">
        <v>3</v>
      </c>
      <c r="G1031" s="49">
        <v>7</v>
      </c>
      <c r="H1031" s="50">
        <v>0.93040509259259263</v>
      </c>
      <c r="I1031" s="51">
        <v>128.249</v>
      </c>
      <c r="J1031" s="51">
        <v>31.751000000000001</v>
      </c>
      <c r="K1031" s="52">
        <v>10.048</v>
      </c>
      <c r="L1031" s="52"/>
      <c r="M1031" s="52">
        <v>9</v>
      </c>
      <c r="N1031" s="53">
        <v>19.329999999999998</v>
      </c>
      <c r="O1031" s="51">
        <v>34.7288</v>
      </c>
      <c r="P1031" s="54">
        <v>0.12553958588235314</v>
      </c>
      <c r="Q1031" s="54">
        <v>1.28783068235294</v>
      </c>
      <c r="R1031" s="47" t="s">
        <v>608</v>
      </c>
      <c r="S1031" s="47"/>
      <c r="T1031" s="71" t="s">
        <v>626</v>
      </c>
    </row>
    <row r="1032" spans="1:20" s="55" customFormat="1">
      <c r="A1032" s="47" t="s">
        <v>591</v>
      </c>
      <c r="B1032" s="47" t="s">
        <v>618</v>
      </c>
      <c r="C1032" s="47" t="s">
        <v>607</v>
      </c>
      <c r="D1032" s="48" t="s">
        <v>597</v>
      </c>
      <c r="E1032" s="47">
        <v>2021</v>
      </c>
      <c r="F1032" s="47">
        <v>3</v>
      </c>
      <c r="G1032" s="49">
        <v>7</v>
      </c>
      <c r="H1032" s="50">
        <v>0.93040509259259263</v>
      </c>
      <c r="I1032" s="51">
        <v>128.249</v>
      </c>
      <c r="J1032" s="51">
        <v>31.751000000000001</v>
      </c>
      <c r="K1032" s="52">
        <v>20.841000000000001</v>
      </c>
      <c r="L1032" s="52"/>
      <c r="M1032" s="52">
        <v>8</v>
      </c>
      <c r="N1032" s="53">
        <v>19.329999999999998</v>
      </c>
      <c r="O1032" s="51">
        <v>34.7288</v>
      </c>
      <c r="P1032" s="54">
        <v>0.14123098352941188</v>
      </c>
      <c r="Q1032" s="54">
        <v>1.3179179294117649</v>
      </c>
      <c r="R1032" s="47" t="s">
        <v>608</v>
      </c>
      <c r="S1032" s="47"/>
      <c r="T1032" s="71" t="s">
        <v>626</v>
      </c>
    </row>
    <row r="1033" spans="1:20" s="55" customFormat="1">
      <c r="A1033" s="47" t="s">
        <v>591</v>
      </c>
      <c r="B1033" s="47" t="s">
        <v>618</v>
      </c>
      <c r="C1033" s="47" t="s">
        <v>607</v>
      </c>
      <c r="D1033" s="48" t="s">
        <v>597</v>
      </c>
      <c r="E1033" s="47">
        <v>2021</v>
      </c>
      <c r="F1033" s="47">
        <v>3</v>
      </c>
      <c r="G1033" s="49">
        <v>7</v>
      </c>
      <c r="H1033" s="50">
        <v>0.93040509259259263</v>
      </c>
      <c r="I1033" s="51">
        <v>128.249</v>
      </c>
      <c r="J1033" s="51">
        <v>31.751000000000001</v>
      </c>
      <c r="K1033" s="52">
        <v>29.329000000000001</v>
      </c>
      <c r="L1033" s="52"/>
      <c r="M1033" s="52">
        <v>7</v>
      </c>
      <c r="N1033" s="53">
        <v>19.329999999999998</v>
      </c>
      <c r="O1033" s="51">
        <v>34.728699999999996</v>
      </c>
      <c r="P1033" s="54">
        <v>0.14667838117647092</v>
      </c>
      <c r="Q1033" s="54">
        <v>1.3253731764705865</v>
      </c>
      <c r="R1033" s="47" t="s">
        <v>608</v>
      </c>
      <c r="S1033" s="47"/>
      <c r="T1033" s="71" t="s">
        <v>626</v>
      </c>
    </row>
    <row r="1034" spans="1:20" s="55" customFormat="1">
      <c r="A1034" s="47" t="s">
        <v>591</v>
      </c>
      <c r="B1034" s="47" t="s">
        <v>618</v>
      </c>
      <c r="C1034" s="47" t="s">
        <v>607</v>
      </c>
      <c r="D1034" s="48" t="s">
        <v>597</v>
      </c>
      <c r="E1034" s="47">
        <v>2021</v>
      </c>
      <c r="F1034" s="47">
        <v>3</v>
      </c>
      <c r="G1034" s="49">
        <v>7</v>
      </c>
      <c r="H1034" s="50">
        <v>0.93040509259259263</v>
      </c>
      <c r="I1034" s="51">
        <v>128.249</v>
      </c>
      <c r="J1034" s="51">
        <v>31.751000000000001</v>
      </c>
      <c r="K1034" s="52">
        <v>49.74</v>
      </c>
      <c r="L1034" s="52"/>
      <c r="M1034" s="52">
        <v>6</v>
      </c>
      <c r="N1034" s="53">
        <v>19.32</v>
      </c>
      <c r="O1034" s="51">
        <v>34.727799999999995</v>
      </c>
      <c r="P1034" s="54">
        <v>0.41867465882353017</v>
      </c>
      <c r="Q1034" s="54">
        <v>1.4784604235294108</v>
      </c>
      <c r="R1034" s="47" t="s">
        <v>608</v>
      </c>
      <c r="S1034" s="47"/>
      <c r="T1034" s="71" t="s">
        <v>626</v>
      </c>
    </row>
    <row r="1035" spans="1:20" s="55" customFormat="1">
      <c r="A1035" s="47" t="s">
        <v>591</v>
      </c>
      <c r="B1035" s="47" t="s">
        <v>618</v>
      </c>
      <c r="C1035" s="47" t="s">
        <v>607</v>
      </c>
      <c r="D1035" s="48" t="s">
        <v>597</v>
      </c>
      <c r="E1035" s="47">
        <v>2021</v>
      </c>
      <c r="F1035" s="47">
        <v>3</v>
      </c>
      <c r="G1035" s="49">
        <v>7</v>
      </c>
      <c r="H1035" s="50">
        <v>0.93040509259259263</v>
      </c>
      <c r="I1035" s="51">
        <v>128.249</v>
      </c>
      <c r="J1035" s="51">
        <v>31.751000000000001</v>
      </c>
      <c r="K1035" s="52">
        <v>75.225999999999999</v>
      </c>
      <c r="L1035" s="52"/>
      <c r="M1035" s="52">
        <v>5</v>
      </c>
      <c r="N1035" s="53">
        <v>19.11</v>
      </c>
      <c r="O1035" s="51">
        <v>34.713499999999996</v>
      </c>
      <c r="P1035" s="54">
        <v>0.20981757647058874</v>
      </c>
      <c r="Q1035" s="54">
        <v>1.3030884705882357</v>
      </c>
      <c r="R1035" s="47" t="s">
        <v>608</v>
      </c>
      <c r="S1035" s="47"/>
      <c r="T1035" s="71" t="s">
        <v>626</v>
      </c>
    </row>
    <row r="1036" spans="1:20" s="55" customFormat="1">
      <c r="A1036" s="47" t="s">
        <v>591</v>
      </c>
      <c r="B1036" s="47" t="s">
        <v>618</v>
      </c>
      <c r="C1036" s="47" t="s">
        <v>607</v>
      </c>
      <c r="D1036" s="48" t="s">
        <v>597</v>
      </c>
      <c r="E1036" s="47">
        <v>2021</v>
      </c>
      <c r="F1036" s="47">
        <v>3</v>
      </c>
      <c r="G1036" s="49">
        <v>7</v>
      </c>
      <c r="H1036" s="50">
        <v>0.93040509259259263</v>
      </c>
      <c r="I1036" s="51">
        <v>128.249</v>
      </c>
      <c r="J1036" s="51">
        <v>31.751000000000001</v>
      </c>
      <c r="K1036" s="52">
        <v>99.632000000000005</v>
      </c>
      <c r="L1036" s="52"/>
      <c r="M1036" s="52">
        <v>4</v>
      </c>
      <c r="N1036" s="53">
        <v>17.7</v>
      </c>
      <c r="O1036" s="51">
        <v>34.686999999999998</v>
      </c>
      <c r="P1036" s="54">
        <v>0.160152254117647</v>
      </c>
      <c r="Q1036" s="54">
        <v>1.2280845176470585</v>
      </c>
      <c r="R1036" s="47" t="s">
        <v>608</v>
      </c>
      <c r="S1036" s="47"/>
      <c r="T1036" s="71" t="s">
        <v>626</v>
      </c>
    </row>
    <row r="1037" spans="1:20" s="55" customFormat="1">
      <c r="A1037" s="47" t="s">
        <v>591</v>
      </c>
      <c r="B1037" s="47" t="s">
        <v>618</v>
      </c>
      <c r="C1037" s="47" t="s">
        <v>607</v>
      </c>
      <c r="D1037" s="48" t="s">
        <v>597</v>
      </c>
      <c r="E1037" s="47">
        <v>2021</v>
      </c>
      <c r="F1037" s="47">
        <v>3</v>
      </c>
      <c r="G1037" s="49">
        <v>7</v>
      </c>
      <c r="H1037" s="50">
        <v>0.93040509259259263</v>
      </c>
      <c r="I1037" s="51">
        <v>128.249</v>
      </c>
      <c r="J1037" s="51">
        <v>31.751000000000001</v>
      </c>
      <c r="K1037" s="52">
        <v>124.042</v>
      </c>
      <c r="L1037" s="52"/>
      <c r="M1037" s="52">
        <v>3</v>
      </c>
      <c r="N1037" s="53">
        <v>17.11</v>
      </c>
      <c r="O1037" s="51">
        <v>34.680699999999995</v>
      </c>
      <c r="P1037" s="54">
        <v>0.13318040470588199</v>
      </c>
      <c r="Q1037" s="54">
        <v>1.0559887058823527</v>
      </c>
      <c r="R1037" s="47" t="s">
        <v>608</v>
      </c>
      <c r="S1037" s="47"/>
      <c r="T1037" s="71" t="s">
        <v>626</v>
      </c>
    </row>
    <row r="1038" spans="1:20" s="55" customFormat="1">
      <c r="A1038" s="47" t="s">
        <v>591</v>
      </c>
      <c r="B1038" s="47" t="s">
        <v>618</v>
      </c>
      <c r="C1038" s="47" t="s">
        <v>607</v>
      </c>
      <c r="D1038" s="48" t="s">
        <v>597</v>
      </c>
      <c r="E1038" s="47">
        <v>2021</v>
      </c>
      <c r="F1038" s="47">
        <v>3</v>
      </c>
      <c r="G1038" s="49">
        <v>7</v>
      </c>
      <c r="H1038" s="50">
        <v>0.93040509259259263</v>
      </c>
      <c r="I1038" s="51">
        <v>128.249</v>
      </c>
      <c r="J1038" s="51">
        <v>31.751000000000001</v>
      </c>
      <c r="K1038" s="52">
        <v>149.167</v>
      </c>
      <c r="L1038" s="52"/>
      <c r="M1038" s="52">
        <v>2</v>
      </c>
      <c r="N1038" s="53">
        <v>15.31</v>
      </c>
      <c r="O1038" s="51">
        <v>34.629100000000001</v>
      </c>
      <c r="P1038" s="54">
        <v>0.12141788235294104</v>
      </c>
      <c r="Q1038" s="54">
        <v>0.87274475294117693</v>
      </c>
      <c r="R1038" s="47" t="s">
        <v>608</v>
      </c>
      <c r="S1038" s="47"/>
      <c r="T1038" s="71" t="s">
        <v>626</v>
      </c>
    </row>
    <row r="1039" spans="1:20" s="55" customFormat="1">
      <c r="A1039" s="47" t="s">
        <v>591</v>
      </c>
      <c r="B1039" s="47" t="s">
        <v>618</v>
      </c>
      <c r="C1039" s="47" t="s">
        <v>607</v>
      </c>
      <c r="D1039" s="48" t="s">
        <v>597</v>
      </c>
      <c r="E1039" s="47">
        <v>2021</v>
      </c>
      <c r="F1039" s="47">
        <v>3</v>
      </c>
      <c r="G1039" s="49">
        <v>7</v>
      </c>
      <c r="H1039" s="50">
        <v>0.93040509259259263</v>
      </c>
      <c r="I1039" s="51">
        <v>128.249</v>
      </c>
      <c r="J1039" s="51">
        <v>31.751000000000001</v>
      </c>
      <c r="K1039" s="52">
        <v>166.846</v>
      </c>
      <c r="L1039" s="52"/>
      <c r="M1039" s="52">
        <v>1</v>
      </c>
      <c r="N1039" s="53">
        <v>14.94</v>
      </c>
      <c r="O1039" s="51">
        <v>34.606899999999996</v>
      </c>
      <c r="P1039" s="54">
        <v>7.8923360000000109E-2</v>
      </c>
      <c r="Q1039" s="54">
        <v>0.86662079999999975</v>
      </c>
      <c r="R1039" s="47" t="s">
        <v>608</v>
      </c>
      <c r="S1039" s="47"/>
      <c r="T1039" s="71" t="s">
        <v>626</v>
      </c>
    </row>
    <row r="1040" spans="1:20" s="55" customFormat="1">
      <c r="A1040" s="47"/>
      <c r="B1040" s="47"/>
      <c r="C1040" s="47"/>
      <c r="D1040" s="48"/>
      <c r="E1040" s="47"/>
      <c r="F1040" s="47"/>
      <c r="G1040" s="49"/>
      <c r="H1040" s="50"/>
      <c r="I1040" s="51"/>
      <c r="J1040" s="51"/>
      <c r="K1040" s="52"/>
      <c r="L1040" s="52"/>
      <c r="M1040" s="52"/>
      <c r="N1040" s="53"/>
      <c r="O1040" s="51"/>
      <c r="P1040" s="54"/>
      <c r="Q1040" s="54"/>
      <c r="R1040" s="47"/>
      <c r="S1040" s="47"/>
      <c r="T1040" s="71"/>
    </row>
    <row r="1041" spans="1:20" s="55" customFormat="1">
      <c r="A1041" s="47" t="s">
        <v>591</v>
      </c>
      <c r="B1041" s="47" t="s">
        <v>619</v>
      </c>
      <c r="C1041" s="47" t="s">
        <v>607</v>
      </c>
      <c r="D1041" s="48" t="s">
        <v>598</v>
      </c>
      <c r="E1041" s="47">
        <v>2021</v>
      </c>
      <c r="F1041" s="47">
        <v>3</v>
      </c>
      <c r="G1041" s="49">
        <v>8</v>
      </c>
      <c r="H1041" s="50">
        <v>0.2053935185185185</v>
      </c>
      <c r="I1041" s="51">
        <v>128.74799999999999</v>
      </c>
      <c r="J1041" s="51">
        <v>31.751999999999999</v>
      </c>
      <c r="K1041" s="52">
        <v>0</v>
      </c>
      <c r="L1041" s="52"/>
      <c r="M1041" s="52">
        <v>0</v>
      </c>
      <c r="N1041" s="53">
        <v>18.7</v>
      </c>
      <c r="O1041" s="56">
        <v>34.768328599999997</v>
      </c>
      <c r="P1041" s="54">
        <v>0.16792765098039242</v>
      </c>
      <c r="Q1041" s="54">
        <v>1.2661016470588233</v>
      </c>
      <c r="R1041" s="47" t="s">
        <v>608</v>
      </c>
      <c r="S1041" s="47"/>
      <c r="T1041" s="71" t="s">
        <v>626</v>
      </c>
    </row>
    <row r="1042" spans="1:20" s="55" customFormat="1">
      <c r="A1042" s="47" t="s">
        <v>591</v>
      </c>
      <c r="B1042" s="47" t="s">
        <v>619</v>
      </c>
      <c r="C1042" s="47" t="s">
        <v>607</v>
      </c>
      <c r="D1042" s="48" t="s">
        <v>598</v>
      </c>
      <c r="E1042" s="47">
        <v>2021</v>
      </c>
      <c r="F1042" s="47">
        <v>3</v>
      </c>
      <c r="G1042" s="49">
        <v>8</v>
      </c>
      <c r="H1042" s="50">
        <v>0.2053935185185185</v>
      </c>
      <c r="I1042" s="51">
        <v>128.74799999999999</v>
      </c>
      <c r="J1042" s="51">
        <v>31.751999999999999</v>
      </c>
      <c r="K1042" s="52">
        <v>9.9789999999999992</v>
      </c>
      <c r="L1042" s="52"/>
      <c r="M1042" s="52">
        <v>11</v>
      </c>
      <c r="N1042" s="53">
        <v>18.73</v>
      </c>
      <c r="O1042" s="51">
        <v>34.722699999999996</v>
      </c>
      <c r="P1042" s="54">
        <v>0.15025775529411778</v>
      </c>
      <c r="Q1042" s="54">
        <v>1.328857694117648</v>
      </c>
      <c r="R1042" s="47" t="s">
        <v>608</v>
      </c>
      <c r="S1042" s="47"/>
      <c r="T1042" s="71" t="s">
        <v>626</v>
      </c>
    </row>
    <row r="1043" spans="1:20" s="55" customFormat="1">
      <c r="A1043" s="47" t="s">
        <v>591</v>
      </c>
      <c r="B1043" s="47" t="s">
        <v>619</v>
      </c>
      <c r="C1043" s="47" t="s">
        <v>607</v>
      </c>
      <c r="D1043" s="48" t="s">
        <v>598</v>
      </c>
      <c r="E1043" s="47">
        <v>2021</v>
      </c>
      <c r="F1043" s="47">
        <v>3</v>
      </c>
      <c r="G1043" s="49">
        <v>8</v>
      </c>
      <c r="H1043" s="50">
        <v>0.2053935185185185</v>
      </c>
      <c r="I1043" s="51">
        <v>128.74799999999999</v>
      </c>
      <c r="J1043" s="51">
        <v>31.751999999999999</v>
      </c>
      <c r="K1043" s="52">
        <v>20.053000000000001</v>
      </c>
      <c r="L1043" s="52"/>
      <c r="M1043" s="52">
        <v>10</v>
      </c>
      <c r="N1043" s="53">
        <v>18.73</v>
      </c>
      <c r="O1043" s="51">
        <v>34.722699999999996</v>
      </c>
      <c r="P1043" s="54">
        <v>0.15283683294117667</v>
      </c>
      <c r="Q1043" s="54">
        <v>1.2493273411764729</v>
      </c>
      <c r="R1043" s="47" t="s">
        <v>608</v>
      </c>
      <c r="S1043" s="47"/>
      <c r="T1043" s="71" t="s">
        <v>626</v>
      </c>
    </row>
    <row r="1044" spans="1:20" s="55" customFormat="1">
      <c r="A1044" s="47" t="s">
        <v>591</v>
      </c>
      <c r="B1044" s="47" t="s">
        <v>619</v>
      </c>
      <c r="C1044" s="47" t="s">
        <v>607</v>
      </c>
      <c r="D1044" s="48" t="s">
        <v>598</v>
      </c>
      <c r="E1044" s="47">
        <v>2021</v>
      </c>
      <c r="F1044" s="47">
        <v>3</v>
      </c>
      <c r="G1044" s="49">
        <v>8</v>
      </c>
      <c r="H1044" s="50">
        <v>0.2053935185185185</v>
      </c>
      <c r="I1044" s="51">
        <v>128.74799999999999</v>
      </c>
      <c r="J1044" s="51">
        <v>31.751999999999999</v>
      </c>
      <c r="K1044" s="52">
        <v>29.434999999999999</v>
      </c>
      <c r="L1044" s="52"/>
      <c r="M1044" s="52">
        <v>9</v>
      </c>
      <c r="N1044" s="53">
        <v>18.739999999999998</v>
      </c>
      <c r="O1044" s="51">
        <v>34.723099999999995</v>
      </c>
      <c r="P1044" s="54">
        <v>0.15951351058823526</v>
      </c>
      <c r="Q1044" s="54">
        <v>1.3711233882352953</v>
      </c>
      <c r="R1044" s="47" t="s">
        <v>608</v>
      </c>
      <c r="S1044" s="47"/>
      <c r="T1044" s="71" t="s">
        <v>626</v>
      </c>
    </row>
    <row r="1045" spans="1:20" s="55" customFormat="1">
      <c r="A1045" s="47" t="s">
        <v>591</v>
      </c>
      <c r="B1045" s="47" t="s">
        <v>619</v>
      </c>
      <c r="C1045" s="47" t="s">
        <v>607</v>
      </c>
      <c r="D1045" s="48" t="s">
        <v>598</v>
      </c>
      <c r="E1045" s="47">
        <v>2021</v>
      </c>
      <c r="F1045" s="47">
        <v>3</v>
      </c>
      <c r="G1045" s="49">
        <v>8</v>
      </c>
      <c r="H1045" s="50">
        <v>0.2053935185185185</v>
      </c>
      <c r="I1045" s="51">
        <v>128.74799999999999</v>
      </c>
      <c r="J1045" s="51">
        <v>31.751999999999999</v>
      </c>
      <c r="K1045" s="52">
        <v>49.622</v>
      </c>
      <c r="L1045" s="52"/>
      <c r="M1045" s="52">
        <v>8</v>
      </c>
      <c r="N1045" s="53">
        <v>18.73</v>
      </c>
      <c r="O1045" s="51">
        <v>34.725099999999998</v>
      </c>
      <c r="P1045" s="54">
        <v>0.13935090823529439</v>
      </c>
      <c r="Q1045" s="54">
        <v>1.2099210352941174</v>
      </c>
      <c r="R1045" s="47" t="s">
        <v>608</v>
      </c>
      <c r="S1045" s="47"/>
      <c r="T1045" s="71" t="s">
        <v>626</v>
      </c>
    </row>
    <row r="1046" spans="1:20" s="55" customFormat="1">
      <c r="A1046" s="47" t="s">
        <v>591</v>
      </c>
      <c r="B1046" s="47" t="s">
        <v>619</v>
      </c>
      <c r="C1046" s="47" t="s">
        <v>607</v>
      </c>
      <c r="D1046" s="48" t="s">
        <v>598</v>
      </c>
      <c r="E1046" s="47">
        <v>2021</v>
      </c>
      <c r="F1046" s="47">
        <v>3</v>
      </c>
      <c r="G1046" s="49">
        <v>8</v>
      </c>
      <c r="H1046" s="50">
        <v>0.2053935185185185</v>
      </c>
      <c r="I1046" s="51">
        <v>128.74799999999999</v>
      </c>
      <c r="J1046" s="51">
        <v>31.751999999999999</v>
      </c>
      <c r="K1046" s="52">
        <v>74.623999999999995</v>
      </c>
      <c r="L1046" s="52"/>
      <c r="M1046" s="52">
        <v>7</v>
      </c>
      <c r="N1046" s="53">
        <v>18.53</v>
      </c>
      <c r="O1046" s="51">
        <v>34.720599999999997</v>
      </c>
      <c r="P1046" s="54">
        <v>0.15536296235294156</v>
      </c>
      <c r="Q1046" s="54">
        <v>1.2356751588235291</v>
      </c>
      <c r="R1046" s="47" t="s">
        <v>608</v>
      </c>
      <c r="S1046" s="47"/>
      <c r="T1046" s="71" t="s">
        <v>626</v>
      </c>
    </row>
    <row r="1047" spans="1:20" s="55" customFormat="1">
      <c r="A1047" s="47" t="s">
        <v>591</v>
      </c>
      <c r="B1047" s="47" t="s">
        <v>619</v>
      </c>
      <c r="C1047" s="47" t="s">
        <v>607</v>
      </c>
      <c r="D1047" s="48" t="s">
        <v>598</v>
      </c>
      <c r="E1047" s="47">
        <v>2021</v>
      </c>
      <c r="F1047" s="47">
        <v>3</v>
      </c>
      <c r="G1047" s="49">
        <v>8</v>
      </c>
      <c r="H1047" s="50">
        <v>0.2053935185185185</v>
      </c>
      <c r="I1047" s="51">
        <v>128.74799999999999</v>
      </c>
      <c r="J1047" s="51">
        <v>31.751999999999999</v>
      </c>
      <c r="K1047" s="52">
        <v>98.95</v>
      </c>
      <c r="L1047" s="52"/>
      <c r="M1047" s="52">
        <v>6</v>
      </c>
      <c r="N1047" s="53">
        <v>18.23</v>
      </c>
      <c r="O1047" s="51">
        <v>34.710799999999999</v>
      </c>
      <c r="P1047" s="54">
        <v>0.12156881882352977</v>
      </c>
      <c r="Q1047" s="54">
        <v>1.1312621705882346</v>
      </c>
      <c r="R1047" s="47" t="s">
        <v>608</v>
      </c>
      <c r="S1047" s="47"/>
      <c r="T1047" s="71" t="s">
        <v>626</v>
      </c>
    </row>
    <row r="1048" spans="1:20" s="55" customFormat="1">
      <c r="A1048" s="47" t="s">
        <v>591</v>
      </c>
      <c r="B1048" s="47" t="s">
        <v>619</v>
      </c>
      <c r="C1048" s="47" t="s">
        <v>607</v>
      </c>
      <c r="D1048" s="48" t="s">
        <v>598</v>
      </c>
      <c r="E1048" s="47">
        <v>2021</v>
      </c>
      <c r="F1048" s="47">
        <v>3</v>
      </c>
      <c r="G1048" s="49">
        <v>8</v>
      </c>
      <c r="H1048" s="50">
        <v>0.2053935185185185</v>
      </c>
      <c r="I1048" s="51">
        <v>128.74799999999999</v>
      </c>
      <c r="J1048" s="51">
        <v>31.751999999999999</v>
      </c>
      <c r="K1048" s="52">
        <v>123.73399999999999</v>
      </c>
      <c r="L1048" s="52"/>
      <c r="M1048" s="52">
        <v>5</v>
      </c>
      <c r="N1048" s="53">
        <v>17.54</v>
      </c>
      <c r="O1048" s="51">
        <v>34.6877</v>
      </c>
      <c r="P1048" s="54">
        <v>0.12892741529411778</v>
      </c>
      <c r="Q1048" s="54">
        <v>1.0740571823529432</v>
      </c>
      <c r="R1048" s="47" t="s">
        <v>608</v>
      </c>
      <c r="S1048" s="47"/>
      <c r="T1048" s="71" t="s">
        <v>626</v>
      </c>
    </row>
    <row r="1049" spans="1:20" s="55" customFormat="1">
      <c r="A1049" s="47" t="s">
        <v>591</v>
      </c>
      <c r="B1049" s="47" t="s">
        <v>619</v>
      </c>
      <c r="C1049" s="47" t="s">
        <v>607</v>
      </c>
      <c r="D1049" s="48" t="s">
        <v>598</v>
      </c>
      <c r="E1049" s="47">
        <v>2021</v>
      </c>
      <c r="F1049" s="47">
        <v>3</v>
      </c>
      <c r="G1049" s="49">
        <v>8</v>
      </c>
      <c r="H1049" s="50">
        <v>0.2053935185185185</v>
      </c>
      <c r="I1049" s="51">
        <v>128.74799999999999</v>
      </c>
      <c r="J1049" s="51">
        <v>31.751999999999999</v>
      </c>
      <c r="K1049" s="52">
        <v>149.667</v>
      </c>
      <c r="L1049" s="52"/>
      <c r="M1049" s="52">
        <v>4</v>
      </c>
      <c r="N1049" s="53">
        <v>16.71</v>
      </c>
      <c r="O1049" s="51">
        <v>34.683099999999996</v>
      </c>
      <c r="P1049" s="54">
        <v>0.1215447317647067</v>
      </c>
      <c r="Q1049" s="54">
        <v>0.91043749411764807</v>
      </c>
      <c r="R1049" s="47" t="s">
        <v>608</v>
      </c>
      <c r="S1049" s="47"/>
      <c r="T1049" s="71" t="s">
        <v>626</v>
      </c>
    </row>
    <row r="1050" spans="1:20" s="55" customFormat="1">
      <c r="A1050" s="47" t="s">
        <v>591</v>
      </c>
      <c r="B1050" s="47" t="s">
        <v>619</v>
      </c>
      <c r="C1050" s="47" t="s">
        <v>607</v>
      </c>
      <c r="D1050" s="48" t="s">
        <v>598</v>
      </c>
      <c r="E1050" s="47">
        <v>2021</v>
      </c>
      <c r="F1050" s="47">
        <v>3</v>
      </c>
      <c r="G1050" s="49">
        <v>8</v>
      </c>
      <c r="H1050" s="50">
        <v>0.2053935185185185</v>
      </c>
      <c r="I1050" s="51">
        <v>128.74799999999999</v>
      </c>
      <c r="J1050" s="51">
        <v>31.751999999999999</v>
      </c>
      <c r="K1050" s="52">
        <v>199.37799999999999</v>
      </c>
      <c r="L1050" s="52"/>
      <c r="M1050" s="52">
        <v>3</v>
      </c>
      <c r="N1050" s="53">
        <v>15.49</v>
      </c>
      <c r="O1050" s="51">
        <v>34.619299999999996</v>
      </c>
      <c r="P1050" s="54">
        <v>0.11375256823529467</v>
      </c>
      <c r="Q1050" s="54">
        <v>0.91794680588235344</v>
      </c>
      <c r="R1050" s="47" t="s">
        <v>608</v>
      </c>
      <c r="S1050" s="47"/>
      <c r="T1050" s="71" t="s">
        <v>626</v>
      </c>
    </row>
    <row r="1051" spans="1:20" s="55" customFormat="1">
      <c r="A1051" s="47" t="s">
        <v>591</v>
      </c>
      <c r="B1051" s="47" t="s">
        <v>619</v>
      </c>
      <c r="C1051" s="47" t="s">
        <v>607</v>
      </c>
      <c r="D1051" s="48" t="s">
        <v>598</v>
      </c>
      <c r="E1051" s="47">
        <v>2021</v>
      </c>
      <c r="F1051" s="47">
        <v>3</v>
      </c>
      <c r="G1051" s="49">
        <v>8</v>
      </c>
      <c r="H1051" s="50">
        <v>0.2053935185185185</v>
      </c>
      <c r="I1051" s="51">
        <v>128.74799999999999</v>
      </c>
      <c r="J1051" s="51">
        <v>31.751999999999999</v>
      </c>
      <c r="K1051" s="52">
        <v>297.83600000000001</v>
      </c>
      <c r="L1051" s="52"/>
      <c r="M1051" s="52">
        <v>2</v>
      </c>
      <c r="N1051" s="53">
        <v>11.85</v>
      </c>
      <c r="O1051" s="51">
        <v>34.409499999999994</v>
      </c>
      <c r="P1051" s="54">
        <v>-6.110743529411744E-2</v>
      </c>
      <c r="Q1051" s="54">
        <v>-1.2212782352941431E-2</v>
      </c>
      <c r="R1051" s="47" t="s">
        <v>608</v>
      </c>
      <c r="S1051" s="47"/>
      <c r="T1051" s="71" t="s">
        <v>626</v>
      </c>
    </row>
    <row r="1052" spans="1:20" s="55" customFormat="1">
      <c r="A1052" s="47" t="s">
        <v>591</v>
      </c>
      <c r="B1052" s="47" t="s">
        <v>619</v>
      </c>
      <c r="C1052" s="47" t="s">
        <v>607</v>
      </c>
      <c r="D1052" s="48" t="s">
        <v>598</v>
      </c>
      <c r="E1052" s="47">
        <v>2021</v>
      </c>
      <c r="F1052" s="47">
        <v>3</v>
      </c>
      <c r="G1052" s="49">
        <v>8</v>
      </c>
      <c r="H1052" s="50">
        <v>0.2053935185185185</v>
      </c>
      <c r="I1052" s="51">
        <v>128.74799999999999</v>
      </c>
      <c r="J1052" s="51">
        <v>31.751999999999999</v>
      </c>
      <c r="K1052" s="52">
        <v>497.755</v>
      </c>
      <c r="L1052" s="52"/>
      <c r="M1052" s="52">
        <v>1</v>
      </c>
      <c r="N1052" s="53">
        <v>7.87</v>
      </c>
      <c r="O1052" s="51">
        <v>34.342399999999998</v>
      </c>
      <c r="P1052" s="54">
        <v>-0.15202403882352877</v>
      </c>
      <c r="Q1052" s="54">
        <v>-1.1319911705882326</v>
      </c>
      <c r="R1052" s="47" t="s">
        <v>608</v>
      </c>
      <c r="S1052" s="47"/>
      <c r="T1052" s="71" t="s">
        <v>626</v>
      </c>
    </row>
    <row r="1053" spans="1:20" s="55" customFormat="1">
      <c r="A1053" s="47"/>
      <c r="B1053" s="47"/>
      <c r="C1053" s="47"/>
      <c r="D1053" s="48"/>
      <c r="E1053" s="47"/>
      <c r="F1053" s="47"/>
      <c r="G1053" s="49"/>
      <c r="H1053" s="50"/>
      <c r="I1053" s="51"/>
      <c r="J1053" s="51"/>
      <c r="K1053" s="52"/>
      <c r="L1053" s="52"/>
      <c r="M1053" s="52"/>
      <c r="N1053" s="53"/>
      <c r="O1053" s="51"/>
      <c r="P1053" s="54"/>
      <c r="Q1053" s="54"/>
      <c r="R1053" s="47"/>
      <c r="S1053" s="47"/>
      <c r="T1053" s="71"/>
    </row>
    <row r="1054" spans="1:20" s="55" customFormat="1">
      <c r="A1054" s="47" t="s">
        <v>603</v>
      </c>
      <c r="B1054" s="47" t="s">
        <v>621</v>
      </c>
      <c r="C1054" s="47" t="s">
        <v>607</v>
      </c>
      <c r="D1054" s="48" t="s">
        <v>604</v>
      </c>
      <c r="E1054" s="47">
        <v>2021</v>
      </c>
      <c r="F1054" s="47">
        <v>4</v>
      </c>
      <c r="G1054" s="49">
        <v>25</v>
      </c>
      <c r="H1054" s="50">
        <v>0.89868055555555559</v>
      </c>
      <c r="I1054" s="51">
        <v>126.25</v>
      </c>
      <c r="J1054" s="51">
        <v>27.253</v>
      </c>
      <c r="K1054" s="52">
        <v>0</v>
      </c>
      <c r="L1054" s="52"/>
      <c r="M1054" s="52">
        <v>0</v>
      </c>
      <c r="N1054" s="53">
        <v>23.4</v>
      </c>
      <c r="O1054" s="56">
        <v>34.706603020000003</v>
      </c>
      <c r="P1054" s="54">
        <v>0.19758988235294117</v>
      </c>
      <c r="Q1054" s="54">
        <v>1.6020368588235279</v>
      </c>
      <c r="R1054" s="47" t="s">
        <v>608</v>
      </c>
      <c r="S1054" s="47"/>
      <c r="T1054" s="71" t="s">
        <v>626</v>
      </c>
    </row>
    <row r="1055" spans="1:20" s="55" customFormat="1">
      <c r="A1055" s="47" t="s">
        <v>603</v>
      </c>
      <c r="B1055" s="47" t="s">
        <v>621</v>
      </c>
      <c r="C1055" s="47" t="s">
        <v>607</v>
      </c>
      <c r="D1055" s="48" t="s">
        <v>604</v>
      </c>
      <c r="E1055" s="47">
        <v>2021</v>
      </c>
      <c r="F1055" s="47">
        <v>4</v>
      </c>
      <c r="G1055" s="49">
        <v>25</v>
      </c>
      <c r="H1055" s="50">
        <v>0.89868055555555559</v>
      </c>
      <c r="I1055" s="51">
        <v>126.25</v>
      </c>
      <c r="J1055" s="51">
        <v>27.253</v>
      </c>
      <c r="K1055" s="52">
        <v>9.6129999999999995</v>
      </c>
      <c r="L1055" s="52"/>
      <c r="M1055" s="52">
        <v>11</v>
      </c>
      <c r="N1055" s="53">
        <v>23.55</v>
      </c>
      <c r="O1055" s="51">
        <v>34.690695069999997</v>
      </c>
      <c r="P1055" s="54">
        <v>0.17200812705882251</v>
      </c>
      <c r="Q1055" s="54">
        <v>1.6483303764705877</v>
      </c>
      <c r="R1055" s="47" t="s">
        <v>608</v>
      </c>
      <c r="S1055" s="47"/>
      <c r="T1055" s="71" t="s">
        <v>626</v>
      </c>
    </row>
    <row r="1056" spans="1:20" s="55" customFormat="1">
      <c r="A1056" s="47" t="s">
        <v>603</v>
      </c>
      <c r="B1056" s="47" t="s">
        <v>621</v>
      </c>
      <c r="C1056" s="47" t="s">
        <v>607</v>
      </c>
      <c r="D1056" s="48" t="s">
        <v>604</v>
      </c>
      <c r="E1056" s="47">
        <v>2021</v>
      </c>
      <c r="F1056" s="47">
        <v>4</v>
      </c>
      <c r="G1056" s="49">
        <v>25</v>
      </c>
      <c r="H1056" s="50">
        <v>0.89868055555555559</v>
      </c>
      <c r="I1056" s="51">
        <v>126.25</v>
      </c>
      <c r="J1056" s="51">
        <v>27.253</v>
      </c>
      <c r="K1056" s="52">
        <v>20.567</v>
      </c>
      <c r="L1056" s="52"/>
      <c r="M1056" s="52">
        <v>10</v>
      </c>
      <c r="N1056" s="53">
        <v>23.44</v>
      </c>
      <c r="O1056" s="51">
        <v>34.695349069999999</v>
      </c>
      <c r="P1056" s="54">
        <v>0.15155237176470537</v>
      </c>
      <c r="Q1056" s="54">
        <v>1.297098694117647</v>
      </c>
      <c r="R1056" s="47" t="s">
        <v>608</v>
      </c>
      <c r="S1056" s="47"/>
      <c r="T1056" s="71" t="s">
        <v>626</v>
      </c>
    </row>
    <row r="1057" spans="1:20" s="55" customFormat="1">
      <c r="A1057" s="47" t="s">
        <v>603</v>
      </c>
      <c r="B1057" s="47" t="s">
        <v>621</v>
      </c>
      <c r="C1057" s="47" t="s">
        <v>607</v>
      </c>
      <c r="D1057" s="48" t="s">
        <v>604</v>
      </c>
      <c r="E1057" s="47">
        <v>2021</v>
      </c>
      <c r="F1057" s="47">
        <v>4</v>
      </c>
      <c r="G1057" s="49">
        <v>25</v>
      </c>
      <c r="H1057" s="50">
        <v>0.89868055555555559</v>
      </c>
      <c r="I1057" s="51">
        <v>126.25</v>
      </c>
      <c r="J1057" s="51">
        <v>27.253</v>
      </c>
      <c r="K1057" s="52">
        <v>29.616</v>
      </c>
      <c r="L1057" s="52"/>
      <c r="M1057" s="52">
        <v>9</v>
      </c>
      <c r="N1057" s="53">
        <v>23.38</v>
      </c>
      <c r="O1057" s="51">
        <v>34.711467910000003</v>
      </c>
      <c r="P1057" s="54">
        <v>0.14333871058823489</v>
      </c>
      <c r="Q1057" s="54">
        <v>1.4842387647058803</v>
      </c>
      <c r="R1057" s="47" t="s">
        <v>608</v>
      </c>
      <c r="S1057" s="47"/>
      <c r="T1057" s="71" t="s">
        <v>626</v>
      </c>
    </row>
    <row r="1058" spans="1:20" s="55" customFormat="1">
      <c r="A1058" s="47" t="s">
        <v>603</v>
      </c>
      <c r="B1058" s="47" t="s">
        <v>621</v>
      </c>
      <c r="C1058" s="47" t="s">
        <v>607</v>
      </c>
      <c r="D1058" s="48" t="s">
        <v>604</v>
      </c>
      <c r="E1058" s="47">
        <v>2021</v>
      </c>
      <c r="F1058" s="47">
        <v>4</v>
      </c>
      <c r="G1058" s="49">
        <v>25</v>
      </c>
      <c r="H1058" s="50">
        <v>0.89868055555555559</v>
      </c>
      <c r="I1058" s="51">
        <v>126.25</v>
      </c>
      <c r="J1058" s="51">
        <v>27.253</v>
      </c>
      <c r="K1058" s="52">
        <v>51.152999999999999</v>
      </c>
      <c r="L1058" s="52"/>
      <c r="M1058" s="52">
        <v>8</v>
      </c>
      <c r="N1058" s="53">
        <v>23.33</v>
      </c>
      <c r="O1058" s="51">
        <v>34.727718930000002</v>
      </c>
      <c r="P1058" s="54">
        <v>0.1386710352941174</v>
      </c>
      <c r="Q1058" s="54">
        <v>1.5678862823529407</v>
      </c>
      <c r="R1058" s="47" t="s">
        <v>608</v>
      </c>
      <c r="S1058" s="47"/>
      <c r="T1058" s="71" t="s">
        <v>626</v>
      </c>
    </row>
    <row r="1059" spans="1:20" s="55" customFormat="1">
      <c r="A1059" s="47" t="s">
        <v>603</v>
      </c>
      <c r="B1059" s="47" t="s">
        <v>621</v>
      </c>
      <c r="C1059" s="47" t="s">
        <v>607</v>
      </c>
      <c r="D1059" s="48" t="s">
        <v>604</v>
      </c>
      <c r="E1059" s="47">
        <v>2021</v>
      </c>
      <c r="F1059" s="47">
        <v>4</v>
      </c>
      <c r="G1059" s="49">
        <v>25</v>
      </c>
      <c r="H1059" s="50">
        <v>0.89868055555555559</v>
      </c>
      <c r="I1059" s="51">
        <v>126.25</v>
      </c>
      <c r="J1059" s="51">
        <v>27.253</v>
      </c>
      <c r="K1059" s="52">
        <v>75.366</v>
      </c>
      <c r="L1059" s="52"/>
      <c r="M1059" s="52">
        <v>7</v>
      </c>
      <c r="N1059" s="53">
        <v>23.17</v>
      </c>
      <c r="O1059" s="51">
        <v>34.753799999999998</v>
      </c>
      <c r="P1059" s="54">
        <v>0.13769407999999972</v>
      </c>
      <c r="Q1059" s="54">
        <v>1.6879048000000019</v>
      </c>
      <c r="R1059" s="47" t="s">
        <v>608</v>
      </c>
      <c r="S1059" s="47"/>
      <c r="T1059" s="71" t="s">
        <v>626</v>
      </c>
    </row>
    <row r="1060" spans="1:20" s="55" customFormat="1">
      <c r="A1060" s="47" t="s">
        <v>603</v>
      </c>
      <c r="B1060" s="47" t="s">
        <v>621</v>
      </c>
      <c r="C1060" s="47" t="s">
        <v>607</v>
      </c>
      <c r="D1060" s="48" t="s">
        <v>604</v>
      </c>
      <c r="E1060" s="47">
        <v>2021</v>
      </c>
      <c r="F1060" s="47">
        <v>4</v>
      </c>
      <c r="G1060" s="49">
        <v>25</v>
      </c>
      <c r="H1060" s="50">
        <v>0.89868055555555559</v>
      </c>
      <c r="I1060" s="51">
        <v>126.25</v>
      </c>
      <c r="J1060" s="51">
        <v>27.253</v>
      </c>
      <c r="K1060" s="52">
        <v>100.649</v>
      </c>
      <c r="L1060" s="52"/>
      <c r="M1060" s="52">
        <v>6</v>
      </c>
      <c r="N1060" s="53">
        <v>22.69</v>
      </c>
      <c r="O1060" s="51">
        <v>34.769136570000001</v>
      </c>
      <c r="P1060" s="54">
        <v>0.15024976470588181</v>
      </c>
      <c r="Q1060" s="54">
        <v>1.6909463176470556</v>
      </c>
      <c r="R1060" s="47" t="s">
        <v>608</v>
      </c>
      <c r="S1060" s="47"/>
      <c r="T1060" s="71" t="s">
        <v>626</v>
      </c>
    </row>
    <row r="1061" spans="1:20" s="55" customFormat="1">
      <c r="A1061" s="47" t="s">
        <v>603</v>
      </c>
      <c r="B1061" s="47" t="s">
        <v>621</v>
      </c>
      <c r="C1061" s="47" t="s">
        <v>607</v>
      </c>
      <c r="D1061" s="48" t="s">
        <v>604</v>
      </c>
      <c r="E1061" s="47">
        <v>2021</v>
      </c>
      <c r="F1061" s="47">
        <v>4</v>
      </c>
      <c r="G1061" s="49">
        <v>25</v>
      </c>
      <c r="H1061" s="50">
        <v>0.89868055555555559</v>
      </c>
      <c r="I1061" s="51">
        <v>126.25</v>
      </c>
      <c r="J1061" s="51">
        <v>27.253</v>
      </c>
      <c r="K1061" s="52">
        <v>124.536</v>
      </c>
      <c r="L1061" s="52"/>
      <c r="M1061" s="52">
        <v>5</v>
      </c>
      <c r="N1061" s="53">
        <v>22.23</v>
      </c>
      <c r="O1061" s="51">
        <v>34.7849985</v>
      </c>
      <c r="P1061" s="54">
        <v>0.16916168941176402</v>
      </c>
      <c r="Q1061" s="54">
        <v>1.5522392352941168</v>
      </c>
      <c r="R1061" s="47" t="s">
        <v>608</v>
      </c>
      <c r="S1061" s="47"/>
      <c r="T1061" s="71" t="s">
        <v>626</v>
      </c>
    </row>
    <row r="1062" spans="1:20" s="55" customFormat="1">
      <c r="A1062" s="47" t="s">
        <v>603</v>
      </c>
      <c r="B1062" s="47" t="s">
        <v>621</v>
      </c>
      <c r="C1062" s="47" t="s">
        <v>607</v>
      </c>
      <c r="D1062" s="48" t="s">
        <v>604</v>
      </c>
      <c r="E1062" s="47">
        <v>2021</v>
      </c>
      <c r="F1062" s="47">
        <v>4</v>
      </c>
      <c r="G1062" s="49">
        <v>25</v>
      </c>
      <c r="H1062" s="50">
        <v>0.89868055555555559</v>
      </c>
      <c r="I1062" s="51">
        <v>126.25</v>
      </c>
      <c r="J1062" s="51">
        <v>27.253</v>
      </c>
      <c r="K1062" s="52">
        <v>151.75</v>
      </c>
      <c r="L1062" s="52"/>
      <c r="M1062" s="52">
        <v>4</v>
      </c>
      <c r="N1062" s="53">
        <v>21.73</v>
      </c>
      <c r="O1062" s="51">
        <v>34.810862180000001</v>
      </c>
      <c r="P1062" s="54">
        <v>0.19442985411764635</v>
      </c>
      <c r="Q1062" s="54">
        <v>1.9773809529411768</v>
      </c>
      <c r="R1062" s="47" t="s">
        <v>608</v>
      </c>
      <c r="S1062" s="47"/>
      <c r="T1062" s="71" t="s">
        <v>626</v>
      </c>
    </row>
    <row r="1063" spans="1:20" s="55" customFormat="1">
      <c r="A1063" s="47" t="s">
        <v>603</v>
      </c>
      <c r="B1063" s="47" t="s">
        <v>621</v>
      </c>
      <c r="C1063" s="47" t="s">
        <v>607</v>
      </c>
      <c r="D1063" s="48" t="s">
        <v>604</v>
      </c>
      <c r="E1063" s="47">
        <v>2021</v>
      </c>
      <c r="F1063" s="47">
        <v>4</v>
      </c>
      <c r="G1063" s="49">
        <v>25</v>
      </c>
      <c r="H1063" s="50">
        <v>0.89868055555555559</v>
      </c>
      <c r="I1063" s="51">
        <v>126.25</v>
      </c>
      <c r="J1063" s="51">
        <v>27.253</v>
      </c>
      <c r="K1063" s="52">
        <v>201.297</v>
      </c>
      <c r="L1063" s="52"/>
      <c r="M1063" s="52">
        <v>3</v>
      </c>
      <c r="N1063" s="53">
        <v>19.420000000000002</v>
      </c>
      <c r="O1063" s="51">
        <v>34.831148419999998</v>
      </c>
      <c r="P1063" s="54">
        <v>0.16515737882352921</v>
      </c>
      <c r="Q1063" s="54">
        <v>1.7030198705882338</v>
      </c>
      <c r="R1063" s="47" t="s">
        <v>608</v>
      </c>
      <c r="S1063" s="47"/>
      <c r="T1063" s="71" t="s">
        <v>626</v>
      </c>
    </row>
    <row r="1064" spans="1:20" s="55" customFormat="1">
      <c r="A1064" s="47" t="s">
        <v>603</v>
      </c>
      <c r="B1064" s="47" t="s">
        <v>621</v>
      </c>
      <c r="C1064" s="47" t="s">
        <v>607</v>
      </c>
      <c r="D1064" s="48" t="s">
        <v>604</v>
      </c>
      <c r="E1064" s="47">
        <v>2021</v>
      </c>
      <c r="F1064" s="47">
        <v>4</v>
      </c>
      <c r="G1064" s="49">
        <v>25</v>
      </c>
      <c r="H1064" s="50">
        <v>0.89868055555555559</v>
      </c>
      <c r="I1064" s="51">
        <v>126.25</v>
      </c>
      <c r="J1064" s="51">
        <v>27.253</v>
      </c>
      <c r="K1064" s="52">
        <v>300.50099999999998</v>
      </c>
      <c r="L1064" s="52"/>
      <c r="M1064" s="52">
        <v>2</v>
      </c>
      <c r="N1064" s="53">
        <v>15.92</v>
      </c>
      <c r="O1064" s="51">
        <v>34.65505134</v>
      </c>
      <c r="P1064" s="54">
        <v>8.46249035294111E-2</v>
      </c>
      <c r="Q1064" s="54">
        <v>1.1764209882352912</v>
      </c>
      <c r="R1064" s="47" t="s">
        <v>608</v>
      </c>
      <c r="S1064" s="47"/>
      <c r="T1064" s="71" t="s">
        <v>626</v>
      </c>
    </row>
    <row r="1065" spans="1:20" s="55" customFormat="1">
      <c r="A1065" s="47" t="s">
        <v>603</v>
      </c>
      <c r="B1065" s="47" t="s">
        <v>621</v>
      </c>
      <c r="C1065" s="47" t="s">
        <v>607</v>
      </c>
      <c r="D1065" s="48" t="s">
        <v>604</v>
      </c>
      <c r="E1065" s="47">
        <v>2021</v>
      </c>
      <c r="F1065" s="47">
        <v>4</v>
      </c>
      <c r="G1065" s="49">
        <v>25</v>
      </c>
      <c r="H1065" s="50">
        <v>0.89868055555555559</v>
      </c>
      <c r="I1065" s="51">
        <v>126.25</v>
      </c>
      <c r="J1065" s="51">
        <v>27.253</v>
      </c>
      <c r="K1065" s="52">
        <v>498.66199999999998</v>
      </c>
      <c r="L1065" s="52"/>
      <c r="M1065" s="52">
        <v>1</v>
      </c>
      <c r="N1065" s="53">
        <v>8.52</v>
      </c>
      <c r="O1065" s="51">
        <v>34.269578619999997</v>
      </c>
      <c r="P1065" s="54">
        <v>-0.1629207294117645</v>
      </c>
      <c r="Q1065" s="54">
        <v>-0.94306163529411968</v>
      </c>
      <c r="R1065" s="47" t="s">
        <v>608</v>
      </c>
      <c r="S1065" s="47"/>
      <c r="T1065" s="71" t="s">
        <v>626</v>
      </c>
    </row>
    <row r="1066" spans="1:20" s="55" customFormat="1">
      <c r="A1066" s="47"/>
      <c r="B1066" s="47"/>
      <c r="C1066" s="47"/>
      <c r="D1066" s="48"/>
      <c r="E1066" s="47"/>
      <c r="F1066" s="47"/>
      <c r="G1066" s="49"/>
      <c r="H1066" s="50"/>
      <c r="I1066" s="51"/>
      <c r="J1066" s="51"/>
      <c r="L1066" s="52"/>
      <c r="M1066" s="52"/>
      <c r="N1066" s="53"/>
      <c r="P1066" s="54"/>
      <c r="Q1066" s="54"/>
      <c r="R1066" s="47"/>
      <c r="S1066" s="47"/>
      <c r="T1066" s="71"/>
    </row>
    <row r="1067" spans="1:20" s="55" customFormat="1">
      <c r="A1067" s="47" t="s">
        <v>603</v>
      </c>
      <c r="B1067" s="47" t="s">
        <v>622</v>
      </c>
      <c r="C1067" s="47" t="s">
        <v>607</v>
      </c>
      <c r="D1067" s="48" t="s">
        <v>601</v>
      </c>
      <c r="E1067" s="47">
        <v>2021</v>
      </c>
      <c r="F1067" s="47">
        <v>4</v>
      </c>
      <c r="G1067" s="49">
        <v>28</v>
      </c>
      <c r="H1067" s="50">
        <v>0.51559027777777777</v>
      </c>
      <c r="I1067" s="51">
        <v>124.251</v>
      </c>
      <c r="J1067" s="51">
        <v>27.748999999999999</v>
      </c>
      <c r="K1067" s="52">
        <v>0</v>
      </c>
      <c r="L1067" s="52"/>
      <c r="M1067" s="52">
        <v>0</v>
      </c>
      <c r="N1067" s="53">
        <v>19.8</v>
      </c>
      <c r="O1067" s="56">
        <v>33.27340186</v>
      </c>
      <c r="P1067" s="54">
        <v>-0.27180103529411781</v>
      </c>
      <c r="Q1067" s="54">
        <v>-1.2419337423529413</v>
      </c>
      <c r="R1067" s="47" t="s">
        <v>608</v>
      </c>
      <c r="S1067" s="47"/>
      <c r="T1067" s="71" t="s">
        <v>626</v>
      </c>
    </row>
    <row r="1068" spans="1:20" s="55" customFormat="1">
      <c r="A1068" s="47" t="s">
        <v>603</v>
      </c>
      <c r="B1068" s="47" t="s">
        <v>622</v>
      </c>
      <c r="C1068" s="47" t="s">
        <v>607</v>
      </c>
      <c r="D1068" s="48" t="s">
        <v>601</v>
      </c>
      <c r="E1068" s="47">
        <v>2021</v>
      </c>
      <c r="F1068" s="47">
        <v>4</v>
      </c>
      <c r="G1068" s="49">
        <v>28</v>
      </c>
      <c r="H1068" s="50">
        <v>0.51559027777777777</v>
      </c>
      <c r="I1068" s="51">
        <v>124.251</v>
      </c>
      <c r="J1068" s="51">
        <v>27.748999999999999</v>
      </c>
      <c r="K1068" s="52">
        <v>9.9710000000000001</v>
      </c>
      <c r="L1068" s="52"/>
      <c r="M1068" s="52">
        <v>6</v>
      </c>
      <c r="N1068" s="53">
        <v>19.61</v>
      </c>
      <c r="O1068" s="51">
        <v>33.317762070000001</v>
      </c>
      <c r="P1068" s="54">
        <v>-0.22365594117647047</v>
      </c>
      <c r="Q1068" s="54">
        <v>-1.1403680494117658</v>
      </c>
      <c r="R1068" s="47" t="s">
        <v>608</v>
      </c>
      <c r="S1068" s="47"/>
      <c r="T1068" s="71" t="s">
        <v>626</v>
      </c>
    </row>
    <row r="1069" spans="1:20" s="55" customFormat="1">
      <c r="A1069" s="47" t="s">
        <v>603</v>
      </c>
      <c r="B1069" s="47" t="s">
        <v>622</v>
      </c>
      <c r="C1069" s="47" t="s">
        <v>607</v>
      </c>
      <c r="D1069" s="48" t="s">
        <v>601</v>
      </c>
      <c r="E1069" s="47">
        <v>2021</v>
      </c>
      <c r="F1069" s="47">
        <v>4</v>
      </c>
      <c r="G1069" s="49">
        <v>28</v>
      </c>
      <c r="H1069" s="50">
        <v>0.51559027777777777</v>
      </c>
      <c r="I1069" s="51">
        <v>124.251</v>
      </c>
      <c r="J1069" s="51">
        <v>27.748999999999999</v>
      </c>
      <c r="K1069" s="52">
        <v>20.754000000000001</v>
      </c>
      <c r="L1069" s="52"/>
      <c r="M1069" s="52">
        <v>5</v>
      </c>
      <c r="N1069" s="53">
        <v>18.850000000000001</v>
      </c>
      <c r="O1069" s="51">
        <v>33.336189640000001</v>
      </c>
      <c r="P1069" s="54">
        <v>-0.22325644705882386</v>
      </c>
      <c r="Q1069" s="54">
        <v>-1.2116021164705888</v>
      </c>
      <c r="R1069" s="47" t="s">
        <v>608</v>
      </c>
      <c r="S1069" s="47"/>
      <c r="T1069" s="71" t="s">
        <v>626</v>
      </c>
    </row>
    <row r="1070" spans="1:20" s="55" customFormat="1">
      <c r="A1070" s="47" t="s">
        <v>603</v>
      </c>
      <c r="B1070" s="47" t="s">
        <v>622</v>
      </c>
      <c r="C1070" s="47" t="s">
        <v>607</v>
      </c>
      <c r="D1070" s="48" t="s">
        <v>601</v>
      </c>
      <c r="E1070" s="47">
        <v>2021</v>
      </c>
      <c r="F1070" s="47">
        <v>4</v>
      </c>
      <c r="G1070" s="49">
        <v>28</v>
      </c>
      <c r="H1070" s="50">
        <v>0.51559027777777777</v>
      </c>
      <c r="I1070" s="51">
        <v>124.251</v>
      </c>
      <c r="J1070" s="51">
        <v>27.748999999999999</v>
      </c>
      <c r="K1070" s="52">
        <v>30.251999999999999</v>
      </c>
      <c r="L1070" s="52"/>
      <c r="M1070" s="52">
        <v>4</v>
      </c>
      <c r="N1070" s="53">
        <v>17.91</v>
      </c>
      <c r="O1070" s="51">
        <v>33.284706329999999</v>
      </c>
      <c r="P1070" s="54">
        <v>-0.28192155294117693</v>
      </c>
      <c r="Q1070" s="54">
        <v>-1.3195265435294132</v>
      </c>
      <c r="R1070" s="47" t="s">
        <v>608</v>
      </c>
      <c r="S1070" s="47"/>
      <c r="T1070" s="71" t="s">
        <v>626</v>
      </c>
    </row>
    <row r="1071" spans="1:20" s="55" customFormat="1">
      <c r="A1071" s="47" t="s">
        <v>603</v>
      </c>
      <c r="B1071" s="47" t="s">
        <v>622</v>
      </c>
      <c r="C1071" s="47" t="s">
        <v>607</v>
      </c>
      <c r="D1071" s="48" t="s">
        <v>601</v>
      </c>
      <c r="E1071" s="47">
        <v>2021</v>
      </c>
      <c r="F1071" s="47">
        <v>4</v>
      </c>
      <c r="G1071" s="49">
        <v>28</v>
      </c>
      <c r="H1071" s="50">
        <v>0.51559027777777777</v>
      </c>
      <c r="I1071" s="51">
        <v>124.251</v>
      </c>
      <c r="J1071" s="51">
        <v>27.748999999999999</v>
      </c>
      <c r="K1071" s="52">
        <v>51.027000000000001</v>
      </c>
      <c r="L1071" s="52"/>
      <c r="M1071" s="52">
        <v>3</v>
      </c>
      <c r="N1071" s="53">
        <v>17.68</v>
      </c>
      <c r="O1071" s="51">
        <v>33.412705860000003</v>
      </c>
      <c r="P1071" s="54">
        <v>-0.21553743382352986</v>
      </c>
      <c r="Q1071" s="54">
        <v>-1.1378486330882343</v>
      </c>
      <c r="R1071" s="47" t="s">
        <v>608</v>
      </c>
      <c r="S1071" s="47"/>
      <c r="T1071" s="71" t="s">
        <v>626</v>
      </c>
    </row>
    <row r="1072" spans="1:20" s="55" customFormat="1">
      <c r="A1072" s="47" t="s">
        <v>603</v>
      </c>
      <c r="B1072" s="47" t="s">
        <v>622</v>
      </c>
      <c r="C1072" s="47" t="s">
        <v>607</v>
      </c>
      <c r="D1072" s="48" t="s">
        <v>601</v>
      </c>
      <c r="E1072" s="47">
        <v>2021</v>
      </c>
      <c r="F1072" s="47">
        <v>4</v>
      </c>
      <c r="G1072" s="49">
        <v>28</v>
      </c>
      <c r="H1072" s="50">
        <v>0.51559027777777777</v>
      </c>
      <c r="I1072" s="51">
        <v>124.251</v>
      </c>
      <c r="J1072" s="51">
        <v>27.748999999999999</v>
      </c>
      <c r="K1072" s="52">
        <v>75.213999999999999</v>
      </c>
      <c r="L1072" s="52"/>
      <c r="M1072" s="52">
        <v>2</v>
      </c>
      <c r="N1072" s="53">
        <v>17.420000000000002</v>
      </c>
      <c r="O1072" s="51">
        <v>34.422265789999997</v>
      </c>
      <c r="P1072" s="54">
        <v>2.1403435294117479E-2</v>
      </c>
      <c r="Q1072" s="54">
        <v>0.39086850235293902</v>
      </c>
      <c r="R1072" s="47" t="s">
        <v>608</v>
      </c>
      <c r="S1072" s="47"/>
      <c r="T1072" s="71" t="s">
        <v>626</v>
      </c>
    </row>
    <row r="1073" spans="1:20" s="55" customFormat="1">
      <c r="A1073" s="47" t="s">
        <v>603</v>
      </c>
      <c r="B1073" s="47" t="s">
        <v>622</v>
      </c>
      <c r="C1073" s="47" t="s">
        <v>607</v>
      </c>
      <c r="D1073" s="48" t="s">
        <v>601</v>
      </c>
      <c r="E1073" s="47">
        <v>2021</v>
      </c>
      <c r="F1073" s="47">
        <v>4</v>
      </c>
      <c r="G1073" s="49">
        <v>28</v>
      </c>
      <c r="H1073" s="50">
        <v>0.51559027777777777</v>
      </c>
      <c r="I1073" s="51">
        <v>124.251</v>
      </c>
      <c r="J1073" s="51">
        <v>27.748999999999999</v>
      </c>
      <c r="K1073" s="52">
        <v>88.352000000000004</v>
      </c>
      <c r="L1073" s="52"/>
      <c r="M1073" s="52">
        <v>1</v>
      </c>
      <c r="N1073" s="53">
        <v>17.420000000000002</v>
      </c>
      <c r="O1073" s="51">
        <v>34.419848229999999</v>
      </c>
      <c r="P1073" s="54">
        <v>3.5177911764705083E-2</v>
      </c>
      <c r="Q1073" s="54">
        <v>0.58859457745097821</v>
      </c>
      <c r="R1073" s="47" t="s">
        <v>608</v>
      </c>
      <c r="S1073" s="47"/>
      <c r="T1073" s="71" t="s">
        <v>626</v>
      </c>
    </row>
    <row r="1074" spans="1:20" s="55" customFormat="1">
      <c r="A1074" s="47"/>
      <c r="B1074" s="47"/>
      <c r="C1074" s="47"/>
      <c r="D1074" s="48"/>
      <c r="E1074" s="47"/>
      <c r="F1074" s="47"/>
      <c r="G1074" s="49"/>
      <c r="H1074" s="50"/>
      <c r="I1074" s="51"/>
      <c r="J1074" s="51"/>
      <c r="K1074" s="52"/>
      <c r="L1074" s="52"/>
      <c r="M1074" s="52"/>
      <c r="N1074" s="53"/>
      <c r="O1074" s="51"/>
      <c r="P1074" s="54"/>
      <c r="Q1074" s="54"/>
      <c r="R1074" s="47"/>
      <c r="S1074" s="47"/>
      <c r="T1074" s="71"/>
    </row>
    <row r="1075" spans="1:20" s="55" customFormat="1">
      <c r="A1075" s="47" t="s">
        <v>603</v>
      </c>
      <c r="B1075" s="47" t="s">
        <v>623</v>
      </c>
      <c r="C1075" s="47" t="s">
        <v>607</v>
      </c>
      <c r="D1075" s="48" t="s">
        <v>602</v>
      </c>
      <c r="E1075" s="47">
        <v>2021</v>
      </c>
      <c r="F1075" s="47">
        <v>4</v>
      </c>
      <c r="G1075" s="49">
        <v>29</v>
      </c>
      <c r="H1075" s="50">
        <v>0.32732638888888888</v>
      </c>
      <c r="I1075" s="51">
        <v>126.235</v>
      </c>
      <c r="J1075" s="51">
        <v>29.754000000000001</v>
      </c>
      <c r="K1075" s="52">
        <v>0</v>
      </c>
      <c r="L1075" s="52"/>
      <c r="M1075" s="52">
        <v>0</v>
      </c>
      <c r="N1075" s="53">
        <v>19.600000000000001</v>
      </c>
      <c r="O1075" s="56">
        <v>33.486745280000001</v>
      </c>
      <c r="P1075" s="54">
        <v>-0.1803410941176482</v>
      </c>
      <c r="Q1075" s="54">
        <v>-0.80799655294117478</v>
      </c>
      <c r="R1075" s="47" t="s">
        <v>608</v>
      </c>
      <c r="S1075" s="47"/>
      <c r="T1075" s="71" t="s">
        <v>626</v>
      </c>
    </row>
    <row r="1076" spans="1:20" s="55" customFormat="1">
      <c r="A1076" s="47" t="s">
        <v>603</v>
      </c>
      <c r="B1076" s="47" t="s">
        <v>623</v>
      </c>
      <c r="C1076" s="47" t="s">
        <v>607</v>
      </c>
      <c r="D1076" s="48" t="s">
        <v>602</v>
      </c>
      <c r="E1076" s="47">
        <v>2021</v>
      </c>
      <c r="F1076" s="47">
        <v>4</v>
      </c>
      <c r="G1076" s="49">
        <v>29</v>
      </c>
      <c r="H1076" s="50">
        <v>0.32732638888888888</v>
      </c>
      <c r="I1076" s="51">
        <v>126.235</v>
      </c>
      <c r="J1076" s="51">
        <v>29.754000000000001</v>
      </c>
      <c r="K1076" s="52">
        <v>20</v>
      </c>
      <c r="L1076" s="52"/>
      <c r="M1076" s="52">
        <v>5</v>
      </c>
      <c r="N1076" s="53">
        <v>19.05</v>
      </c>
      <c r="O1076" s="51">
        <v>34.426299999999998</v>
      </c>
      <c r="P1076" s="54">
        <v>9.6036199999999017E-2</v>
      </c>
      <c r="Q1076" s="54">
        <v>0.720350719999999</v>
      </c>
      <c r="R1076" s="47" t="s">
        <v>608</v>
      </c>
      <c r="S1076" s="47"/>
      <c r="T1076" s="71" t="s">
        <v>626</v>
      </c>
    </row>
    <row r="1077" spans="1:20" s="55" customFormat="1">
      <c r="A1077" s="47" t="s">
        <v>603</v>
      </c>
      <c r="B1077" s="47" t="s">
        <v>623</v>
      </c>
      <c r="C1077" s="47" t="s">
        <v>607</v>
      </c>
      <c r="D1077" s="48" t="s">
        <v>602</v>
      </c>
      <c r="E1077" s="47">
        <v>2021</v>
      </c>
      <c r="F1077" s="47">
        <v>4</v>
      </c>
      <c r="G1077" s="49">
        <v>29</v>
      </c>
      <c r="H1077" s="50">
        <v>0.32732638888888888</v>
      </c>
      <c r="I1077" s="51">
        <v>126.235</v>
      </c>
      <c r="J1077" s="51">
        <v>29.754000000000001</v>
      </c>
      <c r="K1077" s="52">
        <v>30</v>
      </c>
      <c r="L1077" s="52"/>
      <c r="M1077" s="52">
        <v>4</v>
      </c>
      <c r="N1077" s="53">
        <v>18.95</v>
      </c>
      <c r="O1077" s="51">
        <v>34.456099999999999</v>
      </c>
      <c r="P1077" s="54">
        <v>6.8858494117646885E-2</v>
      </c>
      <c r="Q1077" s="54">
        <v>0.84124789294117797</v>
      </c>
      <c r="R1077" s="47" t="s">
        <v>608</v>
      </c>
      <c r="S1077" s="47"/>
      <c r="T1077" s="71" t="s">
        <v>626</v>
      </c>
    </row>
    <row r="1078" spans="1:20" s="55" customFormat="1">
      <c r="A1078" s="47" t="s">
        <v>603</v>
      </c>
      <c r="B1078" s="47" t="s">
        <v>623</v>
      </c>
      <c r="C1078" s="47" t="s">
        <v>607</v>
      </c>
      <c r="D1078" s="48" t="s">
        <v>602</v>
      </c>
      <c r="E1078" s="47">
        <v>2021</v>
      </c>
      <c r="F1078" s="47">
        <v>4</v>
      </c>
      <c r="G1078" s="49">
        <v>29</v>
      </c>
      <c r="H1078" s="50">
        <v>0.32732638888888888</v>
      </c>
      <c r="I1078" s="51">
        <v>126.235</v>
      </c>
      <c r="J1078" s="51">
        <v>29.754000000000001</v>
      </c>
      <c r="K1078" s="52">
        <v>50</v>
      </c>
      <c r="L1078" s="52"/>
      <c r="M1078" s="52">
        <v>3</v>
      </c>
      <c r="N1078" s="53">
        <v>18.649999999999999</v>
      </c>
      <c r="O1078" s="51">
        <v>34.501199999999997</v>
      </c>
      <c r="P1078" s="54">
        <v>4.9089588235293302E-2</v>
      </c>
      <c r="Q1078" s="54">
        <v>0.78914804588235299</v>
      </c>
      <c r="R1078" s="47" t="s">
        <v>608</v>
      </c>
      <c r="S1078" s="47"/>
      <c r="T1078" s="71" t="s">
        <v>626</v>
      </c>
    </row>
    <row r="1079" spans="1:20" s="55" customFormat="1">
      <c r="A1079" s="47" t="s">
        <v>603</v>
      </c>
      <c r="B1079" s="47" t="s">
        <v>623</v>
      </c>
      <c r="C1079" s="47" t="s">
        <v>607</v>
      </c>
      <c r="D1079" s="48" t="s">
        <v>602</v>
      </c>
      <c r="E1079" s="47">
        <v>2021</v>
      </c>
      <c r="F1079" s="47">
        <v>4</v>
      </c>
      <c r="G1079" s="49">
        <v>29</v>
      </c>
      <c r="H1079" s="50">
        <v>0.32732638888888888</v>
      </c>
      <c r="I1079" s="51">
        <v>126.235</v>
      </c>
      <c r="J1079" s="51">
        <v>29.754000000000001</v>
      </c>
      <c r="K1079" s="52">
        <v>74</v>
      </c>
      <c r="L1079" s="52"/>
      <c r="M1079" s="52">
        <v>2</v>
      </c>
      <c r="N1079" s="53">
        <v>18.350000000000001</v>
      </c>
      <c r="O1079" s="51">
        <v>34.470599999999997</v>
      </c>
      <c r="P1079" s="54">
        <v>9.9704282352940155E-2</v>
      </c>
      <c r="Q1079" s="54">
        <v>1.0027574188235295</v>
      </c>
      <c r="R1079" s="47" t="s">
        <v>608</v>
      </c>
      <c r="S1079" s="47"/>
      <c r="T1079" s="71" t="s">
        <v>626</v>
      </c>
    </row>
    <row r="1080" spans="1:20" s="55" customFormat="1">
      <c r="A1080" s="47" t="s">
        <v>603</v>
      </c>
      <c r="B1080" s="47" t="s">
        <v>623</v>
      </c>
      <c r="C1080" s="47" t="s">
        <v>607</v>
      </c>
      <c r="D1080" s="48" t="s">
        <v>602</v>
      </c>
      <c r="E1080" s="47">
        <v>2021</v>
      </c>
      <c r="F1080" s="47">
        <v>4</v>
      </c>
      <c r="G1080" s="49">
        <v>29</v>
      </c>
      <c r="H1080" s="50">
        <v>0.32732638888888888</v>
      </c>
      <c r="I1080" s="51">
        <v>126.235</v>
      </c>
      <c r="J1080" s="51">
        <v>29.754000000000001</v>
      </c>
      <c r="K1080" s="52">
        <v>85</v>
      </c>
      <c r="L1080" s="52"/>
      <c r="M1080" s="52">
        <v>1</v>
      </c>
      <c r="N1080" s="53">
        <v>18.34</v>
      </c>
      <c r="O1080" s="51">
        <v>34.4694</v>
      </c>
      <c r="P1080" s="54">
        <v>9.3518176470587466E-2</v>
      </c>
      <c r="Q1080" s="54">
        <v>0.97807671176470556</v>
      </c>
      <c r="R1080" s="47" t="s">
        <v>608</v>
      </c>
      <c r="S1080" s="47"/>
      <c r="T1080" s="71" t="s">
        <v>626</v>
      </c>
    </row>
    <row r="1081" spans="1:20" s="55" customFormat="1">
      <c r="A1081" s="47"/>
      <c r="B1081" s="47"/>
      <c r="C1081" s="47"/>
      <c r="D1081" s="48"/>
      <c r="E1081" s="47"/>
      <c r="F1081" s="47"/>
      <c r="G1081" s="49"/>
      <c r="H1081" s="50"/>
      <c r="I1081" s="51"/>
      <c r="J1081" s="51"/>
      <c r="K1081" s="52"/>
      <c r="L1081" s="52"/>
      <c r="M1081" s="52"/>
      <c r="N1081" s="53"/>
      <c r="O1081" s="51"/>
      <c r="P1081" s="54"/>
      <c r="Q1081" s="54"/>
      <c r="R1081" s="47"/>
      <c r="S1081" s="47"/>
      <c r="T1081" s="71"/>
    </row>
    <row r="1082" spans="1:20" s="55" customFormat="1">
      <c r="A1082" s="47" t="s">
        <v>603</v>
      </c>
      <c r="B1082" s="47" t="s">
        <v>624</v>
      </c>
      <c r="C1082" s="47" t="s">
        <v>607</v>
      </c>
      <c r="D1082" s="48" t="s">
        <v>605</v>
      </c>
      <c r="E1082" s="47">
        <v>2021</v>
      </c>
      <c r="F1082" s="47">
        <v>4</v>
      </c>
      <c r="G1082" s="49">
        <v>30</v>
      </c>
      <c r="H1082" s="50">
        <v>2.631944444444444E-2</v>
      </c>
      <c r="I1082" s="51">
        <v>128.75</v>
      </c>
      <c r="J1082" s="51">
        <v>31.75</v>
      </c>
      <c r="K1082" s="52">
        <v>9.58</v>
      </c>
      <c r="L1082" s="52"/>
      <c r="M1082" s="52">
        <v>11</v>
      </c>
      <c r="N1082" s="53">
        <v>21.4</v>
      </c>
      <c r="O1082" s="51">
        <v>34.514144459999997</v>
      </c>
      <c r="P1082" s="54">
        <v>0.10235547058823435</v>
      </c>
      <c r="Q1082" s="54">
        <v>1.2364641047058829</v>
      </c>
      <c r="R1082" s="47" t="s">
        <v>608</v>
      </c>
      <c r="S1082" s="47"/>
      <c r="T1082" s="71" t="s">
        <v>626</v>
      </c>
    </row>
    <row r="1083" spans="1:20" s="55" customFormat="1">
      <c r="A1083" s="47" t="s">
        <v>603</v>
      </c>
      <c r="B1083" s="47" t="s">
        <v>624</v>
      </c>
      <c r="C1083" s="47" t="s">
        <v>607</v>
      </c>
      <c r="D1083" s="48" t="s">
        <v>605</v>
      </c>
      <c r="E1083" s="47">
        <v>2021</v>
      </c>
      <c r="F1083" s="47">
        <v>4</v>
      </c>
      <c r="G1083" s="49">
        <v>30</v>
      </c>
      <c r="H1083" s="50">
        <v>2.631944444444444E-2</v>
      </c>
      <c r="I1083" s="51">
        <v>128.75</v>
      </c>
      <c r="J1083" s="51">
        <v>31.75</v>
      </c>
      <c r="K1083" s="52">
        <v>19.509</v>
      </c>
      <c r="L1083" s="52"/>
      <c r="M1083" s="52">
        <v>10</v>
      </c>
      <c r="N1083" s="53">
        <v>21.38</v>
      </c>
      <c r="O1083" s="51">
        <v>34.5139195</v>
      </c>
      <c r="P1083" s="54">
        <v>0.1005656199999998</v>
      </c>
      <c r="Q1083" s="54">
        <v>1.1121396870588232</v>
      </c>
      <c r="R1083" s="47" t="s">
        <v>608</v>
      </c>
      <c r="S1083" s="47"/>
      <c r="T1083" s="71" t="s">
        <v>626</v>
      </c>
    </row>
    <row r="1084" spans="1:20" s="55" customFormat="1">
      <c r="A1084" s="47" t="s">
        <v>603</v>
      </c>
      <c r="B1084" s="47" t="s">
        <v>624</v>
      </c>
      <c r="C1084" s="47" t="s">
        <v>607</v>
      </c>
      <c r="D1084" s="48" t="s">
        <v>605</v>
      </c>
      <c r="E1084" s="47">
        <v>2021</v>
      </c>
      <c r="F1084" s="47">
        <v>4</v>
      </c>
      <c r="G1084" s="49">
        <v>30</v>
      </c>
      <c r="H1084" s="50">
        <v>2.631944444444444E-2</v>
      </c>
      <c r="I1084" s="51">
        <v>128.75</v>
      </c>
      <c r="J1084" s="51">
        <v>31.75</v>
      </c>
      <c r="K1084" s="52">
        <v>30.024000000000001</v>
      </c>
      <c r="L1084" s="52"/>
      <c r="M1084" s="52">
        <v>9</v>
      </c>
      <c r="N1084" s="53">
        <v>21.37</v>
      </c>
      <c r="O1084" s="51">
        <v>34.551268640000004</v>
      </c>
      <c r="P1084" s="54">
        <v>0.10442404000000094</v>
      </c>
      <c r="Q1084" s="54">
        <v>1.2410614764705876</v>
      </c>
      <c r="R1084" s="47" t="s">
        <v>608</v>
      </c>
      <c r="S1084" s="47"/>
      <c r="T1084" s="71" t="s">
        <v>626</v>
      </c>
    </row>
    <row r="1085" spans="1:20" s="55" customFormat="1">
      <c r="A1085" s="47" t="s">
        <v>603</v>
      </c>
      <c r="B1085" s="47" t="s">
        <v>624</v>
      </c>
      <c r="C1085" s="47" t="s">
        <v>607</v>
      </c>
      <c r="D1085" s="48" t="s">
        <v>605</v>
      </c>
      <c r="E1085" s="47">
        <v>2021</v>
      </c>
      <c r="F1085" s="47">
        <v>4</v>
      </c>
      <c r="G1085" s="49">
        <v>30</v>
      </c>
      <c r="H1085" s="50">
        <v>2.631944444444444E-2</v>
      </c>
      <c r="I1085" s="51">
        <v>128.75</v>
      </c>
      <c r="J1085" s="51">
        <v>31.75</v>
      </c>
      <c r="K1085" s="52">
        <v>50.165999999999997</v>
      </c>
      <c r="L1085" s="52"/>
      <c r="M1085" s="52">
        <v>8</v>
      </c>
      <c r="N1085" s="53">
        <v>21.23</v>
      </c>
      <c r="O1085" s="51">
        <v>34.570160479999998</v>
      </c>
      <c r="P1085" s="54">
        <v>9.9700179999999694E-2</v>
      </c>
      <c r="Q1085" s="54">
        <v>1.0523099858823528</v>
      </c>
      <c r="R1085" s="47" t="s">
        <v>608</v>
      </c>
      <c r="S1085" s="47"/>
      <c r="T1085" s="71" t="s">
        <v>626</v>
      </c>
    </row>
    <row r="1086" spans="1:20" s="55" customFormat="1">
      <c r="A1086" s="47" t="s">
        <v>603</v>
      </c>
      <c r="B1086" s="47" t="s">
        <v>624</v>
      </c>
      <c r="C1086" s="47" t="s">
        <v>607</v>
      </c>
      <c r="D1086" s="48" t="s">
        <v>605</v>
      </c>
      <c r="E1086" s="47">
        <v>2021</v>
      </c>
      <c r="F1086" s="47">
        <v>4</v>
      </c>
      <c r="G1086" s="49">
        <v>30</v>
      </c>
      <c r="H1086" s="50">
        <v>2.631944444444444E-2</v>
      </c>
      <c r="I1086" s="51">
        <v>128.75</v>
      </c>
      <c r="J1086" s="51">
        <v>31.75</v>
      </c>
      <c r="K1086" s="52">
        <v>75.275000000000006</v>
      </c>
      <c r="L1086" s="52"/>
      <c r="M1086" s="52">
        <v>7</v>
      </c>
      <c r="N1086" s="53">
        <v>19.149999999999999</v>
      </c>
      <c r="O1086" s="51">
        <v>34.523586659999999</v>
      </c>
      <c r="P1086" s="54">
        <v>8.6394040000000061E-2</v>
      </c>
      <c r="Q1086" s="54">
        <v>0.85766109529411771</v>
      </c>
      <c r="R1086" s="47" t="s">
        <v>608</v>
      </c>
      <c r="S1086" s="47"/>
      <c r="T1086" s="71" t="s">
        <v>626</v>
      </c>
    </row>
    <row r="1087" spans="1:20" s="55" customFormat="1">
      <c r="A1087" s="47" t="s">
        <v>603</v>
      </c>
      <c r="B1087" s="47" t="s">
        <v>624</v>
      </c>
      <c r="C1087" s="47" t="s">
        <v>607</v>
      </c>
      <c r="D1087" s="48" t="s">
        <v>605</v>
      </c>
      <c r="E1087" s="47">
        <v>2021</v>
      </c>
      <c r="F1087" s="47">
        <v>4</v>
      </c>
      <c r="G1087" s="49">
        <v>30</v>
      </c>
      <c r="H1087" s="50">
        <v>2.631944444444444E-2</v>
      </c>
      <c r="I1087" s="51">
        <v>128.75</v>
      </c>
      <c r="J1087" s="51">
        <v>31.75</v>
      </c>
      <c r="K1087" s="52">
        <v>99.9</v>
      </c>
      <c r="L1087" s="52"/>
      <c r="M1087" s="52">
        <v>6</v>
      </c>
      <c r="N1087" s="53">
        <v>18.52</v>
      </c>
      <c r="O1087" s="51">
        <v>34.44993083</v>
      </c>
      <c r="P1087" s="54">
        <v>6.5731660000000414E-2</v>
      </c>
      <c r="Q1087" s="54">
        <v>0.86843830470588124</v>
      </c>
      <c r="R1087" s="47" t="s">
        <v>608</v>
      </c>
      <c r="S1087" s="47"/>
      <c r="T1087" s="71" t="s">
        <v>626</v>
      </c>
    </row>
    <row r="1088" spans="1:20" s="55" customFormat="1">
      <c r="A1088" s="47" t="s">
        <v>603</v>
      </c>
      <c r="B1088" s="47" t="s">
        <v>624</v>
      </c>
      <c r="C1088" s="47" t="s">
        <v>607</v>
      </c>
      <c r="D1088" s="48" t="s">
        <v>605</v>
      </c>
      <c r="E1088" s="47">
        <v>2021</v>
      </c>
      <c r="F1088" s="47">
        <v>4</v>
      </c>
      <c r="G1088" s="49">
        <v>30</v>
      </c>
      <c r="H1088" s="50">
        <v>2.631944444444444E-2</v>
      </c>
      <c r="I1088" s="51">
        <v>128.75</v>
      </c>
      <c r="J1088" s="51">
        <v>31.75</v>
      </c>
      <c r="K1088" s="52">
        <v>125.446</v>
      </c>
      <c r="L1088" s="52"/>
      <c r="M1088" s="52">
        <v>5</v>
      </c>
      <c r="N1088" s="53">
        <v>17.53</v>
      </c>
      <c r="O1088" s="51">
        <v>34.362955990000003</v>
      </c>
      <c r="P1088" s="54">
        <v>6.2233839999999763E-2</v>
      </c>
      <c r="Q1088" s="54">
        <v>0.570388334117645</v>
      </c>
      <c r="R1088" s="47" t="s">
        <v>608</v>
      </c>
      <c r="S1088" s="47"/>
      <c r="T1088" s="71" t="s">
        <v>626</v>
      </c>
    </row>
    <row r="1089" spans="1:20" s="55" customFormat="1">
      <c r="A1089" s="47" t="s">
        <v>603</v>
      </c>
      <c r="B1089" s="47" t="s">
        <v>624</v>
      </c>
      <c r="C1089" s="47" t="s">
        <v>607</v>
      </c>
      <c r="D1089" s="48" t="s">
        <v>605</v>
      </c>
      <c r="E1089" s="47">
        <v>2021</v>
      </c>
      <c r="F1089" s="47">
        <v>4</v>
      </c>
      <c r="G1089" s="49">
        <v>30</v>
      </c>
      <c r="H1089" s="50">
        <v>2.631944444444444E-2</v>
      </c>
      <c r="I1089" s="51">
        <v>128.75</v>
      </c>
      <c r="J1089" s="51">
        <v>31.75</v>
      </c>
      <c r="K1089" s="52">
        <v>150.24700000000001</v>
      </c>
      <c r="L1089" s="52"/>
      <c r="M1089" s="52">
        <v>4</v>
      </c>
      <c r="N1089" s="53">
        <v>16.760000000000002</v>
      </c>
      <c r="O1089" s="51">
        <v>34.507857090000002</v>
      </c>
      <c r="P1089" s="54">
        <v>0.11349914000000005</v>
      </c>
      <c r="Q1089" s="54">
        <v>1.0498122635294109</v>
      </c>
      <c r="R1089" s="47" t="s">
        <v>608</v>
      </c>
      <c r="S1089" s="47"/>
      <c r="T1089" s="71" t="s">
        <v>626</v>
      </c>
    </row>
    <row r="1090" spans="1:20" s="55" customFormat="1">
      <c r="A1090" s="47" t="s">
        <v>603</v>
      </c>
      <c r="B1090" s="47" t="s">
        <v>624</v>
      </c>
      <c r="C1090" s="47" t="s">
        <v>607</v>
      </c>
      <c r="D1090" s="48" t="s">
        <v>605</v>
      </c>
      <c r="E1090" s="47">
        <v>2021</v>
      </c>
      <c r="F1090" s="47">
        <v>4</v>
      </c>
      <c r="G1090" s="49">
        <v>30</v>
      </c>
      <c r="H1090" s="50">
        <v>2.631944444444444E-2</v>
      </c>
      <c r="I1090" s="51">
        <v>128.75</v>
      </c>
      <c r="J1090" s="51">
        <v>31.75</v>
      </c>
      <c r="K1090" s="52">
        <v>200.108</v>
      </c>
      <c r="L1090" s="52"/>
      <c r="M1090" s="52">
        <v>3</v>
      </c>
      <c r="N1090" s="53">
        <v>14.73</v>
      </c>
      <c r="O1090" s="51">
        <v>34.553002900000003</v>
      </c>
      <c r="P1090" s="54">
        <v>0.10114258000000032</v>
      </c>
      <c r="Q1090" s="54">
        <v>0.69366712117646756</v>
      </c>
      <c r="R1090" s="47" t="s">
        <v>608</v>
      </c>
      <c r="S1090" s="47"/>
      <c r="T1090" s="71" t="s">
        <v>626</v>
      </c>
    </row>
    <row r="1091" spans="1:20" s="55" customFormat="1">
      <c r="A1091" s="47" t="s">
        <v>603</v>
      </c>
      <c r="B1091" s="47" t="s">
        <v>624</v>
      </c>
      <c r="C1091" s="47" t="s">
        <v>607</v>
      </c>
      <c r="D1091" s="48" t="s">
        <v>605</v>
      </c>
      <c r="E1091" s="47">
        <v>2021</v>
      </c>
      <c r="F1091" s="47">
        <v>4</v>
      </c>
      <c r="G1091" s="49">
        <v>30</v>
      </c>
      <c r="H1091" s="50">
        <v>2.631944444444444E-2</v>
      </c>
      <c r="I1091" s="51">
        <v>128.75</v>
      </c>
      <c r="J1091" s="51">
        <v>31.75</v>
      </c>
      <c r="K1091" s="52">
        <v>298.89600000000002</v>
      </c>
      <c r="L1091" s="52"/>
      <c r="M1091" s="52">
        <v>2</v>
      </c>
      <c r="N1091" s="53">
        <v>11.75</v>
      </c>
      <c r="O1091" s="51">
        <v>34.417921460000002</v>
      </c>
      <c r="P1091" s="54">
        <v>1.4069700000000296E-2</v>
      </c>
      <c r="Q1091" s="54">
        <v>-0.14242230941176715</v>
      </c>
      <c r="R1091" s="47" t="s">
        <v>608</v>
      </c>
      <c r="S1091" s="47"/>
      <c r="T1091" s="71" t="s">
        <v>626</v>
      </c>
    </row>
    <row r="1092" spans="1:20" s="55" customFormat="1">
      <c r="A1092" s="47" t="s">
        <v>603</v>
      </c>
      <c r="B1092" s="47" t="s">
        <v>624</v>
      </c>
      <c r="C1092" s="47" t="s">
        <v>607</v>
      </c>
      <c r="D1092" s="48" t="s">
        <v>605</v>
      </c>
      <c r="E1092" s="47">
        <v>2021</v>
      </c>
      <c r="F1092" s="47">
        <v>4</v>
      </c>
      <c r="G1092" s="49">
        <v>30</v>
      </c>
      <c r="H1092" s="50">
        <v>2.631944444444444E-2</v>
      </c>
      <c r="I1092" s="51">
        <v>128.75</v>
      </c>
      <c r="J1092" s="51">
        <v>31.75</v>
      </c>
      <c r="K1092" s="52">
        <v>500.58800000000002</v>
      </c>
      <c r="L1092" s="52"/>
      <c r="M1092" s="52">
        <v>1</v>
      </c>
      <c r="N1092" s="53">
        <v>8.07</v>
      </c>
      <c r="O1092" s="51">
        <v>34.332427799999998</v>
      </c>
      <c r="P1092" s="54">
        <v>-0.10549323999999993</v>
      </c>
      <c r="Q1092" s="54">
        <v>-0.73239358000000188</v>
      </c>
      <c r="R1092" s="47" t="s">
        <v>608</v>
      </c>
      <c r="S1092" s="47"/>
      <c r="T1092" s="71" t="s">
        <v>626</v>
      </c>
    </row>
  </sheetData>
  <autoFilter ref="A1:T1" xr:uid="{397153E6-1C68-5F44-8460-C800BB4F3BEA}">
    <sortState xmlns:xlrd2="http://schemas.microsoft.com/office/spreadsheetml/2017/richdata2" ref="A2:T4">
      <sortCondition ref="K1:K4"/>
    </sortState>
  </autoFilter>
  <sortState xmlns:xlrd2="http://schemas.microsoft.com/office/spreadsheetml/2017/richdata2" ref="A443:T454">
    <sortCondition ref="A443:A454"/>
  </sortState>
  <phoneticPr fontId="3"/>
  <pageMargins left="0.7" right="0.7" top="0.75" bottom="0.75" header="0.3" footer="0.3"/>
  <pageSetup paperSize="9" orientation="portrait" horizontalDpi="4294967292" verticalDpi="4294967292" r:id="rId1"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ワークシート</vt:lpstr>
      </vt:variant>
      <vt:variant>
        <vt:i4>3</vt:i4>
      </vt:variant>
    </vt:vector>
  </HeadingPairs>
  <TitlesOfParts>
    <vt:vector size="3" baseType="lpstr">
      <vt:lpstr>d18O_20230513(original)</vt:lpstr>
      <vt:lpstr>d18O (no-data avoid_NA2)</vt:lpstr>
      <vt:lpstr>d18O_20230513 (depth)</vt:lpstr>
    </vt:vector>
  </TitlesOfParts>
  <Company>Hokkaido Univ.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ISHIMURA TOYOHO</dc:creator>
  <cp:lastModifiedBy>T.Ishimura</cp:lastModifiedBy>
  <dcterms:created xsi:type="dcterms:W3CDTF">2016-12-10T10:27:28Z</dcterms:created>
  <dcterms:modified xsi:type="dcterms:W3CDTF">2024-12-31T02:33:44Z</dcterms:modified>
</cp:coreProperties>
</file>